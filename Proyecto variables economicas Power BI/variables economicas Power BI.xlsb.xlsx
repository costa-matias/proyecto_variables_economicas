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ecto power bi\"/>
    </mc:Choice>
  </mc:AlternateContent>
  <xr:revisionPtr revIDLastSave="0" documentId="13_ncr:1_{B64531A7-8775-4D18-A161-721E3C849172}" xr6:coauthVersionLast="47" xr6:coauthVersionMax="47" xr10:uidLastSave="{00000000-0000-0000-0000-000000000000}"/>
  <bookViews>
    <workbookView xWindow="-120" yWindow="-120" windowWidth="29040" windowHeight="15720" activeTab="1" xr2:uid="{DD68F3F7-E6FA-4212-AA75-E131186C483C}"/>
  </bookViews>
  <sheets>
    <sheet name="Datos" sheetId="1" r:id="rId1"/>
    <sheet name="Datos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J3316" i="1"/>
  <c r="I3316" i="1"/>
  <c r="H3316" i="1"/>
  <c r="J3315" i="1"/>
  <c r="I3315" i="1"/>
  <c r="H3315" i="1"/>
  <c r="J3314" i="1"/>
  <c r="I3314" i="1"/>
  <c r="H3314" i="1"/>
  <c r="J3313" i="1"/>
  <c r="I3313" i="1"/>
  <c r="H3313" i="1"/>
  <c r="J3312" i="1"/>
  <c r="I3312" i="1"/>
  <c r="H3312" i="1"/>
  <c r="J3311" i="1"/>
  <c r="I3311" i="1"/>
  <c r="H3311" i="1"/>
  <c r="J3310" i="1"/>
  <c r="I3310" i="1"/>
  <c r="H3310" i="1"/>
  <c r="J3309" i="1"/>
  <c r="I3309" i="1"/>
  <c r="H3309" i="1"/>
  <c r="J3308" i="1"/>
  <c r="I3308" i="1"/>
  <c r="H3308" i="1"/>
  <c r="J3307" i="1"/>
  <c r="I3307" i="1"/>
  <c r="H3307" i="1"/>
  <c r="J3306" i="1"/>
  <c r="I3306" i="1"/>
  <c r="H3306" i="1"/>
  <c r="J3305" i="1"/>
  <c r="I3305" i="1"/>
  <c r="H3305" i="1"/>
  <c r="J3304" i="1"/>
  <c r="I3304" i="1"/>
  <c r="H3304" i="1"/>
  <c r="J3303" i="1"/>
  <c r="I3303" i="1"/>
  <c r="H3303" i="1"/>
  <c r="J3302" i="1"/>
  <c r="I3302" i="1"/>
  <c r="H3302" i="1"/>
  <c r="J3301" i="1"/>
  <c r="I3301" i="1"/>
  <c r="H3301" i="1"/>
  <c r="J3300" i="1"/>
  <c r="I3300" i="1"/>
  <c r="H3300" i="1"/>
  <c r="J3299" i="1"/>
  <c r="I3299" i="1"/>
  <c r="H3299" i="1"/>
  <c r="J3298" i="1"/>
  <c r="I3298" i="1"/>
  <c r="H3298" i="1"/>
  <c r="J3297" i="1"/>
  <c r="I3297" i="1"/>
  <c r="H3297" i="1"/>
  <c r="J3296" i="1"/>
  <c r="I3296" i="1"/>
  <c r="H3296" i="1"/>
  <c r="J3295" i="1"/>
  <c r="I3295" i="1"/>
  <c r="H3295" i="1"/>
  <c r="J3294" i="1"/>
  <c r="I3294" i="1"/>
  <c r="H3294" i="1"/>
  <c r="J3293" i="1"/>
  <c r="I3293" i="1"/>
  <c r="H3293" i="1"/>
  <c r="J3292" i="1"/>
  <c r="I3292" i="1"/>
  <c r="H3292" i="1"/>
  <c r="J3291" i="1"/>
  <c r="I3291" i="1"/>
  <c r="H3291" i="1"/>
  <c r="J3290" i="1"/>
  <c r="I3290" i="1"/>
  <c r="H3290" i="1"/>
  <c r="J3289" i="1"/>
  <c r="I3289" i="1"/>
  <c r="H3289" i="1"/>
  <c r="J3288" i="1"/>
  <c r="I3288" i="1"/>
  <c r="H3288" i="1"/>
  <c r="J3287" i="1"/>
  <c r="I3287" i="1"/>
  <c r="H3287" i="1"/>
  <c r="J3286" i="1"/>
  <c r="I3286" i="1"/>
  <c r="H3286" i="1"/>
  <c r="J3285" i="1"/>
  <c r="I3285" i="1"/>
  <c r="H3285" i="1"/>
  <c r="J3284" i="1"/>
  <c r="I3284" i="1"/>
  <c r="H3284" i="1"/>
  <c r="J3283" i="1"/>
  <c r="I3283" i="1"/>
  <c r="H3283" i="1"/>
  <c r="J3282" i="1"/>
  <c r="I3282" i="1"/>
  <c r="H3282" i="1"/>
  <c r="J3281" i="1"/>
  <c r="I3281" i="1"/>
  <c r="H3281" i="1"/>
  <c r="J3280" i="1"/>
  <c r="I3280" i="1"/>
  <c r="H3280" i="1"/>
  <c r="J3279" i="1"/>
  <c r="I3279" i="1"/>
  <c r="H3279" i="1"/>
  <c r="J3278" i="1"/>
  <c r="I3278" i="1"/>
  <c r="H3278" i="1"/>
  <c r="J3277" i="1"/>
  <c r="I3277" i="1"/>
  <c r="H3277" i="1"/>
  <c r="J3276" i="1"/>
  <c r="I3276" i="1"/>
  <c r="H3276" i="1"/>
  <c r="J3275" i="1"/>
  <c r="I3275" i="1"/>
  <c r="H3275" i="1"/>
  <c r="J3274" i="1"/>
  <c r="I3274" i="1"/>
  <c r="H3274" i="1"/>
  <c r="J3273" i="1"/>
  <c r="I3273" i="1"/>
  <c r="H3273" i="1"/>
  <c r="J3272" i="1"/>
  <c r="I3272" i="1"/>
  <c r="H3272" i="1"/>
  <c r="J3271" i="1"/>
  <c r="I3271" i="1"/>
  <c r="H3271" i="1"/>
  <c r="J3270" i="1"/>
  <c r="I3270" i="1"/>
  <c r="H3270" i="1"/>
  <c r="J3269" i="1"/>
  <c r="I3269" i="1"/>
  <c r="H3269" i="1"/>
  <c r="J3268" i="1"/>
  <c r="I3268" i="1"/>
  <c r="H3268" i="1"/>
  <c r="J3267" i="1"/>
  <c r="I3267" i="1"/>
  <c r="H3267" i="1"/>
  <c r="J3266" i="1"/>
  <c r="I3266" i="1"/>
  <c r="H3266" i="1"/>
  <c r="J3265" i="1"/>
  <c r="I3265" i="1"/>
  <c r="H3265" i="1"/>
  <c r="J3264" i="1"/>
  <c r="I3264" i="1"/>
  <c r="H3264" i="1"/>
  <c r="J3263" i="1"/>
  <c r="I3263" i="1"/>
  <c r="H3263" i="1"/>
  <c r="J3262" i="1"/>
  <c r="I3262" i="1"/>
  <c r="H3262" i="1"/>
  <c r="J3261" i="1"/>
  <c r="I3261" i="1"/>
  <c r="H3261" i="1"/>
  <c r="J3260" i="1"/>
  <c r="I3260" i="1"/>
  <c r="H3260" i="1"/>
  <c r="J3259" i="1"/>
  <c r="I3259" i="1"/>
  <c r="H3259" i="1"/>
  <c r="J3258" i="1"/>
  <c r="I3258" i="1"/>
  <c r="H3258" i="1"/>
  <c r="J3257" i="1"/>
  <c r="I3257" i="1"/>
  <c r="H3257" i="1"/>
  <c r="J3256" i="1"/>
  <c r="I3256" i="1"/>
  <c r="H3256" i="1"/>
  <c r="J3255" i="1"/>
  <c r="I3255" i="1"/>
  <c r="H3255" i="1"/>
  <c r="J3254" i="1"/>
  <c r="I3254" i="1"/>
  <c r="H3254" i="1"/>
  <c r="J3253" i="1"/>
  <c r="I3253" i="1"/>
  <c r="H3253" i="1"/>
  <c r="J3252" i="1"/>
  <c r="I3252" i="1"/>
  <c r="H3252" i="1"/>
  <c r="J3251" i="1"/>
  <c r="I3251" i="1"/>
  <c r="H3251" i="1"/>
  <c r="J3250" i="1"/>
  <c r="I3250" i="1"/>
  <c r="H3250" i="1"/>
  <c r="J3249" i="1"/>
  <c r="I3249" i="1"/>
  <c r="H3249" i="1"/>
  <c r="J3248" i="1"/>
  <c r="I3248" i="1"/>
  <c r="H3248" i="1"/>
  <c r="J3247" i="1"/>
  <c r="I3247" i="1"/>
  <c r="H3247" i="1"/>
  <c r="J3246" i="1"/>
  <c r="I3246" i="1"/>
  <c r="H3246" i="1"/>
  <c r="J3245" i="1"/>
  <c r="I3245" i="1"/>
  <c r="H3245" i="1"/>
  <c r="J3244" i="1"/>
  <c r="I3244" i="1"/>
  <c r="H3244" i="1"/>
  <c r="J3243" i="1"/>
  <c r="I3243" i="1"/>
  <c r="H3243" i="1"/>
  <c r="J3242" i="1"/>
  <c r="I3242" i="1"/>
  <c r="H3242" i="1"/>
  <c r="J3241" i="1"/>
  <c r="I3241" i="1"/>
  <c r="H3241" i="1"/>
  <c r="J3240" i="1"/>
  <c r="I3240" i="1"/>
  <c r="H3240" i="1"/>
  <c r="J3239" i="1"/>
  <c r="I3239" i="1"/>
  <c r="H3239" i="1"/>
  <c r="J3238" i="1"/>
  <c r="I3238" i="1"/>
  <c r="H3238" i="1"/>
  <c r="J3237" i="1"/>
  <c r="I3237" i="1"/>
  <c r="H3237" i="1"/>
  <c r="J3236" i="1"/>
  <c r="I3236" i="1"/>
  <c r="H3236" i="1"/>
  <c r="J3235" i="1"/>
  <c r="I3235" i="1"/>
  <c r="H3235" i="1"/>
  <c r="J3234" i="1"/>
  <c r="I3234" i="1"/>
  <c r="H3234" i="1"/>
  <c r="J3233" i="1"/>
  <c r="I3233" i="1"/>
  <c r="H3233" i="1"/>
  <c r="J3232" i="1"/>
  <c r="I3232" i="1"/>
  <c r="H3232" i="1"/>
  <c r="J3231" i="1"/>
  <c r="I3231" i="1"/>
  <c r="H3231" i="1"/>
  <c r="J3230" i="1"/>
  <c r="I3230" i="1"/>
  <c r="H3230" i="1"/>
  <c r="J3229" i="1"/>
  <c r="I3229" i="1"/>
  <c r="H3229" i="1"/>
  <c r="J3228" i="1"/>
  <c r="I3228" i="1"/>
  <c r="H3228" i="1"/>
  <c r="J3227" i="1"/>
  <c r="I3227" i="1"/>
  <c r="H3227" i="1"/>
  <c r="J3226" i="1"/>
  <c r="I3226" i="1"/>
  <c r="H3226" i="1"/>
  <c r="J3225" i="1"/>
  <c r="I3225" i="1"/>
  <c r="H3225" i="1"/>
  <c r="J3224" i="1"/>
  <c r="I3224" i="1"/>
  <c r="H3224" i="1"/>
  <c r="J3223" i="1"/>
  <c r="I3223" i="1"/>
  <c r="H3223" i="1"/>
  <c r="J3222" i="1"/>
  <c r="I3222" i="1"/>
  <c r="H3222" i="1"/>
  <c r="J3221" i="1"/>
  <c r="I3221" i="1"/>
  <c r="H3221" i="1"/>
  <c r="J3220" i="1"/>
  <c r="I3220" i="1"/>
  <c r="H3220" i="1"/>
  <c r="J3219" i="1"/>
  <c r="I3219" i="1"/>
  <c r="H3219" i="1"/>
  <c r="J3218" i="1"/>
  <c r="I3218" i="1"/>
  <c r="H3218" i="1"/>
  <c r="J3217" i="1"/>
  <c r="I3217" i="1"/>
  <c r="H3217" i="1"/>
  <c r="J3216" i="1"/>
  <c r="I3216" i="1"/>
  <c r="H3216" i="1"/>
  <c r="J3215" i="1"/>
  <c r="I3215" i="1"/>
  <c r="H3215" i="1"/>
  <c r="J3214" i="1"/>
  <c r="I3214" i="1"/>
  <c r="H3214" i="1"/>
  <c r="J3213" i="1"/>
  <c r="I3213" i="1"/>
  <c r="H3213" i="1"/>
  <c r="J3212" i="1"/>
  <c r="I3212" i="1"/>
  <c r="H3212" i="1"/>
  <c r="J3211" i="1"/>
  <c r="I3211" i="1"/>
  <c r="H3211" i="1"/>
  <c r="J3210" i="1"/>
  <c r="I3210" i="1"/>
  <c r="H3210" i="1"/>
  <c r="J3209" i="1"/>
  <c r="I3209" i="1"/>
  <c r="H3209" i="1"/>
  <c r="J3208" i="1"/>
  <c r="I3208" i="1"/>
  <c r="H3208" i="1"/>
  <c r="J3207" i="1"/>
  <c r="I3207" i="1"/>
  <c r="H3207" i="1"/>
  <c r="J3206" i="1"/>
  <c r="I3206" i="1"/>
  <c r="H3206" i="1"/>
  <c r="J3205" i="1"/>
  <c r="I3205" i="1"/>
  <c r="H3205" i="1"/>
  <c r="J3204" i="1"/>
  <c r="I3204" i="1"/>
  <c r="H3204" i="1"/>
  <c r="J3203" i="1"/>
  <c r="I3203" i="1"/>
  <c r="H3203" i="1"/>
  <c r="J3202" i="1"/>
  <c r="I3202" i="1"/>
  <c r="H3202" i="1"/>
  <c r="J3201" i="1"/>
  <c r="I3201" i="1"/>
  <c r="H3201" i="1"/>
  <c r="J3200" i="1"/>
  <c r="I3200" i="1"/>
  <c r="H3200" i="1"/>
  <c r="J3199" i="1"/>
  <c r="I3199" i="1"/>
  <c r="H3199" i="1"/>
  <c r="J3198" i="1"/>
  <c r="I3198" i="1"/>
  <c r="H3198" i="1"/>
  <c r="J3197" i="1"/>
  <c r="I3197" i="1"/>
  <c r="H3197" i="1"/>
  <c r="J3196" i="1"/>
  <c r="I3196" i="1"/>
  <c r="H3196" i="1"/>
  <c r="J3195" i="1"/>
  <c r="I3195" i="1"/>
  <c r="H3195" i="1"/>
  <c r="J3194" i="1"/>
  <c r="I3194" i="1"/>
  <c r="H3194" i="1"/>
  <c r="J3193" i="1"/>
  <c r="I3193" i="1"/>
  <c r="H3193" i="1"/>
  <c r="J3192" i="1"/>
  <c r="I3192" i="1"/>
  <c r="H3192" i="1"/>
  <c r="J3191" i="1"/>
  <c r="I3191" i="1"/>
  <c r="H3191" i="1"/>
  <c r="J3190" i="1"/>
  <c r="I3190" i="1"/>
  <c r="H3190" i="1"/>
  <c r="J3189" i="1"/>
  <c r="I3189" i="1"/>
  <c r="H3189" i="1"/>
  <c r="J3188" i="1"/>
  <c r="I3188" i="1"/>
  <c r="H3188" i="1"/>
  <c r="J3187" i="1"/>
  <c r="I3187" i="1"/>
  <c r="H3187" i="1"/>
  <c r="J3186" i="1"/>
  <c r="I3186" i="1"/>
  <c r="H3186" i="1"/>
  <c r="J3185" i="1"/>
  <c r="I3185" i="1"/>
  <c r="H3185" i="1"/>
  <c r="J3184" i="1"/>
  <c r="I3184" i="1"/>
  <c r="H3184" i="1"/>
  <c r="J3183" i="1"/>
  <c r="I3183" i="1"/>
  <c r="H3183" i="1"/>
  <c r="J3182" i="1"/>
  <c r="I3182" i="1"/>
  <c r="H3182" i="1"/>
  <c r="J3181" i="1"/>
  <c r="I3181" i="1"/>
  <c r="H3181" i="1"/>
  <c r="J3180" i="1"/>
  <c r="I3180" i="1"/>
  <c r="H3180" i="1"/>
  <c r="J3179" i="1"/>
  <c r="I3179" i="1"/>
  <c r="H3179" i="1"/>
  <c r="J3178" i="1"/>
  <c r="I3178" i="1"/>
  <c r="H3178" i="1"/>
  <c r="J3177" i="1"/>
  <c r="I3177" i="1"/>
  <c r="H3177" i="1"/>
  <c r="J3176" i="1"/>
  <c r="I3176" i="1"/>
  <c r="H3176" i="1"/>
  <c r="J3175" i="1"/>
  <c r="I3175" i="1"/>
  <c r="H3175" i="1"/>
  <c r="J3174" i="1"/>
  <c r="I3174" i="1"/>
  <c r="H3174" i="1"/>
  <c r="J3173" i="1"/>
  <c r="I3173" i="1"/>
  <c r="H3173" i="1"/>
  <c r="J3172" i="1"/>
  <c r="I3172" i="1"/>
  <c r="H3172" i="1"/>
  <c r="J3171" i="1"/>
  <c r="I3171" i="1"/>
  <c r="H3171" i="1"/>
  <c r="J3170" i="1"/>
  <c r="I3170" i="1"/>
  <c r="H3170" i="1"/>
  <c r="J3169" i="1"/>
  <c r="I3169" i="1"/>
  <c r="H3169" i="1"/>
  <c r="J3168" i="1"/>
  <c r="I3168" i="1"/>
  <c r="H3168" i="1"/>
  <c r="J3167" i="1"/>
  <c r="I3167" i="1"/>
  <c r="H3167" i="1"/>
  <c r="J3166" i="1"/>
  <c r="I3166" i="1"/>
  <c r="H3166" i="1"/>
  <c r="J3165" i="1"/>
  <c r="I3165" i="1"/>
  <c r="H3165" i="1"/>
  <c r="J3164" i="1"/>
  <c r="I3164" i="1"/>
  <c r="H3164" i="1"/>
  <c r="J3163" i="1"/>
  <c r="I3163" i="1"/>
  <c r="H3163" i="1"/>
  <c r="J3162" i="1"/>
  <c r="I3162" i="1"/>
  <c r="H3162" i="1"/>
  <c r="J3161" i="1"/>
  <c r="I3161" i="1"/>
  <c r="H3161" i="1"/>
  <c r="J3160" i="1"/>
  <c r="I3160" i="1"/>
  <c r="H3160" i="1"/>
  <c r="J3159" i="1"/>
  <c r="I3159" i="1"/>
  <c r="H3159" i="1"/>
  <c r="J3158" i="1"/>
  <c r="I3158" i="1"/>
  <c r="H3158" i="1"/>
  <c r="J3157" i="1"/>
  <c r="I3157" i="1"/>
  <c r="H3157" i="1"/>
  <c r="J3156" i="1"/>
  <c r="I3156" i="1"/>
  <c r="H3156" i="1"/>
  <c r="J3155" i="1"/>
  <c r="I3155" i="1"/>
  <c r="H3155" i="1"/>
  <c r="J3154" i="1"/>
  <c r="I3154" i="1"/>
  <c r="H3154" i="1"/>
  <c r="J3153" i="1"/>
  <c r="I3153" i="1"/>
  <c r="H3153" i="1"/>
  <c r="J3152" i="1"/>
  <c r="I3152" i="1"/>
  <c r="H3152" i="1"/>
  <c r="J3151" i="1"/>
  <c r="I3151" i="1"/>
  <c r="H3151" i="1"/>
  <c r="J3150" i="1"/>
  <c r="I3150" i="1"/>
  <c r="H3150" i="1"/>
  <c r="J3149" i="1"/>
  <c r="I3149" i="1"/>
  <c r="H3149" i="1"/>
  <c r="J3148" i="1"/>
  <c r="I3148" i="1"/>
  <c r="H3148" i="1"/>
  <c r="J3147" i="1"/>
  <c r="I3147" i="1"/>
  <c r="H3147" i="1"/>
  <c r="J3146" i="1"/>
  <c r="I3146" i="1"/>
  <c r="H3146" i="1"/>
  <c r="J3145" i="1"/>
  <c r="I3145" i="1"/>
  <c r="H3145" i="1"/>
  <c r="J3144" i="1"/>
  <c r="I3144" i="1"/>
  <c r="H3144" i="1"/>
  <c r="J3143" i="1"/>
  <c r="I3143" i="1"/>
  <c r="H3143" i="1"/>
  <c r="J3142" i="1"/>
  <c r="I3142" i="1"/>
  <c r="H3142" i="1"/>
  <c r="J3141" i="1"/>
  <c r="I3141" i="1"/>
  <c r="H3141" i="1"/>
  <c r="J3140" i="1"/>
  <c r="I3140" i="1"/>
  <c r="H3140" i="1"/>
  <c r="J3139" i="1"/>
  <c r="I3139" i="1"/>
  <c r="H3139" i="1"/>
  <c r="J3138" i="1"/>
  <c r="I3138" i="1"/>
  <c r="H3138" i="1"/>
  <c r="J3137" i="1"/>
  <c r="I3137" i="1"/>
  <c r="H3137" i="1"/>
  <c r="J3136" i="1"/>
  <c r="I3136" i="1"/>
  <c r="H3136" i="1"/>
  <c r="J3135" i="1"/>
  <c r="I3135" i="1"/>
  <c r="H3135" i="1"/>
  <c r="J3134" i="1"/>
  <c r="I3134" i="1"/>
  <c r="H3134" i="1"/>
  <c r="J3133" i="1"/>
  <c r="I3133" i="1"/>
  <c r="H3133" i="1"/>
  <c r="J3132" i="1"/>
  <c r="I3132" i="1"/>
  <c r="H3132" i="1"/>
  <c r="J3131" i="1"/>
  <c r="I3131" i="1"/>
  <c r="H3131" i="1"/>
  <c r="J3130" i="1"/>
  <c r="I3130" i="1"/>
  <c r="H3130" i="1"/>
  <c r="J3129" i="1"/>
  <c r="I3129" i="1"/>
  <c r="H3129" i="1"/>
  <c r="J3128" i="1"/>
  <c r="I3128" i="1"/>
  <c r="H3128" i="1"/>
  <c r="J3127" i="1"/>
  <c r="I3127" i="1"/>
  <c r="H3127" i="1"/>
  <c r="J3126" i="1"/>
  <c r="I3126" i="1"/>
  <c r="H3126" i="1"/>
  <c r="J3125" i="1"/>
  <c r="I3125" i="1"/>
  <c r="H3125" i="1"/>
  <c r="J3124" i="1"/>
  <c r="I3124" i="1"/>
  <c r="H3124" i="1"/>
  <c r="J3123" i="1"/>
  <c r="I3123" i="1"/>
  <c r="H3123" i="1"/>
  <c r="J3122" i="1"/>
  <c r="I3122" i="1"/>
  <c r="H3122" i="1"/>
  <c r="J3121" i="1"/>
  <c r="I3121" i="1"/>
  <c r="H3121" i="1"/>
  <c r="J3120" i="1"/>
  <c r="I3120" i="1"/>
  <c r="H3120" i="1"/>
  <c r="J3119" i="1"/>
  <c r="I3119" i="1"/>
  <c r="H3119" i="1"/>
  <c r="J3118" i="1"/>
  <c r="I3118" i="1"/>
  <c r="H3118" i="1"/>
  <c r="J3117" i="1"/>
  <c r="I3117" i="1"/>
  <c r="H3117" i="1"/>
  <c r="J3116" i="1"/>
  <c r="I3116" i="1"/>
  <c r="H3116" i="1"/>
  <c r="J3115" i="1"/>
  <c r="I3115" i="1"/>
  <c r="H3115" i="1"/>
  <c r="J3114" i="1"/>
  <c r="I3114" i="1"/>
  <c r="H3114" i="1"/>
  <c r="J3113" i="1"/>
  <c r="I3113" i="1"/>
  <c r="H3113" i="1"/>
  <c r="J3112" i="1"/>
  <c r="I3112" i="1"/>
  <c r="H3112" i="1"/>
  <c r="J3111" i="1"/>
  <c r="I3111" i="1"/>
  <c r="H3111" i="1"/>
  <c r="J3110" i="1"/>
  <c r="I3110" i="1"/>
  <c r="H3110" i="1"/>
  <c r="J3109" i="1"/>
  <c r="I3109" i="1"/>
  <c r="H3109" i="1"/>
  <c r="J3108" i="1"/>
  <c r="I3108" i="1"/>
  <c r="H3108" i="1"/>
  <c r="J3107" i="1"/>
  <c r="I3107" i="1"/>
  <c r="H3107" i="1"/>
  <c r="J3106" i="1"/>
  <c r="I3106" i="1"/>
  <c r="H3106" i="1"/>
  <c r="J3105" i="1"/>
  <c r="I3105" i="1"/>
  <c r="H3105" i="1"/>
  <c r="J3104" i="1"/>
  <c r="I3104" i="1"/>
  <c r="H3104" i="1"/>
  <c r="J3103" i="1"/>
  <c r="I3103" i="1"/>
  <c r="H3103" i="1"/>
  <c r="J3102" i="1"/>
  <c r="I3102" i="1"/>
  <c r="H3102" i="1"/>
  <c r="J3101" i="1"/>
  <c r="I3101" i="1"/>
  <c r="H3101" i="1"/>
  <c r="J3100" i="1"/>
  <c r="I3100" i="1"/>
  <c r="H3100" i="1"/>
  <c r="J3099" i="1"/>
  <c r="I3099" i="1"/>
  <c r="H3099" i="1"/>
  <c r="J3098" i="1"/>
  <c r="I3098" i="1"/>
  <c r="H3098" i="1"/>
  <c r="J3097" i="1"/>
  <c r="I3097" i="1"/>
  <c r="H3097" i="1"/>
  <c r="J3096" i="1"/>
  <c r="I3096" i="1"/>
  <c r="H3096" i="1"/>
  <c r="J3095" i="1"/>
  <c r="I3095" i="1"/>
  <c r="H3095" i="1"/>
  <c r="J3094" i="1"/>
  <c r="I3094" i="1"/>
  <c r="H3094" i="1"/>
  <c r="J3093" i="1"/>
  <c r="I3093" i="1"/>
  <c r="H3093" i="1"/>
  <c r="J3092" i="1"/>
  <c r="I3092" i="1"/>
  <c r="H3092" i="1"/>
  <c r="J3091" i="1"/>
  <c r="I3091" i="1"/>
  <c r="H3091" i="1"/>
  <c r="J3090" i="1"/>
  <c r="I3090" i="1"/>
  <c r="H3090" i="1"/>
  <c r="J3089" i="1"/>
  <c r="I3089" i="1"/>
  <c r="H3089" i="1"/>
  <c r="J3088" i="1"/>
  <c r="I3088" i="1"/>
  <c r="H3088" i="1"/>
  <c r="J3087" i="1"/>
  <c r="I3087" i="1"/>
  <c r="H3087" i="1"/>
  <c r="J3086" i="1"/>
  <c r="I3086" i="1"/>
  <c r="H3086" i="1"/>
  <c r="J3085" i="1"/>
  <c r="I3085" i="1"/>
  <c r="H3085" i="1"/>
  <c r="J3084" i="1"/>
  <c r="I3084" i="1"/>
  <c r="H3084" i="1"/>
  <c r="J3083" i="1"/>
  <c r="I3083" i="1"/>
  <c r="H3083" i="1"/>
  <c r="J3082" i="1"/>
  <c r="I3082" i="1"/>
  <c r="H3082" i="1"/>
  <c r="J3081" i="1"/>
  <c r="I3081" i="1"/>
  <c r="H3081" i="1"/>
  <c r="J3080" i="1"/>
  <c r="I3080" i="1"/>
  <c r="H3080" i="1"/>
  <c r="J3079" i="1"/>
  <c r="I3079" i="1"/>
  <c r="H3079" i="1"/>
  <c r="J3078" i="1"/>
  <c r="I3078" i="1"/>
  <c r="H3078" i="1"/>
  <c r="J3077" i="1"/>
  <c r="I3077" i="1"/>
  <c r="H3077" i="1"/>
  <c r="J3076" i="1"/>
  <c r="I3076" i="1"/>
  <c r="H3076" i="1"/>
  <c r="J3075" i="1"/>
  <c r="I3075" i="1"/>
  <c r="H3075" i="1"/>
  <c r="J3074" i="1"/>
  <c r="I3074" i="1"/>
  <c r="H3074" i="1"/>
  <c r="J3073" i="1"/>
  <c r="I3073" i="1"/>
  <c r="H3073" i="1"/>
  <c r="J3072" i="1"/>
  <c r="I3072" i="1"/>
  <c r="H3072" i="1"/>
  <c r="J3071" i="1"/>
  <c r="I3071" i="1"/>
  <c r="H3071" i="1"/>
  <c r="J3070" i="1"/>
  <c r="I3070" i="1"/>
  <c r="H3070" i="1"/>
  <c r="J3069" i="1"/>
  <c r="I3069" i="1"/>
  <c r="H3069" i="1"/>
  <c r="J3068" i="1"/>
  <c r="I3068" i="1"/>
  <c r="H3068" i="1"/>
  <c r="J3067" i="1"/>
  <c r="I3067" i="1"/>
  <c r="H3067" i="1"/>
  <c r="J3066" i="1"/>
  <c r="I3066" i="1"/>
  <c r="H3066" i="1"/>
  <c r="J3065" i="1"/>
  <c r="I3065" i="1"/>
  <c r="H3065" i="1"/>
  <c r="J3064" i="1"/>
  <c r="I3064" i="1"/>
  <c r="H3064" i="1"/>
  <c r="J3063" i="1"/>
  <c r="I3063" i="1"/>
  <c r="H3063" i="1"/>
  <c r="J3062" i="1"/>
  <c r="I3062" i="1"/>
  <c r="H3062" i="1"/>
  <c r="J3061" i="1"/>
  <c r="I3061" i="1"/>
  <c r="H3061" i="1"/>
  <c r="J3060" i="1"/>
  <c r="I3060" i="1"/>
  <c r="H3060" i="1"/>
  <c r="J3059" i="1"/>
  <c r="I3059" i="1"/>
  <c r="H3059" i="1"/>
  <c r="J3058" i="1"/>
  <c r="I3058" i="1"/>
  <c r="H3058" i="1"/>
  <c r="J3057" i="1"/>
  <c r="I3057" i="1"/>
  <c r="H3057" i="1"/>
  <c r="J3056" i="1"/>
  <c r="I3056" i="1"/>
  <c r="H3056" i="1"/>
  <c r="J3055" i="1"/>
  <c r="I3055" i="1"/>
  <c r="H3055" i="1"/>
  <c r="J3054" i="1"/>
  <c r="I3054" i="1"/>
  <c r="H3054" i="1"/>
  <c r="J3053" i="1"/>
  <c r="I3053" i="1"/>
  <c r="H3053" i="1"/>
  <c r="J3052" i="1"/>
  <c r="I3052" i="1"/>
  <c r="H3052" i="1"/>
  <c r="J3051" i="1"/>
  <c r="I3051" i="1"/>
  <c r="H3051" i="1"/>
  <c r="J3050" i="1"/>
  <c r="I3050" i="1"/>
  <c r="H3050" i="1"/>
  <c r="J3049" i="1"/>
  <c r="I3049" i="1"/>
  <c r="H3049" i="1"/>
  <c r="J3048" i="1"/>
  <c r="I3048" i="1"/>
  <c r="H3048" i="1"/>
  <c r="J3047" i="1"/>
  <c r="I3047" i="1"/>
  <c r="H3047" i="1"/>
  <c r="J3046" i="1"/>
  <c r="I3046" i="1"/>
  <c r="H3046" i="1"/>
  <c r="J3045" i="1"/>
  <c r="I3045" i="1"/>
  <c r="H3045" i="1"/>
  <c r="J3044" i="1"/>
  <c r="I3044" i="1"/>
  <c r="H3044" i="1"/>
  <c r="J3043" i="1"/>
  <c r="I3043" i="1"/>
  <c r="H3043" i="1"/>
  <c r="J3042" i="1"/>
  <c r="I3042" i="1"/>
  <c r="H3042" i="1"/>
  <c r="J3041" i="1"/>
  <c r="I3041" i="1"/>
  <c r="H3041" i="1"/>
  <c r="J3040" i="1"/>
  <c r="I3040" i="1"/>
  <c r="H3040" i="1"/>
  <c r="J3039" i="1"/>
  <c r="I3039" i="1"/>
  <c r="H3039" i="1"/>
  <c r="J3038" i="1"/>
  <c r="I3038" i="1"/>
  <c r="H3038" i="1"/>
  <c r="J3037" i="1"/>
  <c r="I3037" i="1"/>
  <c r="H3037" i="1"/>
  <c r="J3036" i="1"/>
  <c r="I3036" i="1"/>
  <c r="H3036" i="1"/>
  <c r="J3035" i="1"/>
  <c r="I3035" i="1"/>
  <c r="H3035" i="1"/>
  <c r="J3034" i="1"/>
  <c r="I3034" i="1"/>
  <c r="H3034" i="1"/>
  <c r="J3033" i="1"/>
  <c r="I3033" i="1"/>
  <c r="H3033" i="1"/>
  <c r="J3032" i="1"/>
  <c r="I3032" i="1"/>
  <c r="H3032" i="1"/>
  <c r="J3031" i="1"/>
  <c r="I3031" i="1"/>
  <c r="H3031" i="1"/>
  <c r="J3030" i="1"/>
  <c r="I3030" i="1"/>
  <c r="H3030" i="1"/>
  <c r="J3029" i="1"/>
  <c r="I3029" i="1"/>
  <c r="H3029" i="1"/>
  <c r="J3028" i="1"/>
  <c r="I3028" i="1"/>
  <c r="H3028" i="1"/>
  <c r="J3027" i="1"/>
  <c r="I3027" i="1"/>
  <c r="H3027" i="1"/>
  <c r="J3026" i="1"/>
  <c r="I3026" i="1"/>
  <c r="H3026" i="1"/>
  <c r="J3025" i="1"/>
  <c r="I3025" i="1"/>
  <c r="H3025" i="1"/>
  <c r="J3024" i="1"/>
  <c r="I3024" i="1"/>
  <c r="H3024" i="1"/>
  <c r="J3023" i="1"/>
  <c r="I3023" i="1"/>
  <c r="H3023" i="1"/>
  <c r="J3022" i="1"/>
  <c r="I3022" i="1"/>
  <c r="H3022" i="1"/>
  <c r="J3021" i="1"/>
  <c r="I3021" i="1"/>
  <c r="H3021" i="1"/>
  <c r="J3020" i="1"/>
  <c r="I3020" i="1"/>
  <c r="H3020" i="1"/>
  <c r="J3019" i="1"/>
  <c r="I3019" i="1"/>
  <c r="H3019" i="1"/>
  <c r="J3018" i="1"/>
  <c r="I3018" i="1"/>
  <c r="H3018" i="1"/>
  <c r="J3017" i="1"/>
  <c r="I3017" i="1"/>
  <c r="H3017" i="1"/>
  <c r="J3016" i="1"/>
  <c r="I3016" i="1"/>
  <c r="H3016" i="1"/>
  <c r="J3015" i="1"/>
  <c r="I3015" i="1"/>
  <c r="H3015" i="1"/>
  <c r="J3014" i="1"/>
  <c r="I3014" i="1"/>
  <c r="H3014" i="1"/>
  <c r="J3013" i="1"/>
  <c r="I3013" i="1"/>
  <c r="H3013" i="1"/>
  <c r="J3012" i="1"/>
  <c r="I3012" i="1"/>
  <c r="H3012" i="1"/>
  <c r="J3011" i="1"/>
  <c r="I3011" i="1"/>
  <c r="H3011" i="1"/>
  <c r="J3010" i="1"/>
  <c r="I3010" i="1"/>
  <c r="H3010" i="1"/>
  <c r="J3009" i="1"/>
  <c r="I3009" i="1"/>
  <c r="H3009" i="1"/>
  <c r="J3008" i="1"/>
  <c r="I3008" i="1"/>
  <c r="H3008" i="1"/>
  <c r="J3007" i="1"/>
  <c r="I3007" i="1"/>
  <c r="H3007" i="1"/>
  <c r="J3006" i="1"/>
  <c r="I3006" i="1"/>
  <c r="H3006" i="1"/>
  <c r="J3005" i="1"/>
  <c r="I3005" i="1"/>
  <c r="H3005" i="1"/>
  <c r="J3004" i="1"/>
  <c r="I3004" i="1"/>
  <c r="H3004" i="1"/>
  <c r="J3003" i="1"/>
  <c r="I3003" i="1"/>
  <c r="H3003" i="1"/>
  <c r="J3002" i="1"/>
  <c r="I3002" i="1"/>
  <c r="H3002" i="1"/>
  <c r="J3001" i="1"/>
  <c r="I3001" i="1"/>
  <c r="H3001" i="1"/>
  <c r="J3000" i="1"/>
  <c r="I3000" i="1"/>
  <c r="H3000" i="1"/>
  <c r="J2999" i="1"/>
  <c r="I2999" i="1"/>
  <c r="H2999" i="1"/>
  <c r="J2998" i="1"/>
  <c r="I2998" i="1"/>
  <c r="H2998" i="1"/>
  <c r="J2997" i="1"/>
  <c r="I2997" i="1"/>
  <c r="H2997" i="1"/>
  <c r="J2996" i="1"/>
  <c r="I2996" i="1"/>
  <c r="H2996" i="1"/>
  <c r="J2995" i="1"/>
  <c r="I2995" i="1"/>
  <c r="H2995" i="1"/>
  <c r="J2994" i="1"/>
  <c r="I2994" i="1"/>
  <c r="H2994" i="1"/>
  <c r="J2993" i="1"/>
  <c r="I2993" i="1"/>
  <c r="H2993" i="1"/>
  <c r="J2992" i="1"/>
  <c r="I2992" i="1"/>
  <c r="H2992" i="1"/>
  <c r="J2991" i="1"/>
  <c r="I2991" i="1"/>
  <c r="H2991" i="1"/>
  <c r="J2990" i="1"/>
  <c r="I2990" i="1"/>
  <c r="H2990" i="1"/>
  <c r="J2989" i="1"/>
  <c r="I2989" i="1"/>
  <c r="H2989" i="1"/>
  <c r="J2988" i="1"/>
  <c r="I2988" i="1"/>
  <c r="H2988" i="1"/>
  <c r="J2987" i="1"/>
  <c r="I2987" i="1"/>
  <c r="H2987" i="1"/>
  <c r="J2986" i="1"/>
  <c r="I2986" i="1"/>
  <c r="H2986" i="1"/>
  <c r="J2985" i="1"/>
  <c r="I2985" i="1"/>
  <c r="H2985" i="1"/>
  <c r="J2984" i="1"/>
  <c r="I2984" i="1"/>
  <c r="H2984" i="1"/>
  <c r="J2983" i="1"/>
  <c r="I2983" i="1"/>
  <c r="H2983" i="1"/>
  <c r="J2982" i="1"/>
  <c r="I2982" i="1"/>
  <c r="H2982" i="1"/>
  <c r="J2981" i="1"/>
  <c r="I2981" i="1"/>
  <c r="H2981" i="1"/>
  <c r="J2980" i="1"/>
  <c r="I2980" i="1"/>
  <c r="H2980" i="1"/>
  <c r="J2979" i="1"/>
  <c r="I2979" i="1"/>
  <c r="H2979" i="1"/>
  <c r="J2978" i="1"/>
  <c r="I2978" i="1"/>
  <c r="H2978" i="1"/>
  <c r="J2977" i="1"/>
  <c r="I2977" i="1"/>
  <c r="H2977" i="1"/>
  <c r="J2976" i="1"/>
  <c r="I2976" i="1"/>
  <c r="H2976" i="1"/>
  <c r="J2975" i="1"/>
  <c r="I2975" i="1"/>
  <c r="H2975" i="1"/>
  <c r="J2974" i="1"/>
  <c r="I2974" i="1"/>
  <c r="H2974" i="1"/>
  <c r="J2973" i="1"/>
  <c r="I2973" i="1"/>
  <c r="H2973" i="1"/>
  <c r="J2972" i="1"/>
  <c r="I2972" i="1"/>
  <c r="H2972" i="1"/>
  <c r="J2971" i="1"/>
  <c r="I2971" i="1"/>
  <c r="H2971" i="1"/>
  <c r="J2970" i="1"/>
  <c r="I2970" i="1"/>
  <c r="H2970" i="1"/>
  <c r="J2969" i="1"/>
  <c r="I2969" i="1"/>
  <c r="H2969" i="1"/>
  <c r="J2968" i="1"/>
  <c r="I2968" i="1"/>
  <c r="H2968" i="1"/>
  <c r="J2967" i="1"/>
  <c r="I2967" i="1"/>
  <c r="H2967" i="1"/>
  <c r="J2966" i="1"/>
  <c r="I2966" i="1"/>
  <c r="H2966" i="1"/>
  <c r="J2965" i="1"/>
  <c r="I2965" i="1"/>
  <c r="H2965" i="1"/>
  <c r="J2964" i="1"/>
  <c r="I2964" i="1"/>
  <c r="H2964" i="1"/>
  <c r="J2963" i="1"/>
  <c r="I2963" i="1"/>
  <c r="H2963" i="1"/>
  <c r="J2962" i="1"/>
  <c r="I2962" i="1"/>
  <c r="H2962" i="1"/>
  <c r="J2961" i="1"/>
  <c r="I2961" i="1"/>
  <c r="H2961" i="1"/>
  <c r="J2960" i="1"/>
  <c r="I2960" i="1"/>
  <c r="H2960" i="1"/>
  <c r="J2959" i="1"/>
  <c r="I2959" i="1"/>
  <c r="H2959" i="1"/>
  <c r="J2958" i="1"/>
  <c r="I2958" i="1"/>
  <c r="H2958" i="1"/>
  <c r="J2957" i="1"/>
  <c r="I2957" i="1"/>
  <c r="H2957" i="1"/>
  <c r="J2956" i="1"/>
  <c r="I2956" i="1"/>
  <c r="H2956" i="1"/>
  <c r="J2955" i="1"/>
  <c r="I2955" i="1"/>
  <c r="H2955" i="1"/>
  <c r="J2954" i="1"/>
  <c r="I2954" i="1"/>
  <c r="H2954" i="1"/>
  <c r="J2953" i="1"/>
  <c r="I2953" i="1"/>
  <c r="H2953" i="1"/>
  <c r="J2952" i="1"/>
  <c r="I2952" i="1"/>
  <c r="H2952" i="1"/>
  <c r="J2951" i="1"/>
  <c r="I2951" i="1"/>
  <c r="H2951" i="1"/>
  <c r="J2950" i="1"/>
  <c r="I2950" i="1"/>
  <c r="H2950" i="1"/>
  <c r="J2949" i="1"/>
  <c r="I2949" i="1"/>
  <c r="H2949" i="1"/>
  <c r="J2948" i="1"/>
  <c r="I2948" i="1"/>
  <c r="H2948" i="1"/>
  <c r="J2947" i="1"/>
  <c r="I2947" i="1"/>
  <c r="H2947" i="1"/>
  <c r="J2946" i="1"/>
  <c r="I2946" i="1"/>
  <c r="H2946" i="1"/>
  <c r="J2945" i="1"/>
  <c r="I2945" i="1"/>
  <c r="H2945" i="1"/>
  <c r="J2944" i="1"/>
  <c r="I2944" i="1"/>
  <c r="H2944" i="1"/>
  <c r="J2943" i="1"/>
  <c r="I2943" i="1"/>
  <c r="H2943" i="1"/>
  <c r="J2942" i="1"/>
  <c r="I2942" i="1"/>
  <c r="H2942" i="1"/>
  <c r="J2941" i="1"/>
  <c r="I2941" i="1"/>
  <c r="H2941" i="1"/>
  <c r="J2940" i="1"/>
  <c r="I2940" i="1"/>
  <c r="H2940" i="1"/>
  <c r="J2939" i="1"/>
  <c r="I2939" i="1"/>
  <c r="H2939" i="1"/>
  <c r="J2938" i="1"/>
  <c r="I2938" i="1"/>
  <c r="H2938" i="1"/>
  <c r="J2937" i="1"/>
  <c r="I2937" i="1"/>
  <c r="H2937" i="1"/>
  <c r="J2936" i="1"/>
  <c r="I2936" i="1"/>
  <c r="H2936" i="1"/>
  <c r="J2935" i="1"/>
  <c r="I2935" i="1"/>
  <c r="H2935" i="1"/>
  <c r="J2934" i="1"/>
  <c r="I2934" i="1"/>
  <c r="H2934" i="1"/>
  <c r="J2933" i="1"/>
  <c r="I2933" i="1"/>
  <c r="H2933" i="1"/>
  <c r="J2932" i="1"/>
  <c r="I2932" i="1"/>
  <c r="H2932" i="1"/>
  <c r="J2931" i="1"/>
  <c r="I2931" i="1"/>
  <c r="H2931" i="1"/>
  <c r="J2930" i="1"/>
  <c r="I2930" i="1"/>
  <c r="H2930" i="1"/>
  <c r="J2929" i="1"/>
  <c r="I2929" i="1"/>
  <c r="H2929" i="1"/>
  <c r="J2928" i="1"/>
  <c r="I2928" i="1"/>
  <c r="H2928" i="1"/>
  <c r="J2927" i="1"/>
  <c r="I2927" i="1"/>
  <c r="H2927" i="1"/>
  <c r="J2926" i="1"/>
  <c r="I2926" i="1"/>
  <c r="H2926" i="1"/>
  <c r="J2925" i="1"/>
  <c r="I2925" i="1"/>
  <c r="H2925" i="1"/>
  <c r="J2924" i="1"/>
  <c r="I2924" i="1"/>
  <c r="H2924" i="1"/>
  <c r="J2923" i="1"/>
  <c r="I2923" i="1"/>
  <c r="H2923" i="1"/>
  <c r="J2922" i="1"/>
  <c r="I2922" i="1"/>
  <c r="H2922" i="1"/>
  <c r="J2921" i="1"/>
  <c r="I2921" i="1"/>
  <c r="H2921" i="1"/>
  <c r="J2920" i="1"/>
  <c r="I2920" i="1"/>
  <c r="H2920" i="1"/>
  <c r="J2919" i="1"/>
  <c r="I2919" i="1"/>
  <c r="H2919" i="1"/>
  <c r="J2918" i="1"/>
  <c r="I2918" i="1"/>
  <c r="H2918" i="1"/>
  <c r="J2917" i="1"/>
  <c r="I2917" i="1"/>
  <c r="H2917" i="1"/>
  <c r="J2916" i="1"/>
  <c r="I2916" i="1"/>
  <c r="H2916" i="1"/>
  <c r="J2915" i="1"/>
  <c r="I2915" i="1"/>
  <c r="H2915" i="1"/>
  <c r="J2914" i="1"/>
  <c r="I2914" i="1"/>
  <c r="H2914" i="1"/>
  <c r="J2913" i="1"/>
  <c r="I2913" i="1"/>
  <c r="H2913" i="1"/>
  <c r="J2912" i="1"/>
  <c r="I2912" i="1"/>
  <c r="H2912" i="1"/>
  <c r="J2911" i="1"/>
  <c r="I2911" i="1"/>
  <c r="H2911" i="1"/>
  <c r="J2910" i="1"/>
  <c r="I2910" i="1"/>
  <c r="H2910" i="1"/>
  <c r="J2909" i="1"/>
  <c r="I2909" i="1"/>
  <c r="H2909" i="1"/>
  <c r="J2908" i="1"/>
  <c r="I2908" i="1"/>
  <c r="H2908" i="1"/>
  <c r="J2907" i="1"/>
  <c r="I2907" i="1"/>
  <c r="H2907" i="1"/>
  <c r="J2906" i="1"/>
  <c r="I2906" i="1"/>
  <c r="H2906" i="1"/>
  <c r="J2905" i="1"/>
  <c r="I2905" i="1"/>
  <c r="H2905" i="1"/>
  <c r="J2904" i="1"/>
  <c r="I2904" i="1"/>
  <c r="H2904" i="1"/>
  <c r="J2903" i="1"/>
  <c r="I2903" i="1"/>
  <c r="H2903" i="1"/>
  <c r="J2902" i="1"/>
  <c r="I2902" i="1"/>
  <c r="H2902" i="1"/>
  <c r="J2901" i="1"/>
  <c r="I2901" i="1"/>
  <c r="H2901" i="1"/>
  <c r="J2900" i="1"/>
  <c r="I2900" i="1"/>
  <c r="H2900" i="1"/>
  <c r="J2899" i="1"/>
  <c r="I2899" i="1"/>
  <c r="H2899" i="1"/>
  <c r="J2898" i="1"/>
  <c r="I2898" i="1"/>
  <c r="H2898" i="1"/>
  <c r="J2897" i="1"/>
  <c r="I2897" i="1"/>
  <c r="H2897" i="1"/>
  <c r="J2896" i="1"/>
  <c r="I2896" i="1"/>
  <c r="H2896" i="1"/>
  <c r="J2895" i="1"/>
  <c r="I2895" i="1"/>
  <c r="H2895" i="1"/>
  <c r="J2894" i="1"/>
  <c r="I2894" i="1"/>
  <c r="H2894" i="1"/>
  <c r="J2893" i="1"/>
  <c r="I2893" i="1"/>
  <c r="H2893" i="1"/>
  <c r="J2892" i="1"/>
  <c r="I2892" i="1"/>
  <c r="H2892" i="1"/>
  <c r="J2891" i="1"/>
  <c r="I2891" i="1"/>
  <c r="H2891" i="1"/>
  <c r="J2890" i="1"/>
  <c r="I2890" i="1"/>
  <c r="H2890" i="1"/>
  <c r="J2889" i="1"/>
  <c r="I2889" i="1"/>
  <c r="H2889" i="1"/>
  <c r="J2888" i="1"/>
  <c r="I2888" i="1"/>
  <c r="H2888" i="1"/>
  <c r="J2887" i="1"/>
  <c r="I2887" i="1"/>
  <c r="H2887" i="1"/>
  <c r="J2886" i="1"/>
  <c r="I2886" i="1"/>
  <c r="H2886" i="1"/>
  <c r="J2885" i="1"/>
  <c r="I2885" i="1"/>
  <c r="H2885" i="1"/>
  <c r="J2884" i="1"/>
  <c r="I2884" i="1"/>
  <c r="H2884" i="1"/>
  <c r="J2883" i="1"/>
  <c r="I2883" i="1"/>
  <c r="H2883" i="1"/>
  <c r="J2882" i="1"/>
  <c r="I2882" i="1"/>
  <c r="H2882" i="1"/>
  <c r="J2881" i="1"/>
  <c r="I2881" i="1"/>
  <c r="H2881" i="1"/>
  <c r="J2880" i="1"/>
  <c r="I2880" i="1"/>
  <c r="H2880" i="1"/>
  <c r="J2879" i="1"/>
  <c r="I2879" i="1"/>
  <c r="H2879" i="1"/>
  <c r="J2878" i="1"/>
  <c r="I2878" i="1"/>
  <c r="H2878" i="1"/>
  <c r="J2877" i="1"/>
  <c r="I2877" i="1"/>
  <c r="H2877" i="1"/>
  <c r="J2876" i="1"/>
  <c r="I2876" i="1"/>
  <c r="H2876" i="1"/>
  <c r="J2875" i="1"/>
  <c r="I2875" i="1"/>
  <c r="H2875" i="1"/>
  <c r="J2874" i="1"/>
  <c r="I2874" i="1"/>
  <c r="H2874" i="1"/>
  <c r="J2873" i="1"/>
  <c r="I2873" i="1"/>
  <c r="H2873" i="1"/>
  <c r="J2872" i="1"/>
  <c r="I2872" i="1"/>
  <c r="H2872" i="1"/>
  <c r="J2871" i="1"/>
  <c r="I2871" i="1"/>
  <c r="H2871" i="1"/>
  <c r="J2870" i="1"/>
  <c r="I2870" i="1"/>
  <c r="H2870" i="1"/>
  <c r="J2869" i="1"/>
  <c r="I2869" i="1"/>
  <c r="H2869" i="1"/>
  <c r="J2868" i="1"/>
  <c r="I2868" i="1"/>
  <c r="H2868" i="1"/>
  <c r="J2867" i="1"/>
  <c r="I2867" i="1"/>
  <c r="H2867" i="1"/>
  <c r="J2866" i="1"/>
  <c r="I2866" i="1"/>
  <c r="H2866" i="1"/>
  <c r="J2865" i="1"/>
  <c r="I2865" i="1"/>
  <c r="H2865" i="1"/>
  <c r="J2864" i="1"/>
  <c r="I2864" i="1"/>
  <c r="H2864" i="1"/>
  <c r="J2863" i="1"/>
  <c r="I2863" i="1"/>
  <c r="H2863" i="1"/>
  <c r="J2862" i="1"/>
  <c r="I2862" i="1"/>
  <c r="H2862" i="1"/>
  <c r="J2861" i="1"/>
  <c r="I2861" i="1"/>
  <c r="H2861" i="1"/>
  <c r="J2860" i="1"/>
  <c r="I2860" i="1"/>
  <c r="H2860" i="1"/>
  <c r="J2859" i="1"/>
  <c r="I2859" i="1"/>
  <c r="H2859" i="1"/>
  <c r="J2858" i="1"/>
  <c r="I2858" i="1"/>
  <c r="H2858" i="1"/>
  <c r="J2857" i="1"/>
  <c r="I2857" i="1"/>
  <c r="H2857" i="1"/>
  <c r="J2856" i="1"/>
  <c r="I2856" i="1"/>
  <c r="H2856" i="1"/>
  <c r="J2855" i="1"/>
  <c r="I2855" i="1"/>
  <c r="H2855" i="1"/>
  <c r="J2854" i="1"/>
  <c r="I2854" i="1"/>
  <c r="H2854" i="1"/>
  <c r="J2853" i="1"/>
  <c r="I2853" i="1"/>
  <c r="H2853" i="1"/>
  <c r="J2852" i="1"/>
  <c r="I2852" i="1"/>
  <c r="H2852" i="1"/>
  <c r="J2851" i="1"/>
  <c r="I2851" i="1"/>
  <c r="H2851" i="1"/>
  <c r="J2850" i="1"/>
  <c r="I2850" i="1"/>
  <c r="H2850" i="1"/>
  <c r="J2849" i="1"/>
  <c r="I2849" i="1"/>
  <c r="H2849" i="1"/>
  <c r="J2848" i="1"/>
  <c r="I2848" i="1"/>
  <c r="H2848" i="1"/>
  <c r="J2847" i="1"/>
  <c r="I2847" i="1"/>
  <c r="H2847" i="1"/>
  <c r="J2846" i="1"/>
  <c r="I2846" i="1"/>
  <c r="H2846" i="1"/>
  <c r="J2845" i="1"/>
  <c r="I2845" i="1"/>
  <c r="H2845" i="1"/>
  <c r="J2844" i="1"/>
  <c r="I2844" i="1"/>
  <c r="H2844" i="1"/>
  <c r="J2843" i="1"/>
  <c r="I2843" i="1"/>
  <c r="H2843" i="1"/>
  <c r="J2842" i="1"/>
  <c r="I2842" i="1"/>
  <c r="H2842" i="1"/>
  <c r="J2841" i="1"/>
  <c r="I2841" i="1"/>
  <c r="H2841" i="1"/>
  <c r="J2840" i="1"/>
  <c r="I2840" i="1"/>
  <c r="H2840" i="1"/>
  <c r="J2839" i="1"/>
  <c r="I2839" i="1"/>
  <c r="H2839" i="1"/>
  <c r="J2838" i="1"/>
  <c r="I2838" i="1"/>
  <c r="H2838" i="1"/>
  <c r="J2837" i="1"/>
  <c r="I2837" i="1"/>
  <c r="H2837" i="1"/>
  <c r="J2836" i="1"/>
  <c r="I2836" i="1"/>
  <c r="H2836" i="1"/>
  <c r="J2835" i="1"/>
  <c r="I2835" i="1"/>
  <c r="H2835" i="1"/>
  <c r="J2834" i="1"/>
  <c r="I2834" i="1"/>
  <c r="H2834" i="1"/>
  <c r="J2833" i="1"/>
  <c r="I2833" i="1"/>
  <c r="H2833" i="1"/>
  <c r="J2832" i="1"/>
  <c r="I2832" i="1"/>
  <c r="H2832" i="1"/>
  <c r="J2831" i="1"/>
  <c r="I2831" i="1"/>
  <c r="H2831" i="1"/>
  <c r="J2830" i="1"/>
  <c r="I2830" i="1"/>
  <c r="H2830" i="1"/>
  <c r="J2829" i="1"/>
  <c r="I2829" i="1"/>
  <c r="H2829" i="1"/>
  <c r="J2828" i="1"/>
  <c r="I2828" i="1"/>
  <c r="H2828" i="1"/>
  <c r="J2827" i="1"/>
  <c r="I2827" i="1"/>
  <c r="H2827" i="1"/>
  <c r="J2826" i="1"/>
  <c r="I2826" i="1"/>
  <c r="H2826" i="1"/>
  <c r="J2825" i="1"/>
  <c r="I2825" i="1"/>
  <c r="H2825" i="1"/>
  <c r="J2824" i="1"/>
  <c r="I2824" i="1"/>
  <c r="H2824" i="1"/>
  <c r="J2823" i="1"/>
  <c r="I2823" i="1"/>
  <c r="H2823" i="1"/>
  <c r="J2822" i="1"/>
  <c r="I2822" i="1"/>
  <c r="H2822" i="1"/>
  <c r="J2821" i="1"/>
  <c r="I2821" i="1"/>
  <c r="H2821" i="1"/>
  <c r="J2820" i="1"/>
  <c r="I2820" i="1"/>
  <c r="H2820" i="1"/>
  <c r="J2819" i="1"/>
  <c r="I2819" i="1"/>
  <c r="H2819" i="1"/>
  <c r="J2818" i="1"/>
  <c r="I2818" i="1"/>
  <c r="H2818" i="1"/>
  <c r="J2817" i="1"/>
  <c r="I2817" i="1"/>
  <c r="H2817" i="1"/>
  <c r="J2816" i="1"/>
  <c r="I2816" i="1"/>
  <c r="H2816" i="1"/>
  <c r="J2815" i="1"/>
  <c r="I2815" i="1"/>
  <c r="H2815" i="1"/>
  <c r="J2814" i="1"/>
  <c r="I2814" i="1"/>
  <c r="H2814" i="1"/>
  <c r="J2813" i="1"/>
  <c r="I2813" i="1"/>
  <c r="H2813" i="1"/>
  <c r="J2812" i="1"/>
  <c r="I2812" i="1"/>
  <c r="H2812" i="1"/>
  <c r="J2811" i="1"/>
  <c r="I2811" i="1"/>
  <c r="H2811" i="1"/>
  <c r="J2810" i="1"/>
  <c r="I2810" i="1"/>
  <c r="H2810" i="1"/>
  <c r="J2809" i="1"/>
  <c r="I2809" i="1"/>
  <c r="H2809" i="1"/>
  <c r="J2808" i="1"/>
  <c r="I2808" i="1"/>
  <c r="H2808" i="1"/>
  <c r="J2807" i="1"/>
  <c r="I2807" i="1"/>
  <c r="H2807" i="1"/>
  <c r="J2806" i="1"/>
  <c r="I2806" i="1"/>
  <c r="H2806" i="1"/>
  <c r="J2805" i="1"/>
  <c r="I2805" i="1"/>
  <c r="H2805" i="1"/>
  <c r="J2804" i="1"/>
  <c r="I2804" i="1"/>
  <c r="H2804" i="1"/>
  <c r="J2803" i="1"/>
  <c r="I2803" i="1"/>
  <c r="H2803" i="1"/>
  <c r="J2802" i="1"/>
  <c r="I2802" i="1"/>
  <c r="H2802" i="1"/>
  <c r="J2801" i="1"/>
  <c r="I2801" i="1"/>
  <c r="H2801" i="1"/>
  <c r="J2800" i="1"/>
  <c r="I2800" i="1"/>
  <c r="H2800" i="1"/>
  <c r="J2799" i="1"/>
  <c r="I2799" i="1"/>
  <c r="H2799" i="1"/>
  <c r="J2798" i="1"/>
  <c r="I2798" i="1"/>
  <c r="H2798" i="1"/>
  <c r="J2797" i="1"/>
  <c r="I2797" i="1"/>
  <c r="H2797" i="1"/>
  <c r="J2796" i="1"/>
  <c r="I2796" i="1"/>
  <c r="H2796" i="1"/>
  <c r="J2795" i="1"/>
  <c r="I2795" i="1"/>
  <c r="H2795" i="1"/>
  <c r="J2794" i="1"/>
  <c r="I2794" i="1"/>
  <c r="H2794" i="1"/>
  <c r="J2793" i="1"/>
  <c r="I2793" i="1"/>
  <c r="H2793" i="1"/>
  <c r="J2792" i="1"/>
  <c r="I2792" i="1"/>
  <c r="H2792" i="1"/>
  <c r="J2791" i="1"/>
  <c r="I2791" i="1"/>
  <c r="H2791" i="1"/>
  <c r="J2790" i="1"/>
  <c r="I2790" i="1"/>
  <c r="H2790" i="1"/>
  <c r="J2789" i="1"/>
  <c r="I2789" i="1"/>
  <c r="H2789" i="1"/>
  <c r="J2788" i="1"/>
  <c r="I2788" i="1"/>
  <c r="H2788" i="1"/>
  <c r="J2787" i="1"/>
  <c r="I2787" i="1"/>
  <c r="H2787" i="1"/>
  <c r="J2786" i="1"/>
  <c r="I2786" i="1"/>
  <c r="H2786" i="1"/>
  <c r="J2785" i="1"/>
  <c r="I2785" i="1"/>
  <c r="H2785" i="1"/>
  <c r="J2784" i="1"/>
  <c r="I2784" i="1"/>
  <c r="H2784" i="1"/>
  <c r="J2783" i="1"/>
  <c r="I2783" i="1"/>
  <c r="H2783" i="1"/>
  <c r="J2782" i="1"/>
  <c r="I2782" i="1"/>
  <c r="H2782" i="1"/>
  <c r="J2781" i="1"/>
  <c r="I2781" i="1"/>
  <c r="H2781" i="1"/>
  <c r="J2780" i="1"/>
  <c r="I2780" i="1"/>
  <c r="H2780" i="1"/>
  <c r="J2779" i="1"/>
  <c r="I2779" i="1"/>
  <c r="H2779" i="1"/>
  <c r="J2778" i="1"/>
  <c r="I2778" i="1"/>
  <c r="H2778" i="1"/>
  <c r="J2777" i="1"/>
  <c r="I2777" i="1"/>
  <c r="H2777" i="1"/>
  <c r="J2776" i="1"/>
  <c r="I2776" i="1"/>
  <c r="H2776" i="1"/>
  <c r="J2775" i="1"/>
  <c r="I2775" i="1"/>
  <c r="H2775" i="1"/>
  <c r="J2774" i="1"/>
  <c r="I2774" i="1"/>
  <c r="H2774" i="1"/>
  <c r="J2773" i="1"/>
  <c r="I2773" i="1"/>
  <c r="H2773" i="1"/>
  <c r="J2772" i="1"/>
  <c r="I2772" i="1"/>
  <c r="H2772" i="1"/>
  <c r="J2771" i="1"/>
  <c r="I2771" i="1"/>
  <c r="H2771" i="1"/>
  <c r="J2770" i="1"/>
  <c r="I2770" i="1"/>
  <c r="H2770" i="1"/>
  <c r="J2769" i="1"/>
  <c r="I2769" i="1"/>
  <c r="H2769" i="1"/>
  <c r="J2768" i="1"/>
  <c r="I2768" i="1"/>
  <c r="H2768" i="1"/>
  <c r="J2767" i="1"/>
  <c r="I2767" i="1"/>
  <c r="H2767" i="1"/>
  <c r="J2766" i="1"/>
  <c r="I2766" i="1"/>
  <c r="H2766" i="1"/>
  <c r="J2765" i="1"/>
  <c r="I2765" i="1"/>
  <c r="H2765" i="1"/>
  <c r="J2764" i="1"/>
  <c r="I2764" i="1"/>
  <c r="H2764" i="1"/>
  <c r="J2763" i="1"/>
  <c r="I2763" i="1"/>
  <c r="H2763" i="1"/>
  <c r="J2762" i="1"/>
  <c r="I2762" i="1"/>
  <c r="H2762" i="1"/>
  <c r="J2761" i="1"/>
  <c r="I2761" i="1"/>
  <c r="H2761" i="1"/>
  <c r="J2760" i="1"/>
  <c r="I2760" i="1"/>
  <c r="H2760" i="1"/>
  <c r="J2759" i="1"/>
  <c r="I2759" i="1"/>
  <c r="H2759" i="1"/>
  <c r="J2758" i="1"/>
  <c r="I2758" i="1"/>
  <c r="H2758" i="1"/>
  <c r="J2757" i="1"/>
  <c r="I2757" i="1"/>
  <c r="H2757" i="1"/>
  <c r="J2756" i="1"/>
  <c r="I2756" i="1"/>
  <c r="H2756" i="1"/>
  <c r="J2755" i="1"/>
  <c r="I2755" i="1"/>
  <c r="H2755" i="1"/>
  <c r="J2754" i="1"/>
  <c r="I2754" i="1"/>
  <c r="H2754" i="1"/>
  <c r="J2753" i="1"/>
  <c r="I2753" i="1"/>
  <c r="H2753" i="1"/>
  <c r="J2752" i="1"/>
  <c r="I2752" i="1"/>
  <c r="H2752" i="1"/>
  <c r="J2751" i="1"/>
  <c r="I2751" i="1"/>
  <c r="H2751" i="1"/>
  <c r="J2750" i="1"/>
  <c r="I2750" i="1"/>
  <c r="H2750" i="1"/>
  <c r="J2749" i="1"/>
  <c r="I2749" i="1"/>
  <c r="H2749" i="1"/>
  <c r="J2748" i="1"/>
  <c r="I2748" i="1"/>
  <c r="H2748" i="1"/>
  <c r="J2747" i="1"/>
  <c r="I2747" i="1"/>
  <c r="H2747" i="1"/>
  <c r="J2746" i="1"/>
  <c r="I2746" i="1"/>
  <c r="H2746" i="1"/>
  <c r="J2745" i="1"/>
  <c r="I2745" i="1"/>
  <c r="H2745" i="1"/>
  <c r="J2744" i="1"/>
  <c r="I2744" i="1"/>
  <c r="H2744" i="1"/>
  <c r="J2743" i="1"/>
  <c r="I2743" i="1"/>
  <c r="H2743" i="1"/>
  <c r="J2742" i="1"/>
  <c r="I2742" i="1"/>
  <c r="H2742" i="1"/>
  <c r="J2741" i="1"/>
  <c r="I2741" i="1"/>
  <c r="H2741" i="1"/>
  <c r="J2740" i="1"/>
  <c r="I2740" i="1"/>
  <c r="H2740" i="1"/>
  <c r="J2739" i="1"/>
  <c r="I2739" i="1"/>
  <c r="H2739" i="1"/>
  <c r="J2738" i="1"/>
  <c r="I2738" i="1"/>
  <c r="H2738" i="1"/>
  <c r="J2737" i="1"/>
  <c r="I2737" i="1"/>
  <c r="H2737" i="1"/>
  <c r="J2736" i="1"/>
  <c r="I2736" i="1"/>
  <c r="H2736" i="1"/>
  <c r="J2735" i="1"/>
  <c r="I2735" i="1"/>
  <c r="H2735" i="1"/>
  <c r="J2734" i="1"/>
  <c r="I2734" i="1"/>
  <c r="H2734" i="1"/>
  <c r="J2733" i="1"/>
  <c r="I2733" i="1"/>
  <c r="H2733" i="1"/>
  <c r="J2732" i="1"/>
  <c r="I2732" i="1"/>
  <c r="H2732" i="1"/>
  <c r="J2731" i="1"/>
  <c r="I2731" i="1"/>
  <c r="H2731" i="1"/>
  <c r="J2730" i="1"/>
  <c r="I2730" i="1"/>
  <c r="H2730" i="1"/>
  <c r="J2729" i="1"/>
  <c r="I2729" i="1"/>
  <c r="H2729" i="1"/>
  <c r="J2728" i="1"/>
  <c r="I2728" i="1"/>
  <c r="H2728" i="1"/>
  <c r="J2727" i="1"/>
  <c r="I2727" i="1"/>
  <c r="H2727" i="1"/>
  <c r="J2726" i="1"/>
  <c r="I2726" i="1"/>
  <c r="H2726" i="1"/>
  <c r="J2725" i="1"/>
  <c r="I2725" i="1"/>
  <c r="H2725" i="1"/>
  <c r="J2724" i="1"/>
  <c r="I2724" i="1"/>
  <c r="H2724" i="1"/>
  <c r="J2723" i="1"/>
  <c r="I2723" i="1"/>
  <c r="H2723" i="1"/>
  <c r="J2722" i="1"/>
  <c r="I2722" i="1"/>
  <c r="H2722" i="1"/>
  <c r="J2721" i="1"/>
  <c r="I2721" i="1"/>
  <c r="H2721" i="1"/>
  <c r="J2720" i="1"/>
  <c r="I2720" i="1"/>
  <c r="H2720" i="1"/>
  <c r="J2719" i="1"/>
  <c r="I2719" i="1"/>
  <c r="H2719" i="1"/>
  <c r="J2718" i="1"/>
  <c r="I2718" i="1"/>
  <c r="H2718" i="1"/>
  <c r="J2717" i="1"/>
  <c r="I2717" i="1"/>
  <c r="H2717" i="1"/>
  <c r="J2716" i="1"/>
  <c r="I2716" i="1"/>
  <c r="H2716" i="1"/>
  <c r="J2715" i="1"/>
  <c r="I2715" i="1"/>
  <c r="H2715" i="1"/>
  <c r="J2714" i="1"/>
  <c r="I2714" i="1"/>
  <c r="H2714" i="1"/>
  <c r="J2713" i="1"/>
  <c r="I2713" i="1"/>
  <c r="H2713" i="1"/>
  <c r="J2712" i="1"/>
  <c r="I2712" i="1"/>
  <c r="H2712" i="1"/>
  <c r="J2711" i="1"/>
  <c r="I2711" i="1"/>
  <c r="H2711" i="1"/>
  <c r="J2710" i="1"/>
  <c r="I2710" i="1"/>
  <c r="H2710" i="1"/>
  <c r="J2709" i="1"/>
  <c r="I2709" i="1"/>
  <c r="H2709" i="1"/>
  <c r="J2708" i="1"/>
  <c r="I2708" i="1"/>
  <c r="H2708" i="1"/>
  <c r="J2707" i="1"/>
  <c r="I2707" i="1"/>
  <c r="H2707" i="1"/>
  <c r="J2706" i="1"/>
  <c r="I2706" i="1"/>
  <c r="H2706" i="1"/>
  <c r="J2705" i="1"/>
  <c r="I2705" i="1"/>
  <c r="H2705" i="1"/>
  <c r="J2704" i="1"/>
  <c r="I2704" i="1"/>
  <c r="H2704" i="1"/>
  <c r="J2703" i="1"/>
  <c r="I2703" i="1"/>
  <c r="H2703" i="1"/>
  <c r="J2702" i="1"/>
  <c r="I2702" i="1"/>
  <c r="H2702" i="1"/>
  <c r="J2701" i="1"/>
  <c r="I2701" i="1"/>
  <c r="H2701" i="1"/>
  <c r="J2700" i="1"/>
  <c r="I2700" i="1"/>
  <c r="H2700" i="1"/>
  <c r="J2699" i="1"/>
  <c r="I2699" i="1"/>
  <c r="H2699" i="1"/>
  <c r="J2698" i="1"/>
  <c r="I2698" i="1"/>
  <c r="H2698" i="1"/>
  <c r="J2697" i="1"/>
  <c r="I2697" i="1"/>
  <c r="H2697" i="1"/>
  <c r="J2696" i="1"/>
  <c r="I2696" i="1"/>
  <c r="H2696" i="1"/>
  <c r="J2695" i="1"/>
  <c r="I2695" i="1"/>
  <c r="H2695" i="1"/>
  <c r="J2694" i="1"/>
  <c r="I2694" i="1"/>
  <c r="H2694" i="1"/>
  <c r="J2693" i="1"/>
  <c r="I2693" i="1"/>
  <c r="H2693" i="1"/>
  <c r="J2692" i="1"/>
  <c r="I2692" i="1"/>
  <c r="H2692" i="1"/>
  <c r="J2691" i="1"/>
  <c r="I2691" i="1"/>
  <c r="H2691" i="1"/>
  <c r="J2690" i="1"/>
  <c r="I2690" i="1"/>
  <c r="H2690" i="1"/>
  <c r="J2689" i="1"/>
  <c r="I2689" i="1"/>
  <c r="H2689" i="1"/>
  <c r="J2688" i="1"/>
  <c r="I2688" i="1"/>
  <c r="H2688" i="1"/>
  <c r="J2687" i="1"/>
  <c r="I2687" i="1"/>
  <c r="H2687" i="1"/>
  <c r="J2686" i="1"/>
  <c r="I2686" i="1"/>
  <c r="H2686" i="1"/>
  <c r="J2685" i="1"/>
  <c r="I2685" i="1"/>
  <c r="H2685" i="1"/>
  <c r="J2684" i="1"/>
  <c r="I2684" i="1"/>
  <c r="H2684" i="1"/>
  <c r="J2683" i="1"/>
  <c r="I2683" i="1"/>
  <c r="H2683" i="1"/>
  <c r="J2682" i="1"/>
  <c r="I2682" i="1"/>
  <c r="H2682" i="1"/>
  <c r="J2681" i="1"/>
  <c r="I2681" i="1"/>
  <c r="H2681" i="1"/>
  <c r="J2680" i="1"/>
  <c r="I2680" i="1"/>
  <c r="H2680" i="1"/>
  <c r="J2679" i="1"/>
  <c r="I2679" i="1"/>
  <c r="H2679" i="1"/>
  <c r="J2678" i="1"/>
  <c r="I2678" i="1"/>
  <c r="H2678" i="1"/>
  <c r="J2677" i="1"/>
  <c r="I2677" i="1"/>
  <c r="H2677" i="1"/>
  <c r="J2676" i="1"/>
  <c r="I2676" i="1"/>
  <c r="H2676" i="1"/>
  <c r="J2675" i="1"/>
  <c r="I2675" i="1"/>
  <c r="H2675" i="1"/>
  <c r="J2674" i="1"/>
  <c r="I2674" i="1"/>
  <c r="H2674" i="1"/>
  <c r="J2673" i="1"/>
  <c r="I2673" i="1"/>
  <c r="H2673" i="1"/>
  <c r="J2672" i="1"/>
  <c r="I2672" i="1"/>
  <c r="H2672" i="1"/>
  <c r="J2671" i="1"/>
  <c r="I2671" i="1"/>
  <c r="H2671" i="1"/>
  <c r="J2670" i="1"/>
  <c r="I2670" i="1"/>
  <c r="H2670" i="1"/>
  <c r="J2669" i="1"/>
  <c r="I2669" i="1"/>
  <c r="H2669" i="1"/>
  <c r="J2668" i="1"/>
  <c r="I2668" i="1"/>
  <c r="H2668" i="1"/>
  <c r="J2667" i="1"/>
  <c r="I2667" i="1"/>
  <c r="H2667" i="1"/>
  <c r="J2666" i="1"/>
  <c r="I2666" i="1"/>
  <c r="H2666" i="1"/>
  <c r="J2665" i="1"/>
  <c r="I2665" i="1"/>
  <c r="H2665" i="1"/>
  <c r="J2664" i="1"/>
  <c r="I2664" i="1"/>
  <c r="H2664" i="1"/>
  <c r="J2663" i="1"/>
  <c r="I2663" i="1"/>
  <c r="H2663" i="1"/>
  <c r="J2662" i="1"/>
  <c r="I2662" i="1"/>
  <c r="H2662" i="1"/>
  <c r="J2661" i="1"/>
  <c r="I2661" i="1"/>
  <c r="H2661" i="1"/>
  <c r="J2660" i="1"/>
  <c r="I2660" i="1"/>
  <c r="H2660" i="1"/>
  <c r="J2659" i="1"/>
  <c r="I2659" i="1"/>
  <c r="H2659" i="1"/>
  <c r="J2658" i="1"/>
  <c r="I2658" i="1"/>
  <c r="H2658" i="1"/>
  <c r="J2657" i="1"/>
  <c r="I2657" i="1"/>
  <c r="H2657" i="1"/>
  <c r="J2656" i="1"/>
  <c r="I2656" i="1"/>
  <c r="H2656" i="1"/>
  <c r="J2655" i="1"/>
  <c r="I2655" i="1"/>
  <c r="H2655" i="1"/>
  <c r="J2654" i="1"/>
  <c r="I2654" i="1"/>
  <c r="H2654" i="1"/>
  <c r="J2653" i="1"/>
  <c r="I2653" i="1"/>
  <c r="H2653" i="1"/>
  <c r="J2652" i="1"/>
  <c r="I2652" i="1"/>
  <c r="H2652" i="1"/>
  <c r="J2651" i="1"/>
  <c r="I2651" i="1"/>
  <c r="H2651" i="1"/>
  <c r="J2650" i="1"/>
  <c r="I2650" i="1"/>
  <c r="H2650" i="1"/>
  <c r="J2649" i="1"/>
  <c r="I2649" i="1"/>
  <c r="H2649" i="1"/>
  <c r="J2648" i="1"/>
  <c r="I2648" i="1"/>
  <c r="H2648" i="1"/>
  <c r="J2647" i="1"/>
  <c r="I2647" i="1"/>
  <c r="H2647" i="1"/>
  <c r="J2646" i="1"/>
  <c r="I2646" i="1"/>
  <c r="H2646" i="1"/>
  <c r="J2645" i="1"/>
  <c r="I2645" i="1"/>
  <c r="H2645" i="1"/>
  <c r="J2644" i="1"/>
  <c r="I2644" i="1"/>
  <c r="H2644" i="1"/>
  <c r="J2643" i="1"/>
  <c r="I2643" i="1"/>
  <c r="H2643" i="1"/>
  <c r="J2642" i="1"/>
  <c r="I2642" i="1"/>
  <c r="H2642" i="1"/>
  <c r="J2641" i="1"/>
  <c r="I2641" i="1"/>
  <c r="H2641" i="1"/>
  <c r="J2640" i="1"/>
  <c r="I2640" i="1"/>
  <c r="H2640" i="1"/>
  <c r="J2639" i="1"/>
  <c r="I2639" i="1"/>
  <c r="H2639" i="1"/>
  <c r="J2638" i="1"/>
  <c r="I2638" i="1"/>
  <c r="H2638" i="1"/>
  <c r="J2637" i="1"/>
  <c r="I2637" i="1"/>
  <c r="H2637" i="1"/>
  <c r="J2636" i="1"/>
  <c r="I2636" i="1"/>
  <c r="H2636" i="1"/>
  <c r="J2635" i="1"/>
  <c r="I2635" i="1"/>
  <c r="H2635" i="1"/>
  <c r="J2634" i="1"/>
  <c r="I2634" i="1"/>
  <c r="H2634" i="1"/>
  <c r="J2633" i="1"/>
  <c r="I2633" i="1"/>
  <c r="H2633" i="1"/>
  <c r="J2632" i="1"/>
  <c r="I2632" i="1"/>
  <c r="H2632" i="1"/>
  <c r="J2631" i="1"/>
  <c r="I2631" i="1"/>
  <c r="H2631" i="1"/>
  <c r="J2630" i="1"/>
  <c r="I2630" i="1"/>
  <c r="H2630" i="1"/>
  <c r="J2629" i="1"/>
  <c r="I2629" i="1"/>
  <c r="H2629" i="1"/>
  <c r="J2628" i="1"/>
  <c r="I2628" i="1"/>
  <c r="H2628" i="1"/>
  <c r="J2627" i="1"/>
  <c r="I2627" i="1"/>
  <c r="H2627" i="1"/>
  <c r="J2626" i="1"/>
  <c r="I2626" i="1"/>
  <c r="H2626" i="1"/>
  <c r="J2625" i="1"/>
  <c r="I2625" i="1"/>
  <c r="H2625" i="1"/>
  <c r="J2624" i="1"/>
  <c r="I2624" i="1"/>
  <c r="H2624" i="1"/>
  <c r="J2623" i="1"/>
  <c r="I2623" i="1"/>
  <c r="H2623" i="1"/>
  <c r="J2622" i="1"/>
  <c r="I2622" i="1"/>
  <c r="H2622" i="1"/>
  <c r="J2621" i="1"/>
  <c r="I2621" i="1"/>
  <c r="H2621" i="1"/>
  <c r="J2620" i="1"/>
  <c r="I2620" i="1"/>
  <c r="H2620" i="1"/>
  <c r="J2619" i="1"/>
  <c r="I2619" i="1"/>
  <c r="H2619" i="1"/>
  <c r="J2618" i="1"/>
  <c r="I2618" i="1"/>
  <c r="H2618" i="1"/>
  <c r="J2617" i="1"/>
  <c r="I2617" i="1"/>
  <c r="H2617" i="1"/>
  <c r="J2616" i="1"/>
  <c r="I2616" i="1"/>
  <c r="H2616" i="1"/>
  <c r="J2615" i="1"/>
  <c r="I2615" i="1"/>
  <c r="H2615" i="1"/>
  <c r="J2614" i="1"/>
  <c r="I2614" i="1"/>
  <c r="H2614" i="1"/>
  <c r="J2613" i="1"/>
  <c r="I2613" i="1"/>
  <c r="H2613" i="1"/>
  <c r="J2612" i="1"/>
  <c r="I2612" i="1"/>
  <c r="H2612" i="1"/>
  <c r="J2611" i="1"/>
  <c r="I2611" i="1"/>
  <c r="H2611" i="1"/>
  <c r="J2610" i="1"/>
  <c r="I2610" i="1"/>
  <c r="H2610" i="1"/>
  <c r="J2609" i="1"/>
  <c r="I2609" i="1"/>
  <c r="H2609" i="1"/>
  <c r="J2608" i="1"/>
  <c r="I2608" i="1"/>
  <c r="H2608" i="1"/>
  <c r="J2607" i="1"/>
  <c r="I2607" i="1"/>
  <c r="H2607" i="1"/>
  <c r="J2606" i="1"/>
  <c r="I2606" i="1"/>
  <c r="H2606" i="1"/>
  <c r="J2605" i="1"/>
  <c r="I2605" i="1"/>
  <c r="H2605" i="1"/>
  <c r="J2604" i="1"/>
  <c r="I2604" i="1"/>
  <c r="H2604" i="1"/>
  <c r="J2603" i="1"/>
  <c r="I2603" i="1"/>
  <c r="H2603" i="1"/>
  <c r="J2602" i="1"/>
  <c r="I2602" i="1"/>
  <c r="H2602" i="1"/>
  <c r="J2601" i="1"/>
  <c r="I2601" i="1"/>
  <c r="H2601" i="1"/>
  <c r="J2600" i="1"/>
  <c r="I2600" i="1"/>
  <c r="H2600" i="1"/>
  <c r="J2599" i="1"/>
  <c r="I2599" i="1"/>
  <c r="H2599" i="1"/>
  <c r="J2598" i="1"/>
  <c r="I2598" i="1"/>
  <c r="H2598" i="1"/>
  <c r="J2597" i="1"/>
  <c r="I2597" i="1"/>
  <c r="H2597" i="1"/>
  <c r="J2596" i="1"/>
  <c r="I2596" i="1"/>
  <c r="H2596" i="1"/>
  <c r="J2595" i="1"/>
  <c r="I2595" i="1"/>
  <c r="H2595" i="1"/>
  <c r="J2594" i="1"/>
  <c r="I2594" i="1"/>
  <c r="H2594" i="1"/>
  <c r="J2593" i="1"/>
  <c r="I2593" i="1"/>
  <c r="H2593" i="1"/>
  <c r="J2592" i="1"/>
  <c r="I2592" i="1"/>
  <c r="H2592" i="1"/>
  <c r="J2591" i="1"/>
  <c r="I2591" i="1"/>
  <c r="H2591" i="1"/>
  <c r="J2590" i="1"/>
  <c r="I2590" i="1"/>
  <c r="H2590" i="1"/>
  <c r="J2589" i="1"/>
  <c r="I2589" i="1"/>
  <c r="H2589" i="1"/>
  <c r="J2588" i="1"/>
  <c r="I2588" i="1"/>
  <c r="H2588" i="1"/>
  <c r="J2587" i="1"/>
  <c r="I2587" i="1"/>
  <c r="H2587" i="1"/>
  <c r="J2586" i="1"/>
  <c r="I2586" i="1"/>
  <c r="H2586" i="1"/>
  <c r="J2585" i="1"/>
  <c r="I2585" i="1"/>
  <c r="H2585" i="1"/>
  <c r="J2584" i="1"/>
  <c r="I2584" i="1"/>
  <c r="H2584" i="1"/>
  <c r="J2583" i="1"/>
  <c r="I2583" i="1"/>
  <c r="H2583" i="1"/>
  <c r="J2582" i="1"/>
  <c r="I2582" i="1"/>
  <c r="H2582" i="1"/>
  <c r="J2581" i="1"/>
  <c r="I2581" i="1"/>
  <c r="H2581" i="1"/>
  <c r="J2580" i="1"/>
  <c r="I2580" i="1"/>
  <c r="H2580" i="1"/>
  <c r="J2579" i="1"/>
  <c r="I2579" i="1"/>
  <c r="H2579" i="1"/>
  <c r="J2578" i="1"/>
  <c r="I2578" i="1"/>
  <c r="H2578" i="1"/>
  <c r="J2577" i="1"/>
  <c r="I2577" i="1"/>
  <c r="H2577" i="1"/>
  <c r="J2576" i="1"/>
  <c r="I2576" i="1"/>
  <c r="H2576" i="1"/>
  <c r="J2575" i="1"/>
  <c r="I2575" i="1"/>
  <c r="H2575" i="1"/>
  <c r="J2574" i="1"/>
  <c r="I2574" i="1"/>
  <c r="H2574" i="1"/>
  <c r="J2573" i="1"/>
  <c r="I2573" i="1"/>
  <c r="H2573" i="1"/>
  <c r="J2572" i="1"/>
  <c r="I2572" i="1"/>
  <c r="H2572" i="1"/>
  <c r="J2571" i="1"/>
  <c r="I2571" i="1"/>
  <c r="H2571" i="1"/>
  <c r="J2570" i="1"/>
  <c r="I2570" i="1"/>
  <c r="H2570" i="1"/>
  <c r="J2569" i="1"/>
  <c r="I2569" i="1"/>
  <c r="H2569" i="1"/>
  <c r="J2568" i="1"/>
  <c r="I2568" i="1"/>
  <c r="H2568" i="1"/>
  <c r="J2567" i="1"/>
  <c r="I2567" i="1"/>
  <c r="H2567" i="1"/>
  <c r="J2566" i="1"/>
  <c r="I2566" i="1"/>
  <c r="H2566" i="1"/>
  <c r="J2565" i="1"/>
  <c r="I2565" i="1"/>
  <c r="H2565" i="1"/>
  <c r="J2564" i="1"/>
  <c r="I2564" i="1"/>
  <c r="H2564" i="1"/>
  <c r="J2563" i="1"/>
  <c r="I2563" i="1"/>
  <c r="H2563" i="1"/>
  <c r="J2562" i="1"/>
  <c r="I2562" i="1"/>
  <c r="H2562" i="1"/>
  <c r="J2561" i="1"/>
  <c r="I2561" i="1"/>
  <c r="H2561" i="1"/>
  <c r="J2560" i="1"/>
  <c r="I2560" i="1"/>
  <c r="H2560" i="1"/>
  <c r="J2559" i="1"/>
  <c r="I2559" i="1"/>
  <c r="H2559" i="1"/>
  <c r="J2558" i="1"/>
  <c r="I2558" i="1"/>
  <c r="H2558" i="1"/>
  <c r="J2557" i="1"/>
  <c r="I2557" i="1"/>
  <c r="H2557" i="1"/>
  <c r="J2556" i="1"/>
  <c r="I2556" i="1"/>
  <c r="H2556" i="1"/>
  <c r="J2555" i="1"/>
  <c r="I2555" i="1"/>
  <c r="H2555" i="1"/>
  <c r="J2554" i="1"/>
  <c r="I2554" i="1"/>
  <c r="H2554" i="1"/>
  <c r="J2553" i="1"/>
  <c r="I2553" i="1"/>
  <c r="H2553" i="1"/>
  <c r="J2552" i="1"/>
  <c r="I2552" i="1"/>
  <c r="H2552" i="1"/>
  <c r="J2551" i="1"/>
  <c r="I2551" i="1"/>
  <c r="H2551" i="1"/>
  <c r="J2550" i="1"/>
  <c r="I2550" i="1"/>
  <c r="H2550" i="1"/>
  <c r="J2549" i="1"/>
  <c r="I2549" i="1"/>
  <c r="H2549" i="1"/>
  <c r="J2548" i="1"/>
  <c r="I2548" i="1"/>
  <c r="H2548" i="1"/>
  <c r="J2547" i="1"/>
  <c r="I2547" i="1"/>
  <c r="H2547" i="1"/>
  <c r="J2546" i="1"/>
  <c r="I2546" i="1"/>
  <c r="H2546" i="1"/>
  <c r="J2545" i="1"/>
  <c r="I2545" i="1"/>
  <c r="H2545" i="1"/>
  <c r="J2544" i="1"/>
  <c r="I2544" i="1"/>
  <c r="H2544" i="1"/>
  <c r="J2543" i="1"/>
  <c r="I2543" i="1"/>
  <c r="H2543" i="1"/>
  <c r="J2542" i="1"/>
  <c r="I2542" i="1"/>
  <c r="H2542" i="1"/>
  <c r="J2541" i="1"/>
  <c r="I2541" i="1"/>
  <c r="H2541" i="1"/>
  <c r="J2540" i="1"/>
  <c r="I2540" i="1"/>
  <c r="H2540" i="1"/>
  <c r="J2539" i="1"/>
  <c r="I2539" i="1"/>
  <c r="H2539" i="1"/>
  <c r="J2538" i="1"/>
  <c r="I2538" i="1"/>
  <c r="H2538" i="1"/>
  <c r="J2537" i="1"/>
  <c r="I2537" i="1"/>
  <c r="H2537" i="1"/>
  <c r="J2536" i="1"/>
  <c r="I2536" i="1"/>
  <c r="H2536" i="1"/>
  <c r="J2535" i="1"/>
  <c r="I2535" i="1"/>
  <c r="H2535" i="1"/>
  <c r="J2534" i="1"/>
  <c r="I2534" i="1"/>
  <c r="H2534" i="1"/>
  <c r="J2533" i="1"/>
  <c r="I2533" i="1"/>
  <c r="H2533" i="1"/>
  <c r="J2532" i="1"/>
  <c r="I2532" i="1"/>
  <c r="H2532" i="1"/>
  <c r="J2531" i="1"/>
  <c r="I2531" i="1"/>
  <c r="H2531" i="1"/>
  <c r="J2530" i="1"/>
  <c r="I2530" i="1"/>
  <c r="H2530" i="1"/>
  <c r="J2529" i="1"/>
  <c r="I2529" i="1"/>
  <c r="H2529" i="1"/>
  <c r="J2528" i="1"/>
  <c r="I2528" i="1"/>
  <c r="H2528" i="1"/>
  <c r="J2527" i="1"/>
  <c r="I2527" i="1"/>
  <c r="H2527" i="1"/>
  <c r="J2526" i="1"/>
  <c r="I2526" i="1"/>
  <c r="H2526" i="1"/>
  <c r="J2525" i="1"/>
  <c r="I2525" i="1"/>
  <c r="H2525" i="1"/>
  <c r="J2524" i="1"/>
  <c r="I2524" i="1"/>
  <c r="H2524" i="1"/>
  <c r="J2523" i="1"/>
  <c r="I2523" i="1"/>
  <c r="H2523" i="1"/>
  <c r="J2522" i="1"/>
  <c r="I2522" i="1"/>
  <c r="H2522" i="1"/>
  <c r="J2521" i="1"/>
  <c r="I2521" i="1"/>
  <c r="H2521" i="1"/>
  <c r="J2520" i="1"/>
  <c r="I2520" i="1"/>
  <c r="H2520" i="1"/>
  <c r="J2519" i="1"/>
  <c r="I2519" i="1"/>
  <c r="H2519" i="1"/>
  <c r="J2518" i="1"/>
  <c r="I2518" i="1"/>
  <c r="H2518" i="1"/>
  <c r="J2517" i="1"/>
  <c r="I2517" i="1"/>
  <c r="H2517" i="1"/>
  <c r="J2516" i="1"/>
  <c r="I2516" i="1"/>
  <c r="H2516" i="1"/>
  <c r="J2515" i="1"/>
  <c r="I2515" i="1"/>
  <c r="H2515" i="1"/>
  <c r="J2514" i="1"/>
  <c r="I2514" i="1"/>
  <c r="H2514" i="1"/>
  <c r="J2513" i="1"/>
  <c r="I2513" i="1"/>
  <c r="H2513" i="1"/>
  <c r="J2512" i="1"/>
  <c r="I2512" i="1"/>
  <c r="H2512" i="1"/>
  <c r="J2511" i="1"/>
  <c r="I2511" i="1"/>
  <c r="H2511" i="1"/>
  <c r="J2510" i="1"/>
  <c r="I2510" i="1"/>
  <c r="H2510" i="1"/>
  <c r="J2509" i="1"/>
  <c r="I2509" i="1"/>
  <c r="H2509" i="1"/>
  <c r="J2508" i="1"/>
  <c r="I2508" i="1"/>
  <c r="H2508" i="1"/>
  <c r="J2507" i="1"/>
  <c r="I2507" i="1"/>
  <c r="H2507" i="1"/>
  <c r="J2506" i="1"/>
  <c r="I2506" i="1"/>
  <c r="H2506" i="1"/>
  <c r="J2505" i="1"/>
  <c r="I2505" i="1"/>
  <c r="H2505" i="1"/>
  <c r="J2504" i="1"/>
  <c r="I2504" i="1"/>
  <c r="H2504" i="1"/>
  <c r="J2503" i="1"/>
  <c r="I2503" i="1"/>
  <c r="H2503" i="1"/>
  <c r="J2502" i="1"/>
  <c r="I2502" i="1"/>
  <c r="H2502" i="1"/>
  <c r="J2501" i="1"/>
  <c r="I2501" i="1"/>
  <c r="H2501" i="1"/>
  <c r="J2500" i="1"/>
  <c r="I2500" i="1"/>
  <c r="H2500" i="1"/>
  <c r="J2499" i="1"/>
  <c r="I2499" i="1"/>
  <c r="H2499" i="1"/>
  <c r="J2498" i="1"/>
  <c r="I2498" i="1"/>
  <c r="H2498" i="1"/>
  <c r="J2497" i="1"/>
  <c r="I2497" i="1"/>
  <c r="H2497" i="1"/>
  <c r="J2496" i="1"/>
  <c r="I2496" i="1"/>
  <c r="H2496" i="1"/>
  <c r="J2495" i="1"/>
  <c r="I2495" i="1"/>
  <c r="H2495" i="1"/>
  <c r="J2494" i="1"/>
  <c r="I2494" i="1"/>
  <c r="H2494" i="1"/>
  <c r="J2493" i="1"/>
  <c r="I2493" i="1"/>
  <c r="H2493" i="1"/>
  <c r="J2492" i="1"/>
  <c r="I2492" i="1"/>
  <c r="H2492" i="1"/>
  <c r="J2491" i="1"/>
  <c r="I2491" i="1"/>
  <c r="H2491" i="1"/>
  <c r="J2490" i="1"/>
  <c r="I2490" i="1"/>
  <c r="H2490" i="1"/>
  <c r="J2489" i="1"/>
  <c r="I2489" i="1"/>
  <c r="H2489" i="1"/>
  <c r="J2488" i="1"/>
  <c r="I2488" i="1"/>
  <c r="H2488" i="1"/>
  <c r="J2487" i="1"/>
  <c r="I2487" i="1"/>
  <c r="H2487" i="1"/>
  <c r="J2486" i="1"/>
  <c r="I2486" i="1"/>
  <c r="H2486" i="1"/>
  <c r="J2485" i="1"/>
  <c r="I2485" i="1"/>
  <c r="H2485" i="1"/>
  <c r="J2484" i="1"/>
  <c r="I2484" i="1"/>
  <c r="H2484" i="1"/>
  <c r="J2483" i="1"/>
  <c r="I2483" i="1"/>
  <c r="H2483" i="1"/>
  <c r="J2482" i="1"/>
  <c r="I2482" i="1"/>
  <c r="H2482" i="1"/>
  <c r="J2481" i="1"/>
  <c r="I2481" i="1"/>
  <c r="H2481" i="1"/>
  <c r="J2480" i="1"/>
  <c r="I2480" i="1"/>
  <c r="H2480" i="1"/>
  <c r="J2479" i="1"/>
  <c r="I2479" i="1"/>
  <c r="H2479" i="1"/>
  <c r="J2478" i="1"/>
  <c r="I2478" i="1"/>
  <c r="H2478" i="1"/>
  <c r="J2477" i="1"/>
  <c r="I2477" i="1"/>
  <c r="H2477" i="1"/>
  <c r="J2476" i="1"/>
  <c r="I2476" i="1"/>
  <c r="H2476" i="1"/>
  <c r="J2475" i="1"/>
  <c r="I2475" i="1"/>
  <c r="H2475" i="1"/>
  <c r="J2474" i="1"/>
  <c r="I2474" i="1"/>
  <c r="H2474" i="1"/>
  <c r="J2473" i="1"/>
  <c r="I2473" i="1"/>
  <c r="H2473" i="1"/>
  <c r="J2472" i="1"/>
  <c r="I2472" i="1"/>
  <c r="H2472" i="1"/>
  <c r="J2471" i="1"/>
  <c r="I2471" i="1"/>
  <c r="H2471" i="1"/>
  <c r="J2470" i="1"/>
  <c r="I2470" i="1"/>
  <c r="H2470" i="1"/>
  <c r="J2469" i="1"/>
  <c r="I2469" i="1"/>
  <c r="H2469" i="1"/>
  <c r="J2468" i="1"/>
  <c r="I2468" i="1"/>
  <c r="H2468" i="1"/>
  <c r="J2467" i="1"/>
  <c r="I2467" i="1"/>
  <c r="H2467" i="1"/>
  <c r="J2466" i="1"/>
  <c r="I2466" i="1"/>
  <c r="H2466" i="1"/>
  <c r="J2465" i="1"/>
  <c r="I2465" i="1"/>
  <c r="H2465" i="1"/>
  <c r="J2464" i="1"/>
  <c r="I2464" i="1"/>
  <c r="H2464" i="1"/>
  <c r="J2463" i="1"/>
  <c r="I2463" i="1"/>
  <c r="H2463" i="1"/>
  <c r="J2462" i="1"/>
  <c r="I2462" i="1"/>
  <c r="H2462" i="1"/>
  <c r="J2461" i="1"/>
  <c r="I2461" i="1"/>
  <c r="H2461" i="1"/>
  <c r="J2460" i="1"/>
  <c r="I2460" i="1"/>
  <c r="H2460" i="1"/>
  <c r="J2459" i="1"/>
  <c r="I2459" i="1"/>
  <c r="H2459" i="1"/>
  <c r="J2458" i="1"/>
  <c r="I2458" i="1"/>
  <c r="H2458" i="1"/>
  <c r="J2457" i="1"/>
  <c r="I2457" i="1"/>
  <c r="H2457" i="1"/>
  <c r="J2456" i="1"/>
  <c r="I2456" i="1"/>
  <c r="H2456" i="1"/>
  <c r="J2455" i="1"/>
  <c r="I2455" i="1"/>
  <c r="H2455" i="1"/>
  <c r="J2454" i="1"/>
  <c r="I2454" i="1"/>
  <c r="H2454" i="1"/>
  <c r="J2453" i="1"/>
  <c r="I2453" i="1"/>
  <c r="H2453" i="1"/>
  <c r="J2452" i="1"/>
  <c r="I2452" i="1"/>
  <c r="H2452" i="1"/>
  <c r="J2451" i="1"/>
  <c r="I2451" i="1"/>
  <c r="H2451" i="1"/>
  <c r="J2450" i="1"/>
  <c r="I2450" i="1"/>
  <c r="H2450" i="1"/>
  <c r="J2449" i="1"/>
  <c r="I2449" i="1"/>
  <c r="H2449" i="1"/>
  <c r="J2448" i="1"/>
  <c r="I2448" i="1"/>
  <c r="H2448" i="1"/>
  <c r="J2447" i="1"/>
  <c r="I2447" i="1"/>
  <c r="H2447" i="1"/>
  <c r="J2446" i="1"/>
  <c r="I2446" i="1"/>
  <c r="H2446" i="1"/>
  <c r="J2445" i="1"/>
  <c r="I2445" i="1"/>
  <c r="H2445" i="1"/>
  <c r="J2444" i="1"/>
  <c r="I2444" i="1"/>
  <c r="H2444" i="1"/>
  <c r="J2443" i="1"/>
  <c r="I2443" i="1"/>
  <c r="H2443" i="1"/>
  <c r="J2442" i="1"/>
  <c r="I2442" i="1"/>
  <c r="H2442" i="1"/>
  <c r="J2441" i="1"/>
  <c r="I2441" i="1"/>
  <c r="H2441" i="1"/>
  <c r="J2440" i="1"/>
  <c r="I2440" i="1"/>
  <c r="H2440" i="1"/>
  <c r="J2439" i="1"/>
  <c r="I2439" i="1"/>
  <c r="H2439" i="1"/>
  <c r="J2438" i="1"/>
  <c r="I2438" i="1"/>
  <c r="H2438" i="1"/>
  <c r="J2437" i="1"/>
  <c r="I2437" i="1"/>
  <c r="H2437" i="1"/>
  <c r="J2436" i="1"/>
  <c r="I2436" i="1"/>
  <c r="H2436" i="1"/>
  <c r="J2435" i="1"/>
  <c r="I2435" i="1"/>
  <c r="H2435" i="1"/>
  <c r="J2434" i="1"/>
  <c r="I2434" i="1"/>
  <c r="H2434" i="1"/>
  <c r="J2433" i="1"/>
  <c r="I2433" i="1"/>
  <c r="H2433" i="1"/>
  <c r="J2432" i="1"/>
  <c r="I2432" i="1"/>
  <c r="H2432" i="1"/>
  <c r="J2431" i="1"/>
  <c r="I2431" i="1"/>
  <c r="H2431" i="1"/>
  <c r="J2430" i="1"/>
  <c r="I2430" i="1"/>
  <c r="H2430" i="1"/>
  <c r="J2429" i="1"/>
  <c r="I2429" i="1"/>
  <c r="H2429" i="1"/>
  <c r="J2428" i="1"/>
  <c r="I2428" i="1"/>
  <c r="H2428" i="1"/>
  <c r="J2427" i="1"/>
  <c r="I2427" i="1"/>
  <c r="H2427" i="1"/>
  <c r="J2426" i="1"/>
  <c r="I2426" i="1"/>
  <c r="H2426" i="1"/>
  <c r="J2425" i="1"/>
  <c r="I2425" i="1"/>
  <c r="H2425" i="1"/>
  <c r="J2424" i="1"/>
  <c r="I2424" i="1"/>
  <c r="H2424" i="1"/>
  <c r="J2423" i="1"/>
  <c r="I2423" i="1"/>
  <c r="H2423" i="1"/>
  <c r="J2422" i="1"/>
  <c r="I2422" i="1"/>
  <c r="H2422" i="1"/>
  <c r="J2421" i="1"/>
  <c r="I2421" i="1"/>
  <c r="H2421" i="1"/>
  <c r="J2420" i="1"/>
  <c r="I2420" i="1"/>
  <c r="H2420" i="1"/>
  <c r="J2419" i="1"/>
  <c r="I2419" i="1"/>
  <c r="H2419" i="1"/>
  <c r="J2418" i="1"/>
  <c r="I2418" i="1"/>
  <c r="H2418" i="1"/>
  <c r="J2417" i="1"/>
  <c r="I2417" i="1"/>
  <c r="H2417" i="1"/>
  <c r="J2416" i="1"/>
  <c r="I2416" i="1"/>
  <c r="H2416" i="1"/>
  <c r="J2415" i="1"/>
  <c r="I2415" i="1"/>
  <c r="H2415" i="1"/>
  <c r="J2414" i="1"/>
  <c r="I2414" i="1"/>
  <c r="H2414" i="1"/>
  <c r="J2413" i="1"/>
  <c r="I2413" i="1"/>
  <c r="H2413" i="1"/>
  <c r="J2412" i="1"/>
  <c r="I2412" i="1"/>
  <c r="H2412" i="1"/>
  <c r="J2411" i="1"/>
  <c r="I2411" i="1"/>
  <c r="H2411" i="1"/>
  <c r="J2410" i="1"/>
  <c r="I2410" i="1"/>
  <c r="H2410" i="1"/>
  <c r="J2409" i="1"/>
  <c r="I2409" i="1"/>
  <c r="H2409" i="1"/>
  <c r="J2408" i="1"/>
  <c r="I2408" i="1"/>
  <c r="H2408" i="1"/>
  <c r="J2407" i="1"/>
  <c r="I2407" i="1"/>
  <c r="H2407" i="1"/>
  <c r="J2406" i="1"/>
  <c r="I2406" i="1"/>
  <c r="H2406" i="1"/>
  <c r="J2405" i="1"/>
  <c r="I2405" i="1"/>
  <c r="H2405" i="1"/>
  <c r="J2404" i="1"/>
  <c r="I2404" i="1"/>
  <c r="H2404" i="1"/>
  <c r="J2403" i="1"/>
  <c r="I2403" i="1"/>
  <c r="H2403" i="1"/>
  <c r="J2402" i="1"/>
  <c r="I2402" i="1"/>
  <c r="H2402" i="1"/>
  <c r="J2401" i="1"/>
  <c r="I2401" i="1"/>
  <c r="H2401" i="1"/>
  <c r="J2400" i="1"/>
  <c r="I2400" i="1"/>
  <c r="H2400" i="1"/>
  <c r="J2399" i="1"/>
  <c r="I2399" i="1"/>
  <c r="H2399" i="1"/>
  <c r="J2398" i="1"/>
  <c r="I2398" i="1"/>
  <c r="H2398" i="1"/>
  <c r="J2397" i="1"/>
  <c r="I2397" i="1"/>
  <c r="H2397" i="1"/>
  <c r="J2396" i="1"/>
  <c r="I2396" i="1"/>
  <c r="H2396" i="1"/>
  <c r="J2395" i="1"/>
  <c r="I2395" i="1"/>
  <c r="H2395" i="1"/>
  <c r="J2394" i="1"/>
  <c r="I2394" i="1"/>
  <c r="H2394" i="1"/>
  <c r="J2393" i="1"/>
  <c r="I2393" i="1"/>
  <c r="H2393" i="1"/>
  <c r="J2392" i="1"/>
  <c r="I2392" i="1"/>
  <c r="H2392" i="1"/>
  <c r="J2391" i="1"/>
  <c r="I2391" i="1"/>
  <c r="H2391" i="1"/>
  <c r="J2390" i="1"/>
  <c r="I2390" i="1"/>
  <c r="H2390" i="1"/>
  <c r="J2389" i="1"/>
  <c r="I2389" i="1"/>
  <c r="H2389" i="1"/>
  <c r="J2388" i="1"/>
  <c r="I2388" i="1"/>
  <c r="H2388" i="1"/>
  <c r="J2387" i="1"/>
  <c r="I2387" i="1"/>
  <c r="H2387" i="1"/>
  <c r="J2386" i="1"/>
  <c r="I2386" i="1"/>
  <c r="H2386" i="1"/>
  <c r="J2385" i="1"/>
  <c r="I2385" i="1"/>
  <c r="H2385" i="1"/>
  <c r="J2384" i="1"/>
  <c r="I2384" i="1"/>
  <c r="H2384" i="1"/>
  <c r="J2383" i="1"/>
  <c r="I2383" i="1"/>
  <c r="H2383" i="1"/>
  <c r="J2382" i="1"/>
  <c r="I2382" i="1"/>
  <c r="H2382" i="1"/>
  <c r="J2381" i="1"/>
  <c r="I2381" i="1"/>
  <c r="H2381" i="1"/>
  <c r="J2380" i="1"/>
  <c r="I2380" i="1"/>
  <c r="H2380" i="1"/>
  <c r="J2379" i="1"/>
  <c r="I2379" i="1"/>
  <c r="H2379" i="1"/>
  <c r="J2378" i="1"/>
  <c r="I2378" i="1"/>
  <c r="H2378" i="1"/>
  <c r="J2377" i="1"/>
  <c r="I2377" i="1"/>
  <c r="H2377" i="1"/>
  <c r="J2376" i="1"/>
  <c r="I2376" i="1"/>
  <c r="H2376" i="1"/>
  <c r="J2375" i="1"/>
  <c r="I2375" i="1"/>
  <c r="H2375" i="1"/>
  <c r="J2374" i="1"/>
  <c r="I2374" i="1"/>
  <c r="H2374" i="1"/>
  <c r="J2373" i="1"/>
  <c r="I2373" i="1"/>
  <c r="H2373" i="1"/>
  <c r="J2372" i="1"/>
  <c r="I2372" i="1"/>
  <c r="H2372" i="1"/>
  <c r="J2371" i="1"/>
  <c r="I2371" i="1"/>
  <c r="H2371" i="1"/>
  <c r="J2370" i="1"/>
  <c r="I2370" i="1"/>
  <c r="H2370" i="1"/>
  <c r="J2369" i="1"/>
  <c r="I2369" i="1"/>
  <c r="H2369" i="1"/>
  <c r="J2368" i="1"/>
  <c r="I2368" i="1"/>
  <c r="H2368" i="1"/>
  <c r="J2367" i="1"/>
  <c r="I2367" i="1"/>
  <c r="H2367" i="1"/>
  <c r="J2366" i="1"/>
  <c r="I2366" i="1"/>
  <c r="H2366" i="1"/>
  <c r="J2365" i="1"/>
  <c r="I2365" i="1"/>
  <c r="H2365" i="1"/>
  <c r="J2364" i="1"/>
  <c r="I2364" i="1"/>
  <c r="H2364" i="1"/>
  <c r="J2363" i="1"/>
  <c r="I2363" i="1"/>
  <c r="H2363" i="1"/>
  <c r="J2362" i="1"/>
  <c r="I2362" i="1"/>
  <c r="H2362" i="1"/>
  <c r="J2361" i="1"/>
  <c r="I2361" i="1"/>
  <c r="H2361" i="1"/>
  <c r="J2360" i="1"/>
  <c r="I2360" i="1"/>
  <c r="H2360" i="1"/>
  <c r="J2359" i="1"/>
  <c r="I2359" i="1"/>
  <c r="H2359" i="1"/>
  <c r="J2358" i="1"/>
  <c r="I2358" i="1"/>
  <c r="H2358" i="1"/>
  <c r="J2357" i="1"/>
  <c r="I2357" i="1"/>
  <c r="H2357" i="1"/>
  <c r="J2356" i="1"/>
  <c r="I2356" i="1"/>
  <c r="H2356" i="1"/>
  <c r="J2355" i="1"/>
  <c r="I2355" i="1"/>
  <c r="H2355" i="1"/>
  <c r="J2354" i="1"/>
  <c r="I2354" i="1"/>
  <c r="H2354" i="1"/>
  <c r="J2353" i="1"/>
  <c r="I2353" i="1"/>
  <c r="H2353" i="1"/>
  <c r="J2352" i="1"/>
  <c r="I2352" i="1"/>
  <c r="H2352" i="1"/>
  <c r="J2351" i="1"/>
  <c r="I2351" i="1"/>
  <c r="H2351" i="1"/>
  <c r="J2350" i="1"/>
  <c r="I2350" i="1"/>
  <c r="H2350" i="1"/>
  <c r="J2349" i="1"/>
  <c r="I2349" i="1"/>
  <c r="H2349" i="1"/>
  <c r="J2348" i="1"/>
  <c r="I2348" i="1"/>
  <c r="H2348" i="1"/>
  <c r="J2347" i="1"/>
  <c r="I2347" i="1"/>
  <c r="H2347" i="1"/>
  <c r="J2346" i="1"/>
  <c r="I2346" i="1"/>
  <c r="H2346" i="1"/>
  <c r="J2345" i="1"/>
  <c r="I2345" i="1"/>
  <c r="H2345" i="1"/>
  <c r="J2344" i="1"/>
  <c r="I2344" i="1"/>
  <c r="H2344" i="1"/>
  <c r="J2343" i="1"/>
  <c r="I2343" i="1"/>
  <c r="H2343" i="1"/>
  <c r="J2342" i="1"/>
  <c r="I2342" i="1"/>
  <c r="H2342" i="1"/>
  <c r="J2341" i="1"/>
  <c r="I2341" i="1"/>
  <c r="H2341" i="1"/>
  <c r="J2340" i="1"/>
  <c r="I2340" i="1"/>
  <c r="H2340" i="1"/>
  <c r="J2339" i="1"/>
  <c r="I2339" i="1"/>
  <c r="H2339" i="1"/>
  <c r="J2338" i="1"/>
  <c r="I2338" i="1"/>
  <c r="H2338" i="1"/>
  <c r="J2337" i="1"/>
  <c r="I2337" i="1"/>
  <c r="H2337" i="1"/>
  <c r="J2336" i="1"/>
  <c r="I2336" i="1"/>
  <c r="H2336" i="1"/>
  <c r="J2335" i="1"/>
  <c r="I2335" i="1"/>
  <c r="H2335" i="1"/>
  <c r="J2334" i="1"/>
  <c r="I2334" i="1"/>
  <c r="H2334" i="1"/>
  <c r="J2333" i="1"/>
  <c r="I2333" i="1"/>
  <c r="H2333" i="1"/>
  <c r="J2332" i="1"/>
  <c r="I2332" i="1"/>
  <c r="H2332" i="1"/>
  <c r="J2331" i="1"/>
  <c r="I2331" i="1"/>
  <c r="H2331" i="1"/>
  <c r="J2330" i="1"/>
  <c r="I2330" i="1"/>
  <c r="H2330" i="1"/>
  <c r="J2329" i="1"/>
  <c r="I2329" i="1"/>
  <c r="H2329" i="1"/>
  <c r="J2328" i="1"/>
  <c r="I2328" i="1"/>
  <c r="H2328" i="1"/>
  <c r="J2327" i="1"/>
  <c r="I2327" i="1"/>
  <c r="H2327" i="1"/>
  <c r="J2326" i="1"/>
  <c r="I2326" i="1"/>
  <c r="H2326" i="1"/>
  <c r="J2325" i="1"/>
  <c r="I2325" i="1"/>
  <c r="H2325" i="1"/>
  <c r="J2324" i="1"/>
  <c r="I2324" i="1"/>
  <c r="H2324" i="1"/>
  <c r="J2323" i="1"/>
  <c r="I2323" i="1"/>
  <c r="H2323" i="1"/>
  <c r="J2322" i="1"/>
  <c r="I2322" i="1"/>
  <c r="H2322" i="1"/>
  <c r="J2321" i="1"/>
  <c r="I2321" i="1"/>
  <c r="H2321" i="1"/>
  <c r="J2320" i="1"/>
  <c r="I2320" i="1"/>
  <c r="H2320" i="1"/>
  <c r="J2319" i="1"/>
  <c r="I2319" i="1"/>
  <c r="H2319" i="1"/>
  <c r="J2318" i="1"/>
  <c r="I2318" i="1"/>
  <c r="H2318" i="1"/>
  <c r="J2317" i="1"/>
  <c r="I2317" i="1"/>
  <c r="H2317" i="1"/>
  <c r="J2316" i="1"/>
  <c r="I2316" i="1"/>
  <c r="H2316" i="1"/>
  <c r="J2315" i="1"/>
  <c r="I2315" i="1"/>
  <c r="H2315" i="1"/>
  <c r="J2314" i="1"/>
  <c r="I2314" i="1"/>
  <c r="H2314" i="1"/>
  <c r="J2313" i="1"/>
  <c r="I2313" i="1"/>
  <c r="H2313" i="1"/>
  <c r="J2312" i="1"/>
  <c r="I2312" i="1"/>
  <c r="H2312" i="1"/>
  <c r="J2311" i="1"/>
  <c r="I2311" i="1"/>
  <c r="H2311" i="1"/>
  <c r="J2310" i="1"/>
  <c r="I2310" i="1"/>
  <c r="H2310" i="1"/>
  <c r="J2309" i="1"/>
  <c r="I2309" i="1"/>
  <c r="H2309" i="1"/>
  <c r="J2308" i="1"/>
  <c r="I2308" i="1"/>
  <c r="H2308" i="1"/>
  <c r="J2307" i="1"/>
  <c r="I2307" i="1"/>
  <c r="H2307" i="1"/>
  <c r="J2306" i="1"/>
  <c r="I2306" i="1"/>
  <c r="H2306" i="1"/>
  <c r="J2305" i="1"/>
  <c r="I2305" i="1"/>
  <c r="H2305" i="1"/>
  <c r="J2304" i="1"/>
  <c r="I2304" i="1"/>
  <c r="H2304" i="1"/>
  <c r="J2303" i="1"/>
  <c r="I2303" i="1"/>
  <c r="H2303" i="1"/>
  <c r="J2302" i="1"/>
  <c r="I2302" i="1"/>
  <c r="H2302" i="1"/>
  <c r="J2301" i="1"/>
  <c r="I2301" i="1"/>
  <c r="H2301" i="1"/>
  <c r="J2300" i="1"/>
  <c r="I2300" i="1"/>
  <c r="H2300" i="1"/>
  <c r="J2299" i="1"/>
  <c r="I2299" i="1"/>
  <c r="H2299" i="1"/>
  <c r="J2298" i="1"/>
  <c r="I2298" i="1"/>
  <c r="H2298" i="1"/>
  <c r="J2297" i="1"/>
  <c r="I2297" i="1"/>
  <c r="H2297" i="1"/>
  <c r="J2296" i="1"/>
  <c r="I2296" i="1"/>
  <c r="H2296" i="1"/>
  <c r="J2295" i="1"/>
  <c r="I2295" i="1"/>
  <c r="H2295" i="1"/>
  <c r="J2294" i="1"/>
  <c r="I2294" i="1"/>
  <c r="H2294" i="1"/>
  <c r="J2293" i="1"/>
  <c r="I2293" i="1"/>
  <c r="H2293" i="1"/>
  <c r="J2292" i="1"/>
  <c r="I2292" i="1"/>
  <c r="H2292" i="1"/>
  <c r="J2291" i="1"/>
  <c r="I2291" i="1"/>
  <c r="H2291" i="1"/>
  <c r="J2290" i="1"/>
  <c r="I2290" i="1"/>
  <c r="H2290" i="1"/>
  <c r="J2289" i="1"/>
  <c r="I2289" i="1"/>
  <c r="H2289" i="1"/>
  <c r="J2288" i="1"/>
  <c r="I2288" i="1"/>
  <c r="H2288" i="1"/>
  <c r="J2287" i="1"/>
  <c r="I2287" i="1"/>
  <c r="H2287" i="1"/>
  <c r="J2286" i="1"/>
  <c r="I2286" i="1"/>
  <c r="H2286" i="1"/>
  <c r="J2285" i="1"/>
  <c r="I2285" i="1"/>
  <c r="H2285" i="1"/>
  <c r="J2284" i="1"/>
  <c r="I2284" i="1"/>
  <c r="H2284" i="1"/>
  <c r="J2283" i="1"/>
  <c r="I2283" i="1"/>
  <c r="H2283" i="1"/>
  <c r="J2282" i="1"/>
  <c r="I2282" i="1"/>
  <c r="H2282" i="1"/>
  <c r="J2281" i="1"/>
  <c r="I2281" i="1"/>
  <c r="H2281" i="1"/>
  <c r="J2280" i="1"/>
  <c r="I2280" i="1"/>
  <c r="H2280" i="1"/>
  <c r="J2279" i="1"/>
  <c r="I2279" i="1"/>
  <c r="H2279" i="1"/>
  <c r="J2278" i="1"/>
  <c r="I2278" i="1"/>
  <c r="H2278" i="1"/>
  <c r="J2277" i="1"/>
  <c r="I2277" i="1"/>
  <c r="H2277" i="1"/>
  <c r="J2276" i="1"/>
  <c r="I2276" i="1"/>
  <c r="H2276" i="1"/>
  <c r="J2275" i="1"/>
  <c r="I2275" i="1"/>
  <c r="H2275" i="1"/>
  <c r="J2274" i="1"/>
  <c r="I2274" i="1"/>
  <c r="H2274" i="1"/>
  <c r="J2273" i="1"/>
  <c r="I2273" i="1"/>
  <c r="H2273" i="1"/>
  <c r="J2272" i="1"/>
  <c r="I2272" i="1"/>
  <c r="H2272" i="1"/>
  <c r="J2271" i="1"/>
  <c r="I2271" i="1"/>
  <c r="H2271" i="1"/>
  <c r="J2270" i="1"/>
  <c r="I2270" i="1"/>
  <c r="H2270" i="1"/>
  <c r="J2269" i="1"/>
  <c r="I2269" i="1"/>
  <c r="H2269" i="1"/>
  <c r="J2268" i="1"/>
  <c r="I2268" i="1"/>
  <c r="H2268" i="1"/>
  <c r="J2267" i="1"/>
  <c r="I2267" i="1"/>
  <c r="H2267" i="1"/>
  <c r="J2266" i="1"/>
  <c r="I2266" i="1"/>
  <c r="H2266" i="1"/>
  <c r="J2265" i="1"/>
  <c r="I2265" i="1"/>
  <c r="H2265" i="1"/>
  <c r="J2264" i="1"/>
  <c r="I2264" i="1"/>
  <c r="H2264" i="1"/>
  <c r="J2263" i="1"/>
  <c r="I2263" i="1"/>
  <c r="H2263" i="1"/>
  <c r="J2262" i="1"/>
  <c r="I2262" i="1"/>
  <c r="H2262" i="1"/>
  <c r="J2261" i="1"/>
  <c r="I2261" i="1"/>
  <c r="H2261" i="1"/>
  <c r="J2260" i="1"/>
  <c r="I2260" i="1"/>
  <c r="H2260" i="1"/>
  <c r="J2259" i="1"/>
  <c r="I2259" i="1"/>
  <c r="H2259" i="1"/>
  <c r="J2258" i="1"/>
  <c r="I2258" i="1"/>
  <c r="H2258" i="1"/>
  <c r="J2257" i="1"/>
  <c r="I2257" i="1"/>
  <c r="H2257" i="1"/>
  <c r="J2256" i="1"/>
  <c r="I2256" i="1"/>
  <c r="H2256" i="1"/>
  <c r="J2255" i="1"/>
  <c r="I2255" i="1"/>
  <c r="H2255" i="1"/>
  <c r="J2254" i="1"/>
  <c r="I2254" i="1"/>
  <c r="H2254" i="1"/>
  <c r="J2253" i="1"/>
  <c r="I2253" i="1"/>
  <c r="H2253" i="1"/>
  <c r="J2252" i="1"/>
  <c r="I2252" i="1"/>
  <c r="H2252" i="1"/>
  <c r="J2251" i="1"/>
  <c r="I2251" i="1"/>
  <c r="H2251" i="1"/>
  <c r="J2250" i="1"/>
  <c r="I2250" i="1"/>
  <c r="H2250" i="1"/>
  <c r="J2249" i="1"/>
  <c r="I2249" i="1"/>
  <c r="H2249" i="1"/>
  <c r="J2248" i="1"/>
  <c r="I2248" i="1"/>
  <c r="H2248" i="1"/>
  <c r="J2247" i="1"/>
  <c r="I2247" i="1"/>
  <c r="H2247" i="1"/>
  <c r="J2246" i="1"/>
  <c r="I2246" i="1"/>
  <c r="H2246" i="1"/>
  <c r="J2245" i="1"/>
  <c r="I2245" i="1"/>
  <c r="H2245" i="1"/>
  <c r="J2244" i="1"/>
  <c r="I2244" i="1"/>
  <c r="H2244" i="1"/>
  <c r="J2243" i="1"/>
  <c r="I2243" i="1"/>
  <c r="H2243" i="1"/>
  <c r="J2242" i="1"/>
  <c r="I2242" i="1"/>
  <c r="H2242" i="1"/>
  <c r="J2241" i="1"/>
  <c r="I2241" i="1"/>
  <c r="H2241" i="1"/>
  <c r="J2240" i="1"/>
  <c r="I2240" i="1"/>
  <c r="H2240" i="1"/>
  <c r="J2239" i="1"/>
  <c r="I2239" i="1"/>
  <c r="H2239" i="1"/>
  <c r="J2238" i="1"/>
  <c r="I2238" i="1"/>
  <c r="H2238" i="1"/>
  <c r="J2237" i="1"/>
  <c r="I2237" i="1"/>
  <c r="H2237" i="1"/>
  <c r="J2236" i="1"/>
  <c r="I2236" i="1"/>
  <c r="H2236" i="1"/>
  <c r="J2235" i="1"/>
  <c r="I2235" i="1"/>
  <c r="H2235" i="1"/>
  <c r="J2234" i="1"/>
  <c r="I2234" i="1"/>
  <c r="H2234" i="1"/>
  <c r="J2233" i="1"/>
  <c r="I2233" i="1"/>
  <c r="H2233" i="1"/>
  <c r="J2232" i="1"/>
  <c r="I2232" i="1"/>
  <c r="H2232" i="1"/>
  <c r="J2231" i="1"/>
  <c r="I2231" i="1"/>
  <c r="H2231" i="1"/>
  <c r="J2230" i="1"/>
  <c r="I2230" i="1"/>
  <c r="H2230" i="1"/>
  <c r="J2229" i="1"/>
  <c r="I2229" i="1"/>
  <c r="H2229" i="1"/>
  <c r="J2228" i="1"/>
  <c r="I2228" i="1"/>
  <c r="H2228" i="1"/>
  <c r="J2227" i="1"/>
  <c r="I2227" i="1"/>
  <c r="H2227" i="1"/>
  <c r="J2226" i="1"/>
  <c r="I2226" i="1"/>
  <c r="H2226" i="1"/>
  <c r="J2225" i="1"/>
  <c r="I2225" i="1"/>
  <c r="H2225" i="1"/>
  <c r="J2224" i="1"/>
  <c r="I2224" i="1"/>
  <c r="H2224" i="1"/>
  <c r="J2223" i="1"/>
  <c r="I2223" i="1"/>
  <c r="H2223" i="1"/>
  <c r="J2222" i="1"/>
  <c r="I2222" i="1"/>
  <c r="H2222" i="1"/>
  <c r="J2221" i="1"/>
  <c r="I2221" i="1"/>
  <c r="H2221" i="1"/>
  <c r="J2220" i="1"/>
  <c r="I2220" i="1"/>
  <c r="H2220" i="1"/>
  <c r="J2219" i="1"/>
  <c r="I2219" i="1"/>
  <c r="H2219" i="1"/>
  <c r="J2218" i="1"/>
  <c r="I2218" i="1"/>
  <c r="H2218" i="1"/>
  <c r="J2217" i="1"/>
  <c r="I2217" i="1"/>
  <c r="H2217" i="1"/>
  <c r="J2216" i="1"/>
  <c r="I2216" i="1"/>
  <c r="H2216" i="1"/>
  <c r="J2215" i="1"/>
  <c r="I2215" i="1"/>
  <c r="H2215" i="1"/>
  <c r="J2214" i="1"/>
  <c r="I2214" i="1"/>
  <c r="H2214" i="1"/>
  <c r="J2213" i="1"/>
  <c r="I2213" i="1"/>
  <c r="H2213" i="1"/>
  <c r="J2212" i="1"/>
  <c r="I2212" i="1"/>
  <c r="H2212" i="1"/>
  <c r="J2211" i="1"/>
  <c r="I2211" i="1"/>
  <c r="H2211" i="1"/>
  <c r="J2210" i="1"/>
  <c r="I2210" i="1"/>
  <c r="H2210" i="1"/>
  <c r="J2209" i="1"/>
  <c r="I2209" i="1"/>
  <c r="H2209" i="1"/>
  <c r="J2208" i="1"/>
  <c r="I2208" i="1"/>
  <c r="H2208" i="1"/>
  <c r="J2207" i="1"/>
  <c r="I2207" i="1"/>
  <c r="H2207" i="1"/>
  <c r="J2206" i="1"/>
  <c r="I2206" i="1"/>
  <c r="H2206" i="1"/>
  <c r="J2205" i="1"/>
  <c r="I2205" i="1"/>
  <c r="H2205" i="1"/>
  <c r="J2204" i="1"/>
  <c r="I2204" i="1"/>
  <c r="H2204" i="1"/>
  <c r="J2203" i="1"/>
  <c r="I2203" i="1"/>
  <c r="H2203" i="1"/>
  <c r="J2202" i="1"/>
  <c r="I2202" i="1"/>
  <c r="H2202" i="1"/>
  <c r="J2201" i="1"/>
  <c r="I2201" i="1"/>
  <c r="H2201" i="1"/>
  <c r="J2200" i="1"/>
  <c r="I2200" i="1"/>
  <c r="H2200" i="1"/>
  <c r="J2199" i="1"/>
  <c r="I2199" i="1"/>
  <c r="H2199" i="1"/>
  <c r="J2198" i="1"/>
  <c r="I2198" i="1"/>
  <c r="H2198" i="1"/>
  <c r="J2197" i="1"/>
  <c r="I2197" i="1"/>
  <c r="H2197" i="1"/>
  <c r="J2196" i="1"/>
  <c r="I2196" i="1"/>
  <c r="H2196" i="1"/>
  <c r="J2195" i="1"/>
  <c r="I2195" i="1"/>
  <c r="H2195" i="1"/>
  <c r="J2194" i="1"/>
  <c r="I2194" i="1"/>
  <c r="H2194" i="1"/>
  <c r="J2193" i="1"/>
  <c r="I2193" i="1"/>
  <c r="H2193" i="1"/>
  <c r="J2192" i="1"/>
  <c r="I2192" i="1"/>
  <c r="H2192" i="1"/>
  <c r="J2191" i="1"/>
  <c r="I2191" i="1"/>
  <c r="H2191" i="1"/>
  <c r="J2190" i="1"/>
  <c r="I2190" i="1"/>
  <c r="H2190" i="1"/>
  <c r="J2189" i="1"/>
  <c r="I2189" i="1"/>
  <c r="H2189" i="1"/>
  <c r="J2188" i="1"/>
  <c r="I2188" i="1"/>
  <c r="H2188" i="1"/>
  <c r="J2187" i="1"/>
  <c r="I2187" i="1"/>
  <c r="H2187" i="1"/>
  <c r="J2186" i="1"/>
  <c r="I2186" i="1"/>
  <c r="H2186" i="1"/>
  <c r="J2185" i="1"/>
  <c r="I2185" i="1"/>
  <c r="H2185" i="1"/>
  <c r="J2184" i="1"/>
  <c r="I2184" i="1"/>
  <c r="H2184" i="1"/>
  <c r="J2183" i="1"/>
  <c r="I2183" i="1"/>
  <c r="H2183" i="1"/>
  <c r="J2182" i="1"/>
  <c r="I2182" i="1"/>
  <c r="H2182" i="1"/>
  <c r="J2181" i="1"/>
  <c r="I2181" i="1"/>
  <c r="H2181" i="1"/>
  <c r="J2180" i="1"/>
  <c r="I2180" i="1"/>
  <c r="H2180" i="1"/>
  <c r="J2179" i="1"/>
  <c r="I2179" i="1"/>
  <c r="H2179" i="1"/>
  <c r="J2178" i="1"/>
  <c r="I2178" i="1"/>
  <c r="H2178" i="1"/>
  <c r="J2177" i="1"/>
  <c r="I2177" i="1"/>
  <c r="H2177" i="1"/>
  <c r="J2176" i="1"/>
  <c r="I2176" i="1"/>
  <c r="H2176" i="1"/>
  <c r="J2175" i="1"/>
  <c r="I2175" i="1"/>
  <c r="H2175" i="1"/>
  <c r="J2174" i="1"/>
  <c r="I2174" i="1"/>
  <c r="H2174" i="1"/>
  <c r="J2173" i="1"/>
  <c r="I2173" i="1"/>
  <c r="H2173" i="1"/>
  <c r="J2172" i="1"/>
  <c r="I2172" i="1"/>
  <c r="H2172" i="1"/>
  <c r="J2171" i="1"/>
  <c r="I2171" i="1"/>
  <c r="H2171" i="1"/>
  <c r="J2170" i="1"/>
  <c r="I2170" i="1"/>
  <c r="H2170" i="1"/>
  <c r="J2169" i="1"/>
  <c r="I2169" i="1"/>
  <c r="H2169" i="1"/>
  <c r="J2168" i="1"/>
  <c r="I2168" i="1"/>
  <c r="H2168" i="1"/>
  <c r="J2167" i="1"/>
  <c r="I2167" i="1"/>
  <c r="H2167" i="1"/>
  <c r="J2166" i="1"/>
  <c r="I2166" i="1"/>
  <c r="H2166" i="1"/>
  <c r="J2165" i="1"/>
  <c r="I2165" i="1"/>
  <c r="H2165" i="1"/>
  <c r="J2164" i="1"/>
  <c r="I2164" i="1"/>
  <c r="H2164" i="1"/>
  <c r="J2163" i="1"/>
  <c r="I2163" i="1"/>
  <c r="H2163" i="1"/>
  <c r="J2162" i="1"/>
  <c r="I2162" i="1"/>
  <c r="H2162" i="1"/>
  <c r="J2161" i="1"/>
  <c r="I2161" i="1"/>
  <c r="H2161" i="1"/>
  <c r="J2160" i="1"/>
  <c r="I2160" i="1"/>
  <c r="H2160" i="1"/>
  <c r="J2159" i="1"/>
  <c r="I2159" i="1"/>
  <c r="H2159" i="1"/>
  <c r="J2158" i="1"/>
  <c r="I2158" i="1"/>
  <c r="H2158" i="1"/>
  <c r="J2157" i="1"/>
  <c r="I2157" i="1"/>
  <c r="H2157" i="1"/>
  <c r="J2156" i="1"/>
  <c r="I2156" i="1"/>
  <c r="H2156" i="1"/>
  <c r="J2155" i="1"/>
  <c r="I2155" i="1"/>
  <c r="H2155" i="1"/>
  <c r="J2154" i="1"/>
  <c r="I2154" i="1"/>
  <c r="H2154" i="1"/>
  <c r="J2153" i="1"/>
  <c r="I2153" i="1"/>
  <c r="H2153" i="1"/>
  <c r="J2152" i="1"/>
  <c r="I2152" i="1"/>
  <c r="H2152" i="1"/>
  <c r="J2151" i="1"/>
  <c r="I2151" i="1"/>
  <c r="H2151" i="1"/>
  <c r="J2150" i="1"/>
  <c r="I2150" i="1"/>
  <c r="H2150" i="1"/>
  <c r="J2149" i="1"/>
  <c r="I2149" i="1"/>
  <c r="H2149" i="1"/>
  <c r="J2148" i="1"/>
  <c r="I2148" i="1"/>
  <c r="H2148" i="1"/>
  <c r="J2147" i="1"/>
  <c r="I2147" i="1"/>
  <c r="H2147" i="1"/>
  <c r="J2146" i="1"/>
  <c r="I2146" i="1"/>
  <c r="H2146" i="1"/>
  <c r="J2145" i="1"/>
  <c r="I2145" i="1"/>
  <c r="H2145" i="1"/>
  <c r="J2144" i="1"/>
  <c r="I2144" i="1"/>
  <c r="H2144" i="1"/>
  <c r="J2143" i="1"/>
  <c r="I2143" i="1"/>
  <c r="H2143" i="1"/>
  <c r="J2142" i="1"/>
  <c r="I2142" i="1"/>
  <c r="H2142" i="1"/>
  <c r="J2141" i="1"/>
  <c r="I2141" i="1"/>
  <c r="H2141" i="1"/>
  <c r="J2140" i="1"/>
  <c r="I2140" i="1"/>
  <c r="H2140" i="1"/>
  <c r="J2139" i="1"/>
  <c r="I2139" i="1"/>
  <c r="H2139" i="1"/>
  <c r="J2138" i="1"/>
  <c r="I2138" i="1"/>
  <c r="H2138" i="1"/>
  <c r="J2137" i="1"/>
  <c r="I2137" i="1"/>
  <c r="H2137" i="1"/>
  <c r="J2136" i="1"/>
  <c r="I2136" i="1"/>
  <c r="H2136" i="1"/>
  <c r="J2135" i="1"/>
  <c r="I2135" i="1"/>
  <c r="H2135" i="1"/>
  <c r="J2134" i="1"/>
  <c r="I2134" i="1"/>
  <c r="H2134" i="1"/>
  <c r="J2133" i="1"/>
  <c r="I2133" i="1"/>
  <c r="H2133" i="1"/>
  <c r="J2132" i="1"/>
  <c r="I2132" i="1"/>
  <c r="H2132" i="1"/>
  <c r="J2131" i="1"/>
  <c r="I2131" i="1"/>
  <c r="H2131" i="1"/>
  <c r="J2130" i="1"/>
  <c r="I2130" i="1"/>
  <c r="H2130" i="1"/>
  <c r="J2129" i="1"/>
  <c r="I2129" i="1"/>
  <c r="H2129" i="1"/>
  <c r="J2128" i="1"/>
  <c r="I2128" i="1"/>
  <c r="H2128" i="1"/>
  <c r="J2127" i="1"/>
  <c r="I2127" i="1"/>
  <c r="H2127" i="1"/>
  <c r="J2126" i="1"/>
  <c r="I2126" i="1"/>
  <c r="H2126" i="1"/>
  <c r="J2125" i="1"/>
  <c r="I2125" i="1"/>
  <c r="H2125" i="1"/>
  <c r="J2124" i="1"/>
  <c r="I2124" i="1"/>
  <c r="H2124" i="1"/>
  <c r="J2123" i="1"/>
  <c r="I2123" i="1"/>
  <c r="H2123" i="1"/>
  <c r="J2122" i="1"/>
  <c r="I2122" i="1"/>
  <c r="H2122" i="1"/>
  <c r="J2121" i="1"/>
  <c r="I2121" i="1"/>
  <c r="H2121" i="1"/>
  <c r="J2120" i="1"/>
  <c r="I2120" i="1"/>
  <c r="H2120" i="1"/>
  <c r="J2119" i="1"/>
  <c r="I2119" i="1"/>
  <c r="H2119" i="1"/>
  <c r="J2118" i="1"/>
  <c r="I2118" i="1"/>
  <c r="H2118" i="1"/>
  <c r="J2117" i="1"/>
  <c r="I2117" i="1"/>
  <c r="H2117" i="1"/>
  <c r="J2116" i="1"/>
  <c r="I2116" i="1"/>
  <c r="H2116" i="1"/>
  <c r="J2115" i="1"/>
  <c r="I2115" i="1"/>
  <c r="H2115" i="1"/>
  <c r="J2114" i="1"/>
  <c r="I2114" i="1"/>
  <c r="H2114" i="1"/>
  <c r="J2113" i="1"/>
  <c r="I2113" i="1"/>
  <c r="H2113" i="1"/>
  <c r="J2112" i="1"/>
  <c r="I2112" i="1"/>
  <c r="H2112" i="1"/>
  <c r="J2111" i="1"/>
  <c r="I2111" i="1"/>
  <c r="H2111" i="1"/>
  <c r="J2110" i="1"/>
  <c r="I2110" i="1"/>
  <c r="H2110" i="1"/>
  <c r="J2109" i="1"/>
  <c r="I2109" i="1"/>
  <c r="H2109" i="1"/>
  <c r="J2108" i="1"/>
  <c r="I2108" i="1"/>
  <c r="H2108" i="1"/>
  <c r="J2107" i="1"/>
  <c r="I2107" i="1"/>
  <c r="H2107" i="1"/>
  <c r="J2106" i="1"/>
  <c r="I2106" i="1"/>
  <c r="H2106" i="1"/>
  <c r="J2105" i="1"/>
  <c r="I2105" i="1"/>
  <c r="H2105" i="1"/>
  <c r="J2104" i="1"/>
  <c r="I2104" i="1"/>
  <c r="H2104" i="1"/>
  <c r="J2103" i="1"/>
  <c r="I2103" i="1"/>
  <c r="H2103" i="1"/>
  <c r="J2102" i="1"/>
  <c r="I2102" i="1"/>
  <c r="H2102" i="1"/>
  <c r="J2101" i="1"/>
  <c r="I2101" i="1"/>
  <c r="H2101" i="1"/>
  <c r="J2100" i="1"/>
  <c r="I2100" i="1"/>
  <c r="H2100" i="1"/>
  <c r="J2099" i="1"/>
  <c r="I2099" i="1"/>
  <c r="H2099" i="1"/>
  <c r="J2098" i="1"/>
  <c r="I2098" i="1"/>
  <c r="H2098" i="1"/>
  <c r="J2097" i="1"/>
  <c r="I2097" i="1"/>
  <c r="H2097" i="1"/>
  <c r="J2096" i="1"/>
  <c r="I2096" i="1"/>
  <c r="H2096" i="1"/>
  <c r="J2095" i="1"/>
  <c r="I2095" i="1"/>
  <c r="H2095" i="1"/>
  <c r="J2094" i="1"/>
  <c r="I2094" i="1"/>
  <c r="H2094" i="1"/>
  <c r="J2093" i="1"/>
  <c r="I2093" i="1"/>
  <c r="H2093" i="1"/>
  <c r="J2092" i="1"/>
  <c r="I2092" i="1"/>
  <c r="H2092" i="1"/>
  <c r="J2091" i="1"/>
  <c r="I2091" i="1"/>
  <c r="H2091" i="1"/>
  <c r="J2090" i="1"/>
  <c r="I2090" i="1"/>
  <c r="H2090" i="1"/>
  <c r="J2089" i="1"/>
  <c r="I2089" i="1"/>
  <c r="H2089" i="1"/>
  <c r="J2088" i="1"/>
  <c r="I2088" i="1"/>
  <c r="H2088" i="1"/>
  <c r="J2087" i="1"/>
  <c r="I2087" i="1"/>
  <c r="H2087" i="1"/>
  <c r="J2086" i="1"/>
  <c r="I2086" i="1"/>
  <c r="H2086" i="1"/>
  <c r="J2085" i="1"/>
  <c r="I2085" i="1"/>
  <c r="H2085" i="1"/>
  <c r="J2084" i="1"/>
  <c r="I2084" i="1"/>
  <c r="H2084" i="1"/>
  <c r="J2083" i="1"/>
  <c r="I2083" i="1"/>
  <c r="H2083" i="1"/>
  <c r="J2082" i="1"/>
  <c r="I2082" i="1"/>
  <c r="H2082" i="1"/>
  <c r="J2081" i="1"/>
  <c r="I2081" i="1"/>
  <c r="H2081" i="1"/>
  <c r="J2080" i="1"/>
  <c r="I2080" i="1"/>
  <c r="H2080" i="1"/>
  <c r="J2079" i="1"/>
  <c r="I2079" i="1"/>
  <c r="H2079" i="1"/>
  <c r="J2078" i="1"/>
  <c r="I2078" i="1"/>
  <c r="H2078" i="1"/>
  <c r="J2077" i="1"/>
  <c r="I2077" i="1"/>
  <c r="H2077" i="1"/>
  <c r="J2076" i="1"/>
  <c r="I2076" i="1"/>
  <c r="H2076" i="1"/>
  <c r="J2075" i="1"/>
  <c r="I2075" i="1"/>
  <c r="H2075" i="1"/>
  <c r="J2074" i="1"/>
  <c r="I2074" i="1"/>
  <c r="H2074" i="1"/>
  <c r="J2073" i="1"/>
  <c r="I2073" i="1"/>
  <c r="H2073" i="1"/>
  <c r="J2072" i="1"/>
  <c r="I2072" i="1"/>
  <c r="H2072" i="1"/>
  <c r="J2071" i="1"/>
  <c r="I2071" i="1"/>
  <c r="H2071" i="1"/>
  <c r="J2070" i="1"/>
  <c r="I2070" i="1"/>
  <c r="H2070" i="1"/>
  <c r="J2069" i="1"/>
  <c r="I2069" i="1"/>
  <c r="H2069" i="1"/>
  <c r="J2068" i="1"/>
  <c r="I2068" i="1"/>
  <c r="H2068" i="1"/>
  <c r="J2067" i="1"/>
  <c r="I2067" i="1"/>
  <c r="H2067" i="1"/>
  <c r="J2066" i="1"/>
  <c r="I2066" i="1"/>
  <c r="H2066" i="1"/>
  <c r="J2065" i="1"/>
  <c r="I2065" i="1"/>
  <c r="H2065" i="1"/>
  <c r="J2064" i="1"/>
  <c r="I2064" i="1"/>
  <c r="H2064" i="1"/>
  <c r="J2063" i="1"/>
  <c r="I2063" i="1"/>
  <c r="H2063" i="1"/>
  <c r="J2062" i="1"/>
  <c r="I2062" i="1"/>
  <c r="H2062" i="1"/>
  <c r="J2061" i="1"/>
  <c r="I2061" i="1"/>
  <c r="H2061" i="1"/>
  <c r="J2060" i="1"/>
  <c r="I2060" i="1"/>
  <c r="H2060" i="1"/>
  <c r="J2059" i="1"/>
  <c r="I2059" i="1"/>
  <c r="H2059" i="1"/>
  <c r="J2058" i="1"/>
  <c r="I2058" i="1"/>
  <c r="H2058" i="1"/>
  <c r="J2057" i="1"/>
  <c r="I2057" i="1"/>
  <c r="H2057" i="1"/>
  <c r="J2056" i="1"/>
  <c r="I2056" i="1"/>
  <c r="H2056" i="1"/>
  <c r="J2055" i="1"/>
  <c r="I2055" i="1"/>
  <c r="H2055" i="1"/>
  <c r="J2054" i="1"/>
  <c r="I2054" i="1"/>
  <c r="H2054" i="1"/>
  <c r="J2053" i="1"/>
  <c r="I2053" i="1"/>
  <c r="H2053" i="1"/>
  <c r="J2052" i="1"/>
  <c r="I2052" i="1"/>
  <c r="H2052" i="1"/>
  <c r="J2051" i="1"/>
  <c r="I2051" i="1"/>
  <c r="H2051" i="1"/>
  <c r="J2050" i="1"/>
  <c r="I2050" i="1"/>
  <c r="H2050" i="1"/>
  <c r="J2049" i="1"/>
  <c r="I2049" i="1"/>
  <c r="H2049" i="1"/>
  <c r="J2048" i="1"/>
  <c r="I2048" i="1"/>
  <c r="H2048" i="1"/>
  <c r="J2047" i="1"/>
  <c r="I2047" i="1"/>
  <c r="H2047" i="1"/>
  <c r="J2046" i="1"/>
  <c r="I2046" i="1"/>
  <c r="H2046" i="1"/>
  <c r="J2045" i="1"/>
  <c r="I2045" i="1"/>
  <c r="H2045" i="1"/>
  <c r="J2044" i="1"/>
  <c r="I2044" i="1"/>
  <c r="H2044" i="1"/>
  <c r="J2043" i="1"/>
  <c r="I2043" i="1"/>
  <c r="H2043" i="1"/>
  <c r="J2042" i="1"/>
  <c r="I2042" i="1"/>
  <c r="H2042" i="1"/>
  <c r="J2041" i="1"/>
  <c r="I2041" i="1"/>
  <c r="H2041" i="1"/>
  <c r="J2040" i="1"/>
  <c r="I2040" i="1"/>
  <c r="H2040" i="1"/>
  <c r="J2039" i="1"/>
  <c r="I2039" i="1"/>
  <c r="H2039" i="1"/>
  <c r="J2038" i="1"/>
  <c r="I2038" i="1"/>
  <c r="H2038" i="1"/>
  <c r="J2037" i="1"/>
  <c r="I2037" i="1"/>
  <c r="H2037" i="1"/>
  <c r="J2036" i="1"/>
  <c r="I2036" i="1"/>
  <c r="H2036" i="1"/>
  <c r="J2035" i="1"/>
  <c r="I2035" i="1"/>
  <c r="H2035" i="1"/>
  <c r="J2034" i="1"/>
  <c r="I2034" i="1"/>
  <c r="H2034" i="1"/>
  <c r="J2033" i="1"/>
  <c r="I2033" i="1"/>
  <c r="H2033" i="1"/>
  <c r="J2032" i="1"/>
  <c r="I2032" i="1"/>
  <c r="H2032" i="1"/>
  <c r="J2031" i="1"/>
  <c r="I2031" i="1"/>
  <c r="H2031" i="1"/>
  <c r="J2030" i="1"/>
  <c r="I2030" i="1"/>
  <c r="H2030" i="1"/>
  <c r="J2029" i="1"/>
  <c r="I2029" i="1"/>
  <c r="H2029" i="1"/>
  <c r="J2028" i="1"/>
  <c r="I2028" i="1"/>
  <c r="H2028" i="1"/>
  <c r="J2027" i="1"/>
  <c r="I2027" i="1"/>
  <c r="H2027" i="1"/>
  <c r="J2026" i="1"/>
  <c r="I2026" i="1"/>
  <c r="H2026" i="1"/>
  <c r="J2025" i="1"/>
  <c r="I2025" i="1"/>
  <c r="H2025" i="1"/>
  <c r="J2024" i="1"/>
  <c r="I2024" i="1"/>
  <c r="H2024" i="1"/>
  <c r="J2023" i="1"/>
  <c r="I2023" i="1"/>
  <c r="H2023" i="1"/>
  <c r="J2022" i="1"/>
  <c r="I2022" i="1"/>
  <c r="H2022" i="1"/>
  <c r="J2021" i="1"/>
  <c r="I2021" i="1"/>
  <c r="H2021" i="1"/>
  <c r="J2020" i="1"/>
  <c r="I2020" i="1"/>
  <c r="H2020" i="1"/>
  <c r="J2019" i="1"/>
  <c r="I2019" i="1"/>
  <c r="H2019" i="1"/>
  <c r="J2018" i="1"/>
  <c r="I2018" i="1"/>
  <c r="H2018" i="1"/>
  <c r="J2017" i="1"/>
  <c r="I2017" i="1"/>
  <c r="H2017" i="1"/>
  <c r="J2016" i="1"/>
  <c r="I2016" i="1"/>
  <c r="H2016" i="1"/>
  <c r="J2015" i="1"/>
  <c r="I2015" i="1"/>
  <c r="H2015" i="1"/>
  <c r="J2014" i="1"/>
  <c r="I2014" i="1"/>
  <c r="H2014" i="1"/>
  <c r="J2013" i="1"/>
  <c r="I2013" i="1"/>
  <c r="H2013" i="1"/>
  <c r="J2012" i="1"/>
  <c r="I2012" i="1"/>
  <c r="H2012" i="1"/>
  <c r="J2011" i="1"/>
  <c r="I2011" i="1"/>
  <c r="H2011" i="1"/>
  <c r="J2010" i="1"/>
  <c r="I2010" i="1"/>
  <c r="H2010" i="1"/>
  <c r="J2009" i="1"/>
  <c r="I2009" i="1"/>
  <c r="H2009" i="1"/>
  <c r="J2008" i="1"/>
  <c r="I2008" i="1"/>
  <c r="H2008" i="1"/>
  <c r="J2007" i="1"/>
  <c r="I2007" i="1"/>
  <c r="H2007" i="1"/>
  <c r="J2006" i="1"/>
  <c r="I2006" i="1"/>
  <c r="H2006" i="1"/>
  <c r="J2005" i="1"/>
  <c r="I2005" i="1"/>
  <c r="H2005" i="1"/>
  <c r="J2004" i="1"/>
  <c r="I2004" i="1"/>
  <c r="H2004" i="1"/>
  <c r="J2003" i="1"/>
  <c r="I2003" i="1"/>
  <c r="H2003" i="1"/>
  <c r="J2002" i="1"/>
  <c r="I2002" i="1"/>
  <c r="H2002" i="1"/>
  <c r="J2001" i="1"/>
  <c r="I2001" i="1"/>
  <c r="H2001" i="1"/>
  <c r="J2000" i="1"/>
  <c r="I2000" i="1"/>
  <c r="H2000" i="1"/>
  <c r="J1999" i="1"/>
  <c r="I1999" i="1"/>
  <c r="H1999" i="1"/>
  <c r="J1998" i="1"/>
  <c r="I1998" i="1"/>
  <c r="H1998" i="1"/>
  <c r="J1997" i="1"/>
  <c r="I1997" i="1"/>
  <c r="H1997" i="1"/>
  <c r="J1996" i="1"/>
  <c r="I1996" i="1"/>
  <c r="H1996" i="1"/>
  <c r="J1995" i="1"/>
  <c r="I1995" i="1"/>
  <c r="H1995" i="1"/>
  <c r="J1994" i="1"/>
  <c r="I1994" i="1"/>
  <c r="H1994" i="1"/>
  <c r="J1993" i="1"/>
  <c r="I1993" i="1"/>
  <c r="H1993" i="1"/>
  <c r="J1992" i="1"/>
  <c r="I1992" i="1"/>
  <c r="H1992" i="1"/>
  <c r="J1991" i="1"/>
  <c r="I1991" i="1"/>
  <c r="H1991" i="1"/>
  <c r="J1990" i="1"/>
  <c r="I1990" i="1"/>
  <c r="H1990" i="1"/>
  <c r="J1989" i="1"/>
  <c r="I1989" i="1"/>
  <c r="H1989" i="1"/>
  <c r="J1988" i="1"/>
  <c r="I1988" i="1"/>
  <c r="H1988" i="1"/>
  <c r="J1987" i="1"/>
  <c r="I1987" i="1"/>
  <c r="H1987" i="1"/>
  <c r="J1986" i="1"/>
  <c r="I1986" i="1"/>
  <c r="H1986" i="1"/>
  <c r="J1985" i="1"/>
  <c r="I1985" i="1"/>
  <c r="H1985" i="1"/>
  <c r="J1984" i="1"/>
  <c r="I1984" i="1"/>
  <c r="H1984" i="1"/>
  <c r="J1983" i="1"/>
  <c r="I1983" i="1"/>
  <c r="H1983" i="1"/>
  <c r="J1982" i="1"/>
  <c r="I1982" i="1"/>
  <c r="H1982" i="1"/>
  <c r="J1981" i="1"/>
  <c r="I1981" i="1"/>
  <c r="H1981" i="1"/>
  <c r="J1980" i="1"/>
  <c r="I1980" i="1"/>
  <c r="H1980" i="1"/>
  <c r="J1979" i="1"/>
  <c r="I1979" i="1"/>
  <c r="H1979" i="1"/>
  <c r="J1978" i="1"/>
  <c r="I1978" i="1"/>
  <c r="H1978" i="1"/>
  <c r="J1977" i="1"/>
  <c r="I1977" i="1"/>
  <c r="H1977" i="1"/>
  <c r="J1976" i="1"/>
  <c r="I1976" i="1"/>
  <c r="H1976" i="1"/>
  <c r="J1975" i="1"/>
  <c r="I1975" i="1"/>
  <c r="H1975" i="1"/>
  <c r="J1974" i="1"/>
  <c r="I1974" i="1"/>
  <c r="H1974" i="1"/>
  <c r="J1973" i="1"/>
  <c r="I1973" i="1"/>
  <c r="H1973" i="1"/>
  <c r="J1972" i="1"/>
  <c r="I1972" i="1"/>
  <c r="H1972" i="1"/>
  <c r="J1971" i="1"/>
  <c r="I1971" i="1"/>
  <c r="H1971" i="1"/>
  <c r="J1970" i="1"/>
  <c r="I1970" i="1"/>
  <c r="H1970" i="1"/>
  <c r="J1969" i="1"/>
  <c r="I1969" i="1"/>
  <c r="H1969" i="1"/>
  <c r="J1968" i="1"/>
  <c r="I1968" i="1"/>
  <c r="H1968" i="1"/>
  <c r="J1967" i="1"/>
  <c r="I1967" i="1"/>
  <c r="H1967" i="1"/>
  <c r="J1966" i="1"/>
  <c r="I1966" i="1"/>
  <c r="H1966" i="1"/>
  <c r="J1965" i="1"/>
  <c r="I1965" i="1"/>
  <c r="H1965" i="1"/>
  <c r="J1964" i="1"/>
  <c r="I1964" i="1"/>
  <c r="H1964" i="1"/>
  <c r="J1963" i="1"/>
  <c r="I1963" i="1"/>
  <c r="H1963" i="1"/>
  <c r="J1962" i="1"/>
  <c r="I1962" i="1"/>
  <c r="H1962" i="1"/>
  <c r="J1961" i="1"/>
  <c r="I1961" i="1"/>
  <c r="H1961" i="1"/>
  <c r="J1960" i="1"/>
  <c r="I1960" i="1"/>
  <c r="H1960" i="1"/>
  <c r="J1959" i="1"/>
  <c r="I1959" i="1"/>
  <c r="H1959" i="1"/>
  <c r="J1958" i="1"/>
  <c r="I1958" i="1"/>
  <c r="H1958" i="1"/>
  <c r="J1957" i="1"/>
  <c r="I1957" i="1"/>
  <c r="H1957" i="1"/>
  <c r="J1956" i="1"/>
  <c r="I1956" i="1"/>
  <c r="H1956" i="1"/>
  <c r="J1955" i="1"/>
  <c r="I1955" i="1"/>
  <c r="H1955" i="1"/>
  <c r="J1954" i="1"/>
  <c r="I1954" i="1"/>
  <c r="H1954" i="1"/>
  <c r="J1953" i="1"/>
  <c r="I1953" i="1"/>
  <c r="H1953" i="1"/>
  <c r="J1952" i="1"/>
  <c r="I1952" i="1"/>
  <c r="H1952" i="1"/>
  <c r="J1951" i="1"/>
  <c r="I1951" i="1"/>
  <c r="H1951" i="1"/>
  <c r="J1950" i="1"/>
  <c r="I1950" i="1"/>
  <c r="H1950" i="1"/>
  <c r="J1949" i="1"/>
  <c r="I1949" i="1"/>
  <c r="H1949" i="1"/>
  <c r="J1948" i="1"/>
  <c r="I1948" i="1"/>
  <c r="H1948" i="1"/>
  <c r="J1947" i="1"/>
  <c r="I1947" i="1"/>
  <c r="H1947" i="1"/>
  <c r="J1946" i="1"/>
  <c r="I1946" i="1"/>
  <c r="H1946" i="1"/>
  <c r="J1945" i="1"/>
  <c r="I1945" i="1"/>
  <c r="H1945" i="1"/>
  <c r="J1944" i="1"/>
  <c r="I1944" i="1"/>
  <c r="H1944" i="1"/>
  <c r="J1943" i="1"/>
  <c r="I1943" i="1"/>
  <c r="H1943" i="1"/>
  <c r="J1942" i="1"/>
  <c r="I1942" i="1"/>
  <c r="H1942" i="1"/>
  <c r="J1941" i="1"/>
  <c r="I1941" i="1"/>
  <c r="H1941" i="1"/>
  <c r="J1940" i="1"/>
  <c r="I1940" i="1"/>
  <c r="H1940" i="1"/>
  <c r="J1939" i="1"/>
  <c r="I1939" i="1"/>
  <c r="H1939" i="1"/>
  <c r="J1938" i="1"/>
  <c r="I1938" i="1"/>
  <c r="H1938" i="1"/>
  <c r="J1937" i="1"/>
  <c r="I1937" i="1"/>
  <c r="H1937" i="1"/>
  <c r="J1936" i="1"/>
  <c r="I1936" i="1"/>
  <c r="H1936" i="1"/>
  <c r="J1935" i="1"/>
  <c r="I1935" i="1"/>
  <c r="H1935" i="1"/>
  <c r="J1934" i="1"/>
  <c r="I1934" i="1"/>
  <c r="H1934" i="1"/>
  <c r="J1933" i="1"/>
  <c r="I1933" i="1"/>
  <c r="H1933" i="1"/>
  <c r="J1932" i="1"/>
  <c r="I1932" i="1"/>
  <c r="H1932" i="1"/>
  <c r="J1931" i="1"/>
  <c r="I1931" i="1"/>
  <c r="H1931" i="1"/>
  <c r="J1930" i="1"/>
  <c r="I1930" i="1"/>
  <c r="H1930" i="1"/>
  <c r="J1929" i="1"/>
  <c r="I1929" i="1"/>
  <c r="H1929" i="1"/>
  <c r="J1928" i="1"/>
  <c r="I1928" i="1"/>
  <c r="H1928" i="1"/>
  <c r="J1927" i="1"/>
  <c r="I1927" i="1"/>
  <c r="H1927" i="1"/>
  <c r="J1926" i="1"/>
  <c r="I1926" i="1"/>
  <c r="H1926" i="1"/>
  <c r="J1925" i="1"/>
  <c r="I1925" i="1"/>
  <c r="H1925" i="1"/>
  <c r="J1924" i="1"/>
  <c r="I1924" i="1"/>
  <c r="H1924" i="1"/>
  <c r="J1923" i="1"/>
  <c r="I1923" i="1"/>
  <c r="H1923" i="1"/>
  <c r="J1922" i="1"/>
  <c r="I1922" i="1"/>
  <c r="H1922" i="1"/>
  <c r="J1921" i="1"/>
  <c r="I1921" i="1"/>
  <c r="H1921" i="1"/>
  <c r="J1920" i="1"/>
  <c r="I1920" i="1"/>
  <c r="H1920" i="1"/>
  <c r="J1919" i="1"/>
  <c r="I1919" i="1"/>
  <c r="H1919" i="1"/>
  <c r="J1918" i="1"/>
  <c r="I1918" i="1"/>
  <c r="H1918" i="1"/>
  <c r="J1917" i="1"/>
  <c r="I1917" i="1"/>
  <c r="H1917" i="1"/>
  <c r="J1916" i="1"/>
  <c r="I1916" i="1"/>
  <c r="H1916" i="1"/>
  <c r="J1915" i="1"/>
  <c r="I1915" i="1"/>
  <c r="H1915" i="1"/>
  <c r="J1914" i="1"/>
  <c r="I1914" i="1"/>
  <c r="H1914" i="1"/>
  <c r="J1913" i="1"/>
  <c r="I1913" i="1"/>
  <c r="H1913" i="1"/>
  <c r="J1912" i="1"/>
  <c r="I1912" i="1"/>
  <c r="H1912" i="1"/>
  <c r="J1911" i="1"/>
  <c r="I1911" i="1"/>
  <c r="H1911" i="1"/>
  <c r="J1910" i="1"/>
  <c r="I1910" i="1"/>
  <c r="H1910" i="1"/>
  <c r="J1909" i="1"/>
  <c r="I1909" i="1"/>
  <c r="H1909" i="1"/>
  <c r="J1908" i="1"/>
  <c r="I1908" i="1"/>
  <c r="H1908" i="1"/>
  <c r="J1907" i="1"/>
  <c r="I1907" i="1"/>
  <c r="H1907" i="1"/>
  <c r="J1906" i="1"/>
  <c r="I1906" i="1"/>
  <c r="H1906" i="1"/>
  <c r="J1905" i="1"/>
  <c r="I1905" i="1"/>
  <c r="H1905" i="1"/>
  <c r="J1904" i="1"/>
  <c r="I1904" i="1"/>
  <c r="H1904" i="1"/>
  <c r="J1903" i="1"/>
  <c r="I1903" i="1"/>
  <c r="H1903" i="1"/>
  <c r="J1902" i="1"/>
  <c r="I1902" i="1"/>
  <c r="H1902" i="1"/>
  <c r="J1901" i="1"/>
  <c r="I1901" i="1"/>
  <c r="H1901" i="1"/>
  <c r="J1900" i="1"/>
  <c r="I1900" i="1"/>
  <c r="H1900" i="1"/>
  <c r="J1899" i="1"/>
  <c r="I1899" i="1"/>
  <c r="H1899" i="1"/>
  <c r="J1898" i="1"/>
  <c r="I1898" i="1"/>
  <c r="H1898" i="1"/>
  <c r="J1897" i="1"/>
  <c r="I1897" i="1"/>
  <c r="H1897" i="1"/>
  <c r="J1896" i="1"/>
  <c r="I1896" i="1"/>
  <c r="H1896" i="1"/>
  <c r="J1895" i="1"/>
  <c r="I1895" i="1"/>
  <c r="H1895" i="1"/>
  <c r="J1894" i="1"/>
  <c r="I1894" i="1"/>
  <c r="H1894" i="1"/>
  <c r="J1893" i="1"/>
  <c r="I1893" i="1"/>
  <c r="H1893" i="1"/>
  <c r="J1892" i="1"/>
  <c r="I1892" i="1"/>
  <c r="H1892" i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59" i="1"/>
  <c r="I1859" i="1"/>
  <c r="H1859" i="1"/>
  <c r="J1858" i="1"/>
  <c r="I1858" i="1"/>
  <c r="H1858" i="1"/>
  <c r="J1857" i="1"/>
  <c r="I1857" i="1"/>
  <c r="H1857" i="1"/>
  <c r="J1856" i="1"/>
  <c r="I1856" i="1"/>
  <c r="H1856" i="1"/>
  <c r="J1855" i="1"/>
  <c r="I1855" i="1"/>
  <c r="H1855" i="1"/>
  <c r="J1854" i="1"/>
  <c r="I1854" i="1"/>
  <c r="H1854" i="1"/>
  <c r="J1853" i="1"/>
  <c r="I1853" i="1"/>
  <c r="H1853" i="1"/>
  <c r="J1852" i="1"/>
  <c r="I1852" i="1"/>
  <c r="H1852" i="1"/>
  <c r="J1851" i="1"/>
  <c r="I1851" i="1"/>
  <c r="H1851" i="1"/>
  <c r="J1850" i="1"/>
  <c r="I1850" i="1"/>
  <c r="H1850" i="1"/>
  <c r="J1849" i="1"/>
  <c r="I1849" i="1"/>
  <c r="H1849" i="1"/>
  <c r="J1848" i="1"/>
  <c r="I1848" i="1"/>
  <c r="H1848" i="1"/>
  <c r="J1847" i="1"/>
  <c r="I1847" i="1"/>
  <c r="H1847" i="1"/>
  <c r="J1846" i="1"/>
  <c r="I1846" i="1"/>
  <c r="H1846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41" i="1"/>
  <c r="I1841" i="1"/>
  <c r="H1841" i="1"/>
  <c r="J1840" i="1"/>
  <c r="I1840" i="1"/>
  <c r="H1840" i="1"/>
  <c r="J1839" i="1"/>
  <c r="I1839" i="1"/>
  <c r="H1839" i="1"/>
  <c r="J1838" i="1"/>
  <c r="I1838" i="1"/>
  <c r="H1838" i="1"/>
  <c r="J1837" i="1"/>
  <c r="I1837" i="1"/>
  <c r="H1837" i="1"/>
  <c r="J1836" i="1"/>
  <c r="I1836" i="1"/>
  <c r="H1836" i="1"/>
  <c r="J1835" i="1"/>
  <c r="I1835" i="1"/>
  <c r="H1835" i="1"/>
  <c r="J1834" i="1"/>
  <c r="I1834" i="1"/>
  <c r="H1834" i="1"/>
  <c r="J1833" i="1"/>
  <c r="I1833" i="1"/>
  <c r="H1833" i="1"/>
  <c r="J1832" i="1"/>
  <c r="I1832" i="1"/>
  <c r="H1832" i="1"/>
  <c r="J1831" i="1"/>
  <c r="I1831" i="1"/>
  <c r="H1831" i="1"/>
  <c r="J1830" i="1"/>
  <c r="I1830" i="1"/>
  <c r="H1830" i="1"/>
  <c r="J1829" i="1"/>
  <c r="I1829" i="1"/>
  <c r="H1829" i="1"/>
  <c r="J1828" i="1"/>
  <c r="I1828" i="1"/>
  <c r="H1828" i="1"/>
  <c r="J1827" i="1"/>
  <c r="I1827" i="1"/>
  <c r="H1827" i="1"/>
  <c r="J1826" i="1"/>
  <c r="I1826" i="1"/>
  <c r="H1826" i="1"/>
  <c r="J1825" i="1"/>
  <c r="I1825" i="1"/>
  <c r="H1825" i="1"/>
  <c r="J1824" i="1"/>
  <c r="I1824" i="1"/>
  <c r="H1824" i="1"/>
  <c r="J1823" i="1"/>
  <c r="I1823" i="1"/>
  <c r="H1823" i="1"/>
  <c r="J1822" i="1"/>
  <c r="I1822" i="1"/>
  <c r="H1822" i="1"/>
  <c r="J1821" i="1"/>
  <c r="I1821" i="1"/>
  <c r="H1821" i="1"/>
  <c r="J1820" i="1"/>
  <c r="I1820" i="1"/>
  <c r="H1820" i="1"/>
  <c r="J1819" i="1"/>
  <c r="I1819" i="1"/>
  <c r="H1819" i="1"/>
  <c r="J1818" i="1"/>
  <c r="I1818" i="1"/>
  <c r="H1818" i="1"/>
  <c r="J1817" i="1"/>
  <c r="I1817" i="1"/>
  <c r="H1817" i="1"/>
  <c r="J1816" i="1"/>
  <c r="I1816" i="1"/>
  <c r="H1816" i="1"/>
  <c r="J1815" i="1"/>
  <c r="I1815" i="1"/>
  <c r="H1815" i="1"/>
  <c r="J1814" i="1"/>
  <c r="I1814" i="1"/>
  <c r="H1814" i="1"/>
  <c r="J1813" i="1"/>
  <c r="I1813" i="1"/>
  <c r="H1813" i="1"/>
  <c r="J1812" i="1"/>
  <c r="I1812" i="1"/>
  <c r="H1812" i="1"/>
  <c r="J1811" i="1"/>
  <c r="I1811" i="1"/>
  <c r="H1811" i="1"/>
  <c r="J1810" i="1"/>
  <c r="I1810" i="1"/>
  <c r="H1810" i="1"/>
  <c r="J1809" i="1"/>
  <c r="I1809" i="1"/>
  <c r="H1809" i="1"/>
  <c r="J1808" i="1"/>
  <c r="I1808" i="1"/>
  <c r="H1808" i="1"/>
  <c r="J1807" i="1"/>
  <c r="I1807" i="1"/>
  <c r="H1807" i="1"/>
  <c r="J1806" i="1"/>
  <c r="I1806" i="1"/>
  <c r="H1806" i="1"/>
  <c r="J1805" i="1"/>
  <c r="I1805" i="1"/>
  <c r="H1805" i="1"/>
  <c r="J1804" i="1"/>
  <c r="I1804" i="1"/>
  <c r="H1804" i="1"/>
  <c r="J1803" i="1"/>
  <c r="I1803" i="1"/>
  <c r="H1803" i="1"/>
  <c r="J1802" i="1"/>
  <c r="I1802" i="1"/>
  <c r="H1802" i="1"/>
  <c r="J1801" i="1"/>
  <c r="I1801" i="1"/>
  <c r="H1801" i="1"/>
  <c r="J1800" i="1"/>
  <c r="I1800" i="1"/>
  <c r="H1800" i="1"/>
  <c r="J1799" i="1"/>
  <c r="I1799" i="1"/>
  <c r="H1799" i="1"/>
  <c r="J1798" i="1"/>
  <c r="I1798" i="1"/>
  <c r="H1798" i="1"/>
  <c r="J1797" i="1"/>
  <c r="I1797" i="1"/>
  <c r="H1797" i="1"/>
  <c r="J1796" i="1"/>
  <c r="I1796" i="1"/>
  <c r="H1796" i="1"/>
  <c r="J1795" i="1"/>
  <c r="I1795" i="1"/>
  <c r="H1795" i="1"/>
  <c r="J1794" i="1"/>
  <c r="I1794" i="1"/>
  <c r="H1794" i="1"/>
  <c r="J1793" i="1"/>
  <c r="I1793" i="1"/>
  <c r="H1793" i="1"/>
  <c r="J1792" i="1"/>
  <c r="I1792" i="1"/>
  <c r="H1792" i="1"/>
  <c r="J1791" i="1"/>
  <c r="I1791" i="1"/>
  <c r="H1791" i="1"/>
  <c r="J1790" i="1"/>
  <c r="I1790" i="1"/>
  <c r="H1790" i="1"/>
  <c r="J1789" i="1"/>
  <c r="I1789" i="1"/>
  <c r="H1789" i="1"/>
  <c r="J1788" i="1"/>
  <c r="I1788" i="1"/>
  <c r="H1788" i="1"/>
  <c r="J1787" i="1"/>
  <c r="I1787" i="1"/>
  <c r="H1787" i="1"/>
  <c r="J1786" i="1"/>
  <c r="I1786" i="1"/>
  <c r="H1786" i="1"/>
  <c r="J1785" i="1"/>
  <c r="I1785" i="1"/>
  <c r="H1785" i="1"/>
  <c r="J1784" i="1"/>
  <c r="I1784" i="1"/>
  <c r="H1784" i="1"/>
  <c r="J1783" i="1"/>
  <c r="I1783" i="1"/>
  <c r="H1783" i="1"/>
  <c r="J1782" i="1"/>
  <c r="I1782" i="1"/>
  <c r="H1782" i="1"/>
  <c r="J1781" i="1"/>
  <c r="I1781" i="1"/>
  <c r="H1781" i="1"/>
  <c r="J1780" i="1"/>
  <c r="I1780" i="1"/>
  <c r="H1780" i="1"/>
  <c r="J1779" i="1"/>
  <c r="I1779" i="1"/>
  <c r="H1779" i="1"/>
  <c r="J1778" i="1"/>
  <c r="I1778" i="1"/>
  <c r="H1778" i="1"/>
  <c r="J1777" i="1"/>
  <c r="I1777" i="1"/>
  <c r="H1777" i="1"/>
  <c r="J1776" i="1"/>
  <c r="I1776" i="1"/>
  <c r="H1776" i="1"/>
  <c r="J1775" i="1"/>
  <c r="I1775" i="1"/>
  <c r="H1775" i="1"/>
  <c r="J1774" i="1"/>
  <c r="I1774" i="1"/>
  <c r="H1774" i="1"/>
  <c r="J1773" i="1"/>
  <c r="I1773" i="1"/>
  <c r="H1773" i="1"/>
  <c r="J1772" i="1"/>
  <c r="I1772" i="1"/>
  <c r="H1772" i="1"/>
  <c r="J1771" i="1"/>
  <c r="I1771" i="1"/>
  <c r="H1771" i="1"/>
  <c r="J1770" i="1"/>
  <c r="I1770" i="1"/>
  <c r="H1770" i="1"/>
  <c r="J1769" i="1"/>
  <c r="I1769" i="1"/>
  <c r="H1769" i="1"/>
  <c r="J1768" i="1"/>
  <c r="I1768" i="1"/>
  <c r="H1768" i="1"/>
  <c r="J1767" i="1"/>
  <c r="I1767" i="1"/>
  <c r="H1767" i="1"/>
  <c r="J1766" i="1"/>
  <c r="I1766" i="1"/>
  <c r="H1766" i="1"/>
  <c r="J1765" i="1"/>
  <c r="I1765" i="1"/>
  <c r="H1765" i="1"/>
  <c r="J1764" i="1"/>
  <c r="I1764" i="1"/>
  <c r="H1764" i="1"/>
  <c r="J1763" i="1"/>
  <c r="I1763" i="1"/>
  <c r="H1763" i="1"/>
  <c r="J1762" i="1"/>
  <c r="I1762" i="1"/>
  <c r="H1762" i="1"/>
  <c r="J1761" i="1"/>
  <c r="I1761" i="1"/>
  <c r="H1761" i="1"/>
  <c r="J1760" i="1"/>
  <c r="I1760" i="1"/>
  <c r="H1760" i="1"/>
  <c r="J1759" i="1"/>
  <c r="I1759" i="1"/>
  <c r="H1759" i="1"/>
  <c r="J1758" i="1"/>
  <c r="I1758" i="1"/>
  <c r="H1758" i="1"/>
  <c r="J1757" i="1"/>
  <c r="I1757" i="1"/>
  <c r="H1757" i="1"/>
  <c r="J1756" i="1"/>
  <c r="I1756" i="1"/>
  <c r="H1756" i="1"/>
  <c r="J1755" i="1"/>
  <c r="I1755" i="1"/>
  <c r="H1755" i="1"/>
  <c r="J1754" i="1"/>
  <c r="I1754" i="1"/>
  <c r="H1754" i="1"/>
  <c r="J1753" i="1"/>
  <c r="I1753" i="1"/>
  <c r="H1753" i="1"/>
  <c r="J1752" i="1"/>
  <c r="I1752" i="1"/>
  <c r="H1752" i="1"/>
  <c r="J1751" i="1"/>
  <c r="I1751" i="1"/>
  <c r="H1751" i="1"/>
  <c r="J1750" i="1"/>
  <c r="I1750" i="1"/>
  <c r="H1750" i="1"/>
  <c r="J1749" i="1"/>
  <c r="I1749" i="1"/>
  <c r="H1749" i="1"/>
  <c r="J1748" i="1"/>
  <c r="I1748" i="1"/>
  <c r="H1748" i="1"/>
  <c r="J1747" i="1"/>
  <c r="I1747" i="1"/>
  <c r="H1747" i="1"/>
  <c r="J1746" i="1"/>
  <c r="I1746" i="1"/>
  <c r="H1746" i="1"/>
  <c r="J1745" i="1"/>
  <c r="I1745" i="1"/>
  <c r="H1745" i="1"/>
  <c r="J1744" i="1"/>
  <c r="I1744" i="1"/>
  <c r="H1744" i="1"/>
  <c r="J1743" i="1"/>
  <c r="I1743" i="1"/>
  <c r="H1743" i="1"/>
  <c r="J1742" i="1"/>
  <c r="I1742" i="1"/>
  <c r="H1742" i="1"/>
  <c r="J1741" i="1"/>
  <c r="I1741" i="1"/>
  <c r="H1741" i="1"/>
  <c r="J1740" i="1"/>
  <c r="I1740" i="1"/>
  <c r="H1740" i="1"/>
  <c r="J1739" i="1"/>
  <c r="I1739" i="1"/>
  <c r="H1739" i="1"/>
  <c r="J1738" i="1"/>
  <c r="I1738" i="1"/>
  <c r="H1738" i="1"/>
  <c r="J1737" i="1"/>
  <c r="I1737" i="1"/>
  <c r="H1737" i="1"/>
  <c r="J1736" i="1"/>
  <c r="I1736" i="1"/>
  <c r="H1736" i="1"/>
  <c r="J1735" i="1"/>
  <c r="I1735" i="1"/>
  <c r="H1735" i="1"/>
  <c r="J1734" i="1"/>
  <c r="I1734" i="1"/>
  <c r="H1734" i="1"/>
  <c r="J1733" i="1"/>
  <c r="I1733" i="1"/>
  <c r="H1733" i="1"/>
  <c r="J1732" i="1"/>
  <c r="I1732" i="1"/>
  <c r="H1732" i="1"/>
  <c r="J1731" i="1"/>
  <c r="I1731" i="1"/>
  <c r="H1731" i="1"/>
  <c r="J1730" i="1"/>
  <c r="I1730" i="1"/>
  <c r="H1730" i="1"/>
  <c r="J1729" i="1"/>
  <c r="I1729" i="1"/>
  <c r="H1729" i="1"/>
  <c r="J1728" i="1"/>
  <c r="I1728" i="1"/>
  <c r="H1728" i="1"/>
  <c r="J1727" i="1"/>
  <c r="I1727" i="1"/>
  <c r="H1727" i="1"/>
  <c r="J1726" i="1"/>
  <c r="I1726" i="1"/>
  <c r="H1726" i="1"/>
  <c r="J1725" i="1"/>
  <c r="I1725" i="1"/>
  <c r="H1725" i="1"/>
  <c r="J1724" i="1"/>
  <c r="I1724" i="1"/>
  <c r="H1724" i="1"/>
  <c r="J1723" i="1"/>
  <c r="I1723" i="1"/>
  <c r="H1723" i="1"/>
  <c r="J1722" i="1"/>
  <c r="I1722" i="1"/>
  <c r="H1722" i="1"/>
  <c r="J1721" i="1"/>
  <c r="I1721" i="1"/>
  <c r="H1721" i="1"/>
  <c r="J1720" i="1"/>
  <c r="I1720" i="1"/>
  <c r="H1720" i="1"/>
  <c r="J1719" i="1"/>
  <c r="I1719" i="1"/>
  <c r="H1719" i="1"/>
  <c r="J1718" i="1"/>
  <c r="I1718" i="1"/>
  <c r="H1718" i="1"/>
  <c r="J1717" i="1"/>
  <c r="I1717" i="1"/>
  <c r="H1717" i="1"/>
  <c r="J1716" i="1"/>
  <c r="I1716" i="1"/>
  <c r="H1716" i="1"/>
  <c r="J1715" i="1"/>
  <c r="I1715" i="1"/>
  <c r="H1715" i="1"/>
  <c r="J1714" i="1"/>
  <c r="I1714" i="1"/>
  <c r="H1714" i="1"/>
  <c r="J1713" i="1"/>
  <c r="I1713" i="1"/>
  <c r="H1713" i="1"/>
  <c r="J1712" i="1"/>
  <c r="I1712" i="1"/>
  <c r="H1712" i="1"/>
  <c r="J1711" i="1"/>
  <c r="I1711" i="1"/>
  <c r="H1711" i="1"/>
  <c r="J1710" i="1"/>
  <c r="I1710" i="1"/>
  <c r="H1710" i="1"/>
  <c r="J1709" i="1"/>
  <c r="I1709" i="1"/>
  <c r="H1709" i="1"/>
  <c r="J1708" i="1"/>
  <c r="I1708" i="1"/>
  <c r="H1708" i="1"/>
  <c r="J1707" i="1"/>
  <c r="I1707" i="1"/>
  <c r="H1707" i="1"/>
  <c r="J1706" i="1"/>
  <c r="I1706" i="1"/>
  <c r="H1706" i="1"/>
  <c r="J1705" i="1"/>
  <c r="I1705" i="1"/>
  <c r="H1705" i="1"/>
  <c r="J1704" i="1"/>
  <c r="I1704" i="1"/>
  <c r="H1704" i="1"/>
  <c r="J1703" i="1"/>
  <c r="I1703" i="1"/>
  <c r="H1703" i="1"/>
  <c r="J1702" i="1"/>
  <c r="I1702" i="1"/>
  <c r="H1702" i="1"/>
  <c r="J1701" i="1"/>
  <c r="I1701" i="1"/>
  <c r="H1701" i="1"/>
  <c r="J1700" i="1"/>
  <c r="I1700" i="1"/>
  <c r="H1700" i="1"/>
  <c r="J1699" i="1"/>
  <c r="I1699" i="1"/>
  <c r="H1699" i="1"/>
  <c r="J1698" i="1"/>
  <c r="I1698" i="1"/>
  <c r="H1698" i="1"/>
  <c r="J1697" i="1"/>
  <c r="I1697" i="1"/>
  <c r="H1697" i="1"/>
  <c r="J1696" i="1"/>
  <c r="I1696" i="1"/>
  <c r="H1696" i="1"/>
  <c r="J1695" i="1"/>
  <c r="I1695" i="1"/>
  <c r="H1695" i="1"/>
  <c r="J1694" i="1"/>
  <c r="I1694" i="1"/>
  <c r="H1694" i="1"/>
  <c r="J1693" i="1"/>
  <c r="I1693" i="1"/>
  <c r="H1693" i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681" i="1"/>
  <c r="I1681" i="1"/>
  <c r="H1681" i="1"/>
  <c r="J1680" i="1"/>
  <c r="I1680" i="1"/>
  <c r="H1680" i="1"/>
  <c r="J1679" i="1"/>
  <c r="I1679" i="1"/>
  <c r="H1679" i="1"/>
  <c r="J1678" i="1"/>
  <c r="I1678" i="1"/>
  <c r="H1678" i="1"/>
  <c r="J1677" i="1"/>
  <c r="I1677" i="1"/>
  <c r="H1677" i="1"/>
  <c r="J1676" i="1"/>
  <c r="I1676" i="1"/>
  <c r="H1676" i="1"/>
  <c r="J1675" i="1"/>
  <c r="I1675" i="1"/>
  <c r="H1675" i="1"/>
  <c r="J1674" i="1"/>
  <c r="I1674" i="1"/>
  <c r="H167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66" i="1"/>
  <c r="I1666" i="1"/>
  <c r="H1666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53" i="1"/>
  <c r="I1653" i="1"/>
  <c r="H1653" i="1"/>
  <c r="J1652" i="1"/>
  <c r="I1652" i="1"/>
  <c r="H1652" i="1"/>
  <c r="J1651" i="1"/>
  <c r="I1651" i="1"/>
  <c r="H1651" i="1"/>
  <c r="J1650" i="1"/>
  <c r="I1650" i="1"/>
  <c r="H1650" i="1"/>
  <c r="J1649" i="1"/>
  <c r="I1649" i="1"/>
  <c r="H1649" i="1"/>
  <c r="J1648" i="1"/>
  <c r="I1648" i="1"/>
  <c r="H1648" i="1"/>
  <c r="J1647" i="1"/>
  <c r="I1647" i="1"/>
  <c r="H1647" i="1"/>
  <c r="J1646" i="1"/>
  <c r="I1646" i="1"/>
  <c r="H1646" i="1"/>
  <c r="J1645" i="1"/>
  <c r="I1645" i="1"/>
  <c r="H1645" i="1"/>
  <c r="J1644" i="1"/>
  <c r="I1644" i="1"/>
  <c r="H1644" i="1"/>
  <c r="J1643" i="1"/>
  <c r="I1643" i="1"/>
  <c r="H1643" i="1"/>
  <c r="J1642" i="1"/>
  <c r="I1642" i="1"/>
  <c r="H1642" i="1"/>
  <c r="J1641" i="1"/>
  <c r="I1641" i="1"/>
  <c r="H1641" i="1"/>
  <c r="J1640" i="1"/>
  <c r="I1640" i="1"/>
  <c r="H1640" i="1"/>
  <c r="J1639" i="1"/>
  <c r="I1639" i="1"/>
  <c r="H1639" i="1"/>
  <c r="J1638" i="1"/>
  <c r="I1638" i="1"/>
  <c r="H1638" i="1"/>
  <c r="J1637" i="1"/>
  <c r="I1637" i="1"/>
  <c r="H1637" i="1"/>
  <c r="J1636" i="1"/>
  <c r="I1636" i="1"/>
  <c r="H1636" i="1"/>
  <c r="J1635" i="1"/>
  <c r="I1635" i="1"/>
  <c r="H1635" i="1"/>
  <c r="J1634" i="1"/>
  <c r="I1634" i="1"/>
  <c r="H1634" i="1"/>
  <c r="J1633" i="1"/>
  <c r="I1633" i="1"/>
  <c r="H1633" i="1"/>
  <c r="J1632" i="1"/>
  <c r="I1632" i="1"/>
  <c r="H1632" i="1"/>
  <c r="J1631" i="1"/>
  <c r="I1631" i="1"/>
  <c r="H1631" i="1"/>
  <c r="J1630" i="1"/>
  <c r="I1630" i="1"/>
  <c r="H1630" i="1"/>
  <c r="J1629" i="1"/>
  <c r="I1629" i="1"/>
  <c r="H1629" i="1"/>
  <c r="J1628" i="1"/>
  <c r="I1628" i="1"/>
  <c r="H1628" i="1"/>
  <c r="J1627" i="1"/>
  <c r="I1627" i="1"/>
  <c r="H1627" i="1"/>
  <c r="J1626" i="1"/>
  <c r="I1626" i="1"/>
  <c r="H1626" i="1"/>
  <c r="J1625" i="1"/>
  <c r="I1625" i="1"/>
  <c r="H1625" i="1"/>
  <c r="J1624" i="1"/>
  <c r="I1624" i="1"/>
  <c r="H1624" i="1"/>
  <c r="J1623" i="1"/>
  <c r="I1623" i="1"/>
  <c r="H1623" i="1"/>
  <c r="J1622" i="1"/>
  <c r="I1622" i="1"/>
  <c r="H1622" i="1"/>
  <c r="J1621" i="1"/>
  <c r="I1621" i="1"/>
  <c r="H1621" i="1"/>
  <c r="J1620" i="1"/>
  <c r="I1620" i="1"/>
  <c r="H1620" i="1"/>
  <c r="J1619" i="1"/>
  <c r="I1619" i="1"/>
  <c r="H1619" i="1"/>
  <c r="J1618" i="1"/>
  <c r="I1618" i="1"/>
  <c r="H1618" i="1"/>
  <c r="J1617" i="1"/>
  <c r="I1617" i="1"/>
  <c r="H1617" i="1"/>
  <c r="J1616" i="1"/>
  <c r="I1616" i="1"/>
  <c r="H1616" i="1"/>
  <c r="J1615" i="1"/>
  <c r="I1615" i="1"/>
  <c r="H1615" i="1"/>
  <c r="J1614" i="1"/>
  <c r="I1614" i="1"/>
  <c r="H1614" i="1"/>
  <c r="J1613" i="1"/>
  <c r="I1613" i="1"/>
  <c r="H1613" i="1"/>
  <c r="J1612" i="1"/>
  <c r="I1612" i="1"/>
  <c r="H1612" i="1"/>
  <c r="J1611" i="1"/>
  <c r="I1611" i="1"/>
  <c r="H1611" i="1"/>
  <c r="J1610" i="1"/>
  <c r="I1610" i="1"/>
  <c r="H1610" i="1"/>
  <c r="J1609" i="1"/>
  <c r="I1609" i="1"/>
  <c r="H1609" i="1"/>
  <c r="J1608" i="1"/>
  <c r="I1608" i="1"/>
  <c r="H1608" i="1"/>
  <c r="J1607" i="1"/>
  <c r="I1607" i="1"/>
  <c r="H1607" i="1"/>
  <c r="J1606" i="1"/>
  <c r="I1606" i="1"/>
  <c r="H1606" i="1"/>
  <c r="J1605" i="1"/>
  <c r="I1605" i="1"/>
  <c r="H1605" i="1"/>
  <c r="J1604" i="1"/>
  <c r="I1604" i="1"/>
  <c r="H1604" i="1"/>
  <c r="J1603" i="1"/>
  <c r="I1603" i="1"/>
  <c r="H1603" i="1"/>
  <c r="J1602" i="1"/>
  <c r="I1602" i="1"/>
  <c r="H1602" i="1"/>
  <c r="J1601" i="1"/>
  <c r="I1601" i="1"/>
  <c r="H1601" i="1"/>
  <c r="J1600" i="1"/>
  <c r="I1600" i="1"/>
  <c r="H1600" i="1"/>
  <c r="J1599" i="1"/>
  <c r="I1599" i="1"/>
  <c r="H1599" i="1"/>
  <c r="J1598" i="1"/>
  <c r="I1598" i="1"/>
  <c r="H1598" i="1"/>
  <c r="J1597" i="1"/>
  <c r="I1597" i="1"/>
  <c r="H1597" i="1"/>
  <c r="J1596" i="1"/>
  <c r="I1596" i="1"/>
  <c r="H1596" i="1"/>
  <c r="J1595" i="1"/>
  <c r="I1595" i="1"/>
  <c r="H1595" i="1"/>
  <c r="J1594" i="1"/>
  <c r="I1594" i="1"/>
  <c r="H1594" i="1"/>
  <c r="J1593" i="1"/>
  <c r="I1593" i="1"/>
  <c r="H1593" i="1"/>
  <c r="J1592" i="1"/>
  <c r="I1592" i="1"/>
  <c r="H1592" i="1"/>
  <c r="J1591" i="1"/>
  <c r="I1591" i="1"/>
  <c r="H1591" i="1"/>
  <c r="J1590" i="1"/>
  <c r="I1590" i="1"/>
  <c r="H1590" i="1"/>
  <c r="J1589" i="1"/>
  <c r="I1589" i="1"/>
  <c r="H1589" i="1"/>
  <c r="J1588" i="1"/>
  <c r="I1588" i="1"/>
  <c r="H1588" i="1"/>
  <c r="J1587" i="1"/>
  <c r="I1587" i="1"/>
  <c r="H1587" i="1"/>
  <c r="J1586" i="1"/>
  <c r="I1586" i="1"/>
  <c r="H1586" i="1"/>
  <c r="J1585" i="1"/>
  <c r="I1585" i="1"/>
  <c r="H1585" i="1"/>
  <c r="J1584" i="1"/>
  <c r="I1584" i="1"/>
  <c r="H1584" i="1"/>
  <c r="J1583" i="1"/>
  <c r="I1583" i="1"/>
  <c r="H1583" i="1"/>
  <c r="J1582" i="1"/>
  <c r="I1582" i="1"/>
  <c r="H1582" i="1"/>
  <c r="J1581" i="1"/>
  <c r="I1581" i="1"/>
  <c r="H1581" i="1"/>
  <c r="J1580" i="1"/>
  <c r="I1580" i="1"/>
  <c r="H1580" i="1"/>
  <c r="J1579" i="1"/>
  <c r="I1579" i="1"/>
  <c r="H1579" i="1"/>
  <c r="J1578" i="1"/>
  <c r="I1578" i="1"/>
  <c r="H1578" i="1"/>
  <c r="J1577" i="1"/>
  <c r="I1577" i="1"/>
  <c r="H1577" i="1"/>
  <c r="J1576" i="1"/>
  <c r="I1576" i="1"/>
  <c r="H1576" i="1"/>
  <c r="J1575" i="1"/>
  <c r="I1575" i="1"/>
  <c r="H1575" i="1"/>
  <c r="J1574" i="1"/>
  <c r="I1574" i="1"/>
  <c r="H1574" i="1"/>
  <c r="J1573" i="1"/>
  <c r="I1573" i="1"/>
  <c r="H1573" i="1"/>
  <c r="J1572" i="1"/>
  <c r="I1572" i="1"/>
  <c r="H1572" i="1"/>
  <c r="J1571" i="1"/>
  <c r="I1571" i="1"/>
  <c r="H1571" i="1"/>
  <c r="J1570" i="1"/>
  <c r="I1570" i="1"/>
  <c r="H1570" i="1"/>
  <c r="J1569" i="1"/>
  <c r="I1569" i="1"/>
  <c r="H1569" i="1"/>
  <c r="J1568" i="1"/>
  <c r="I1568" i="1"/>
  <c r="H1568" i="1"/>
  <c r="J1567" i="1"/>
  <c r="I1567" i="1"/>
  <c r="H1567" i="1"/>
  <c r="J1566" i="1"/>
  <c r="I1566" i="1"/>
  <c r="H1566" i="1"/>
  <c r="J1565" i="1"/>
  <c r="I1565" i="1"/>
  <c r="H1565" i="1"/>
  <c r="J1564" i="1"/>
  <c r="I1564" i="1"/>
  <c r="H1564" i="1"/>
  <c r="J1563" i="1"/>
  <c r="I1563" i="1"/>
  <c r="H1563" i="1"/>
  <c r="J1562" i="1"/>
  <c r="I1562" i="1"/>
  <c r="H1562" i="1"/>
  <c r="J1561" i="1"/>
  <c r="I1561" i="1"/>
  <c r="H1561" i="1"/>
  <c r="J1560" i="1"/>
  <c r="I1560" i="1"/>
  <c r="H1560" i="1"/>
  <c r="J1559" i="1"/>
  <c r="I1559" i="1"/>
  <c r="H1559" i="1"/>
  <c r="J1558" i="1"/>
  <c r="I1558" i="1"/>
  <c r="H1558" i="1"/>
  <c r="J1557" i="1"/>
  <c r="I1557" i="1"/>
  <c r="H1557" i="1"/>
  <c r="J1556" i="1"/>
  <c r="I1556" i="1"/>
  <c r="H1556" i="1"/>
  <c r="J1555" i="1"/>
  <c r="I1555" i="1"/>
  <c r="H1555" i="1"/>
  <c r="J1554" i="1"/>
  <c r="I1554" i="1"/>
  <c r="H1554" i="1"/>
  <c r="J1553" i="1"/>
  <c r="I1553" i="1"/>
  <c r="H1553" i="1"/>
  <c r="J1552" i="1"/>
  <c r="I1552" i="1"/>
  <c r="H1552" i="1"/>
  <c r="J1551" i="1"/>
  <c r="I1551" i="1"/>
  <c r="H1551" i="1"/>
  <c r="J1550" i="1"/>
  <c r="I1550" i="1"/>
  <c r="H1550" i="1"/>
  <c r="J1549" i="1"/>
  <c r="I1549" i="1"/>
  <c r="H1549" i="1"/>
  <c r="J1548" i="1"/>
  <c r="I1548" i="1"/>
  <c r="H1548" i="1"/>
  <c r="J1547" i="1"/>
  <c r="I1547" i="1"/>
  <c r="H1547" i="1"/>
  <c r="J1546" i="1"/>
  <c r="I1546" i="1"/>
  <c r="H1546" i="1"/>
  <c r="J1545" i="1"/>
  <c r="I1545" i="1"/>
  <c r="H1545" i="1"/>
  <c r="J1544" i="1"/>
  <c r="I1544" i="1"/>
  <c r="H1544" i="1"/>
  <c r="J1543" i="1"/>
  <c r="I1543" i="1"/>
  <c r="H1543" i="1"/>
  <c r="J1542" i="1"/>
  <c r="I1542" i="1"/>
  <c r="H1542" i="1"/>
  <c r="J1541" i="1"/>
  <c r="I1541" i="1"/>
  <c r="H1541" i="1"/>
  <c r="J1540" i="1"/>
  <c r="I1540" i="1"/>
  <c r="H1540" i="1"/>
  <c r="J1539" i="1"/>
  <c r="I1539" i="1"/>
  <c r="H1539" i="1"/>
  <c r="J1538" i="1"/>
  <c r="I1538" i="1"/>
  <c r="H1538" i="1"/>
  <c r="J1537" i="1"/>
  <c r="I1537" i="1"/>
  <c r="H1537" i="1"/>
  <c r="J1536" i="1"/>
  <c r="I1536" i="1"/>
  <c r="H1536" i="1"/>
  <c r="J1535" i="1"/>
  <c r="I1535" i="1"/>
  <c r="H1535" i="1"/>
  <c r="J1534" i="1"/>
  <c r="I1534" i="1"/>
  <c r="H1534" i="1"/>
  <c r="J1533" i="1"/>
  <c r="I1533" i="1"/>
  <c r="H1533" i="1"/>
  <c r="J1532" i="1"/>
  <c r="I1532" i="1"/>
  <c r="H1532" i="1"/>
  <c r="J1531" i="1"/>
  <c r="I1531" i="1"/>
  <c r="H1531" i="1"/>
  <c r="J1530" i="1"/>
  <c r="I1530" i="1"/>
  <c r="H1530" i="1"/>
  <c r="J1529" i="1"/>
  <c r="I1529" i="1"/>
  <c r="H1529" i="1"/>
  <c r="J1528" i="1"/>
  <c r="I1528" i="1"/>
  <c r="H1528" i="1"/>
  <c r="J1527" i="1"/>
  <c r="I1527" i="1"/>
  <c r="H1527" i="1"/>
  <c r="J1526" i="1"/>
  <c r="I1526" i="1"/>
  <c r="H1526" i="1"/>
  <c r="J1525" i="1"/>
  <c r="I1525" i="1"/>
  <c r="H1525" i="1"/>
  <c r="J1524" i="1"/>
  <c r="I1524" i="1"/>
  <c r="H1524" i="1"/>
  <c r="J1523" i="1"/>
  <c r="I1523" i="1"/>
  <c r="H1523" i="1"/>
  <c r="J1522" i="1"/>
  <c r="I1522" i="1"/>
  <c r="H1522" i="1"/>
  <c r="J1521" i="1"/>
  <c r="I1521" i="1"/>
  <c r="H1521" i="1"/>
  <c r="J1520" i="1"/>
  <c r="I1520" i="1"/>
  <c r="H1520" i="1"/>
  <c r="J1519" i="1"/>
  <c r="I1519" i="1"/>
  <c r="H1519" i="1"/>
  <c r="J1518" i="1"/>
  <c r="I1518" i="1"/>
  <c r="H1518" i="1"/>
  <c r="J1517" i="1"/>
  <c r="I1517" i="1"/>
  <c r="H1517" i="1"/>
  <c r="J1516" i="1"/>
  <c r="I1516" i="1"/>
  <c r="H1516" i="1"/>
  <c r="J1515" i="1"/>
  <c r="I1515" i="1"/>
  <c r="H1515" i="1"/>
  <c r="J1514" i="1"/>
  <c r="I1514" i="1"/>
  <c r="H1514" i="1"/>
  <c r="J1513" i="1"/>
  <c r="I1513" i="1"/>
  <c r="H1513" i="1"/>
  <c r="J1512" i="1"/>
  <c r="I1512" i="1"/>
  <c r="H1512" i="1"/>
  <c r="J1511" i="1"/>
  <c r="I1511" i="1"/>
  <c r="H1511" i="1"/>
  <c r="J1510" i="1"/>
  <c r="I1510" i="1"/>
  <c r="H1510" i="1"/>
  <c r="J1509" i="1"/>
  <c r="I1509" i="1"/>
  <c r="H1509" i="1"/>
  <c r="J1508" i="1"/>
  <c r="I1508" i="1"/>
  <c r="H1508" i="1"/>
  <c r="J1507" i="1"/>
  <c r="I1507" i="1"/>
  <c r="H1507" i="1"/>
  <c r="J1506" i="1"/>
  <c r="I1506" i="1"/>
  <c r="H1506" i="1"/>
  <c r="J1505" i="1"/>
  <c r="I1505" i="1"/>
  <c r="H1505" i="1"/>
  <c r="J1504" i="1"/>
  <c r="I1504" i="1"/>
  <c r="H1504" i="1"/>
  <c r="J1503" i="1"/>
  <c r="I1503" i="1"/>
  <c r="H1503" i="1"/>
  <c r="J1502" i="1"/>
  <c r="I1502" i="1"/>
  <c r="H1502" i="1"/>
  <c r="J1501" i="1"/>
  <c r="I1501" i="1"/>
  <c r="H1501" i="1"/>
  <c r="J1500" i="1"/>
  <c r="I1500" i="1"/>
  <c r="H1500" i="1"/>
  <c r="J1499" i="1"/>
  <c r="I1499" i="1"/>
  <c r="H1499" i="1"/>
  <c r="J1498" i="1"/>
  <c r="I1498" i="1"/>
  <c r="H1498" i="1"/>
  <c r="J1497" i="1"/>
  <c r="I1497" i="1"/>
  <c r="H1497" i="1"/>
  <c r="J1496" i="1"/>
  <c r="I1496" i="1"/>
  <c r="H1496" i="1"/>
  <c r="J1495" i="1"/>
  <c r="I1495" i="1"/>
  <c r="H1495" i="1"/>
  <c r="J1494" i="1"/>
  <c r="I1494" i="1"/>
  <c r="H1494" i="1"/>
  <c r="J1493" i="1"/>
  <c r="I1493" i="1"/>
  <c r="H1493" i="1"/>
  <c r="J1492" i="1"/>
  <c r="I1492" i="1"/>
  <c r="H1492" i="1"/>
  <c r="J1491" i="1"/>
  <c r="I1491" i="1"/>
  <c r="H1491" i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84" i="1"/>
  <c r="I1484" i="1"/>
  <c r="H1484" i="1"/>
  <c r="J1483" i="1"/>
  <c r="I1483" i="1"/>
  <c r="H1483" i="1"/>
  <c r="J1482" i="1"/>
  <c r="I1482" i="1"/>
  <c r="H1482" i="1"/>
  <c r="J1481" i="1"/>
  <c r="I1481" i="1"/>
  <c r="H1481" i="1"/>
  <c r="J1480" i="1"/>
  <c r="I1480" i="1"/>
  <c r="H1480" i="1"/>
  <c r="J1479" i="1"/>
  <c r="I1479" i="1"/>
  <c r="H1479" i="1"/>
  <c r="J1478" i="1"/>
  <c r="I1478" i="1"/>
  <c r="H1478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J1435" i="1"/>
  <c r="I1435" i="1"/>
  <c r="H1435" i="1"/>
  <c r="J1434" i="1"/>
  <c r="I1434" i="1"/>
  <c r="H1434" i="1"/>
  <c r="J1433" i="1"/>
  <c r="I1433" i="1"/>
  <c r="H1433" i="1"/>
  <c r="J1432" i="1"/>
  <c r="I1432" i="1"/>
  <c r="H1432" i="1"/>
  <c r="J1431" i="1"/>
  <c r="I1431" i="1"/>
  <c r="H1431" i="1"/>
  <c r="J1430" i="1"/>
  <c r="I1430" i="1"/>
  <c r="H1430" i="1"/>
  <c r="J1429" i="1"/>
  <c r="I1429" i="1"/>
  <c r="H1429" i="1"/>
  <c r="J1428" i="1"/>
  <c r="I1428" i="1"/>
  <c r="H1428" i="1"/>
  <c r="J1427" i="1"/>
  <c r="I1427" i="1"/>
  <c r="H1427" i="1"/>
  <c r="J1426" i="1"/>
  <c r="I1426" i="1"/>
  <c r="H1426" i="1"/>
  <c r="J1425" i="1"/>
  <c r="I1425" i="1"/>
  <c r="H1425" i="1"/>
  <c r="J1424" i="1"/>
  <c r="I1424" i="1"/>
  <c r="H1424" i="1"/>
  <c r="J1423" i="1"/>
  <c r="I1423" i="1"/>
  <c r="H1423" i="1"/>
  <c r="J1422" i="1"/>
  <c r="I1422" i="1"/>
  <c r="H1422" i="1"/>
  <c r="J1421" i="1"/>
  <c r="I1421" i="1"/>
  <c r="H1421" i="1"/>
  <c r="J1420" i="1"/>
  <c r="I1420" i="1"/>
  <c r="H1420" i="1"/>
  <c r="J1419" i="1"/>
  <c r="I1419" i="1"/>
  <c r="H1419" i="1"/>
  <c r="J1418" i="1"/>
  <c r="I1418" i="1"/>
  <c r="H1418" i="1"/>
  <c r="J1417" i="1"/>
  <c r="I1417" i="1"/>
  <c r="H1417" i="1"/>
  <c r="J1416" i="1"/>
  <c r="I1416" i="1"/>
  <c r="H1416" i="1"/>
  <c r="J1415" i="1"/>
  <c r="I1415" i="1"/>
  <c r="H1415" i="1"/>
  <c r="J1414" i="1"/>
  <c r="I1414" i="1"/>
  <c r="H1414" i="1"/>
  <c r="J1413" i="1"/>
  <c r="I1413" i="1"/>
  <c r="H1413" i="1"/>
  <c r="J1412" i="1"/>
  <c r="I1412" i="1"/>
  <c r="H1412" i="1"/>
  <c r="J1411" i="1"/>
  <c r="I1411" i="1"/>
  <c r="H1411" i="1"/>
  <c r="J1410" i="1"/>
  <c r="I1410" i="1"/>
  <c r="H1410" i="1"/>
  <c r="J1409" i="1"/>
  <c r="I1409" i="1"/>
  <c r="H1409" i="1"/>
  <c r="J1408" i="1"/>
  <c r="I1408" i="1"/>
  <c r="H1408" i="1"/>
  <c r="J1407" i="1"/>
  <c r="I1407" i="1"/>
  <c r="H1407" i="1"/>
  <c r="J1406" i="1"/>
  <c r="I1406" i="1"/>
  <c r="H1406" i="1"/>
  <c r="J1405" i="1"/>
  <c r="I1405" i="1"/>
  <c r="H1405" i="1"/>
  <c r="J1404" i="1"/>
  <c r="I1404" i="1"/>
  <c r="H1404" i="1"/>
  <c r="J1403" i="1"/>
  <c r="I1403" i="1"/>
  <c r="H1403" i="1"/>
  <c r="J1402" i="1"/>
  <c r="I1402" i="1"/>
  <c r="H1402" i="1"/>
  <c r="J1401" i="1"/>
  <c r="I1401" i="1"/>
  <c r="H1401" i="1"/>
  <c r="J1400" i="1"/>
  <c r="I1400" i="1"/>
  <c r="H1400" i="1"/>
  <c r="J1399" i="1"/>
  <c r="I1399" i="1"/>
  <c r="H1399" i="1"/>
  <c r="J1398" i="1"/>
  <c r="I1398" i="1"/>
  <c r="H1398" i="1"/>
  <c r="J1397" i="1"/>
  <c r="I1397" i="1"/>
  <c r="H1397" i="1"/>
  <c r="J1396" i="1"/>
  <c r="I1396" i="1"/>
  <c r="H1396" i="1"/>
  <c r="J1395" i="1"/>
  <c r="I1395" i="1"/>
  <c r="H1395" i="1"/>
  <c r="J1394" i="1"/>
  <c r="I1394" i="1"/>
  <c r="H1394" i="1"/>
  <c r="J1393" i="1"/>
  <c r="I1393" i="1"/>
  <c r="H1393" i="1"/>
  <c r="J1392" i="1"/>
  <c r="I1392" i="1"/>
  <c r="H1392" i="1"/>
  <c r="J1391" i="1"/>
  <c r="I1391" i="1"/>
  <c r="H1391" i="1"/>
  <c r="J1390" i="1"/>
  <c r="I1390" i="1"/>
  <c r="H1390" i="1"/>
  <c r="J1389" i="1"/>
  <c r="I1389" i="1"/>
  <c r="H1389" i="1"/>
  <c r="J1388" i="1"/>
  <c r="I1388" i="1"/>
  <c r="H1388" i="1"/>
  <c r="J1387" i="1"/>
  <c r="I1387" i="1"/>
  <c r="H1387" i="1"/>
  <c r="J1386" i="1"/>
  <c r="I1386" i="1"/>
  <c r="H1386" i="1"/>
  <c r="J1385" i="1"/>
  <c r="I1385" i="1"/>
  <c r="H1385" i="1"/>
  <c r="J1384" i="1"/>
  <c r="I1384" i="1"/>
  <c r="H1384" i="1"/>
  <c r="J1383" i="1"/>
  <c r="I1383" i="1"/>
  <c r="H1383" i="1"/>
  <c r="J1382" i="1"/>
  <c r="I1382" i="1"/>
  <c r="H1382" i="1"/>
  <c r="J1381" i="1"/>
  <c r="I1381" i="1"/>
  <c r="H1381" i="1"/>
  <c r="J1380" i="1"/>
  <c r="I1380" i="1"/>
  <c r="H1380" i="1"/>
  <c r="J1379" i="1"/>
  <c r="I1379" i="1"/>
  <c r="H1379" i="1"/>
  <c r="J1378" i="1"/>
  <c r="I1378" i="1"/>
  <c r="H1378" i="1"/>
  <c r="J1377" i="1"/>
  <c r="I1377" i="1"/>
  <c r="H1377" i="1"/>
  <c r="J1376" i="1"/>
  <c r="I1376" i="1"/>
  <c r="H1376" i="1"/>
  <c r="J1375" i="1"/>
  <c r="I1375" i="1"/>
  <c r="H1375" i="1"/>
  <c r="J1374" i="1"/>
  <c r="I1374" i="1"/>
  <c r="H1374" i="1"/>
  <c r="J1373" i="1"/>
  <c r="I1373" i="1"/>
  <c r="H1373" i="1"/>
  <c r="J1372" i="1"/>
  <c r="I1372" i="1"/>
  <c r="H1372" i="1"/>
  <c r="J1371" i="1"/>
  <c r="I1371" i="1"/>
  <c r="H1371" i="1"/>
  <c r="J1370" i="1"/>
  <c r="I1370" i="1"/>
  <c r="H1370" i="1"/>
  <c r="J1369" i="1"/>
  <c r="I1369" i="1"/>
  <c r="H1369" i="1"/>
  <c r="J1368" i="1"/>
  <c r="I1368" i="1"/>
  <c r="H1368" i="1"/>
  <c r="J1367" i="1"/>
  <c r="I1367" i="1"/>
  <c r="H1367" i="1"/>
  <c r="J1366" i="1"/>
  <c r="I1366" i="1"/>
  <c r="H1366" i="1"/>
  <c r="J1365" i="1"/>
  <c r="I1365" i="1"/>
  <c r="H1365" i="1"/>
  <c r="J1364" i="1"/>
  <c r="I1364" i="1"/>
  <c r="H1364" i="1"/>
  <c r="J1363" i="1"/>
  <c r="I1363" i="1"/>
  <c r="H1363" i="1"/>
  <c r="J1362" i="1"/>
  <c r="I1362" i="1"/>
  <c r="H1362" i="1"/>
  <c r="J1361" i="1"/>
  <c r="I1361" i="1"/>
  <c r="H1361" i="1"/>
  <c r="J1360" i="1"/>
  <c r="I1360" i="1"/>
  <c r="H1360" i="1"/>
  <c r="J1359" i="1"/>
  <c r="I1359" i="1"/>
  <c r="H1359" i="1"/>
  <c r="J1358" i="1"/>
  <c r="I1358" i="1"/>
  <c r="H1358" i="1"/>
  <c r="J1357" i="1"/>
  <c r="I1357" i="1"/>
  <c r="H1357" i="1"/>
  <c r="J1356" i="1"/>
  <c r="I1356" i="1"/>
  <c r="H1356" i="1"/>
  <c r="J1355" i="1"/>
  <c r="I1355" i="1"/>
  <c r="H1355" i="1"/>
  <c r="J1354" i="1"/>
  <c r="I1354" i="1"/>
  <c r="H1354" i="1"/>
  <c r="J1353" i="1"/>
  <c r="I1353" i="1"/>
  <c r="H1353" i="1"/>
  <c r="J1352" i="1"/>
  <c r="I1352" i="1"/>
  <c r="H1352" i="1"/>
  <c r="J1351" i="1"/>
  <c r="I1351" i="1"/>
  <c r="H1351" i="1"/>
  <c r="J1350" i="1"/>
  <c r="I1350" i="1"/>
  <c r="H1350" i="1"/>
  <c r="J1349" i="1"/>
  <c r="I1349" i="1"/>
  <c r="H1349" i="1"/>
  <c r="J1348" i="1"/>
  <c r="I1348" i="1"/>
  <c r="H1348" i="1"/>
  <c r="J1347" i="1"/>
  <c r="I1347" i="1"/>
  <c r="H1347" i="1"/>
  <c r="J1346" i="1"/>
  <c r="I1346" i="1"/>
  <c r="H1346" i="1"/>
  <c r="J1345" i="1"/>
  <c r="I1345" i="1"/>
  <c r="H1345" i="1"/>
  <c r="J1344" i="1"/>
  <c r="I1344" i="1"/>
  <c r="H1344" i="1"/>
  <c r="J1343" i="1"/>
  <c r="I1343" i="1"/>
  <c r="H1343" i="1"/>
  <c r="J1342" i="1"/>
  <c r="I1342" i="1"/>
  <c r="H1342" i="1"/>
  <c r="J1341" i="1"/>
  <c r="I1341" i="1"/>
  <c r="H1341" i="1"/>
  <c r="J1340" i="1"/>
  <c r="I1340" i="1"/>
  <c r="H1340" i="1"/>
  <c r="J1339" i="1"/>
  <c r="I1339" i="1"/>
  <c r="H1339" i="1"/>
  <c r="J1338" i="1"/>
  <c r="I1338" i="1"/>
  <c r="H1338" i="1"/>
  <c r="J1337" i="1"/>
  <c r="I1337" i="1"/>
  <c r="H1337" i="1"/>
  <c r="J1336" i="1"/>
  <c r="I1336" i="1"/>
  <c r="H1336" i="1"/>
  <c r="J1335" i="1"/>
  <c r="I1335" i="1"/>
  <c r="H1335" i="1"/>
  <c r="J1334" i="1"/>
  <c r="I1334" i="1"/>
  <c r="H1334" i="1"/>
  <c r="J1333" i="1"/>
  <c r="I1333" i="1"/>
  <c r="H1333" i="1"/>
  <c r="J1332" i="1"/>
  <c r="I1332" i="1"/>
  <c r="H1332" i="1"/>
  <c r="J1331" i="1"/>
  <c r="I1331" i="1"/>
  <c r="H1331" i="1"/>
  <c r="J1330" i="1"/>
  <c r="I1330" i="1"/>
  <c r="H1330" i="1"/>
  <c r="J1329" i="1"/>
  <c r="I1329" i="1"/>
  <c r="H1329" i="1"/>
  <c r="J1328" i="1"/>
  <c r="I1328" i="1"/>
  <c r="H1328" i="1"/>
  <c r="J1327" i="1"/>
  <c r="I1327" i="1"/>
  <c r="H1327" i="1"/>
  <c r="J1326" i="1"/>
  <c r="I1326" i="1"/>
  <c r="H1326" i="1"/>
  <c r="J1325" i="1"/>
  <c r="I1325" i="1"/>
  <c r="H1325" i="1"/>
  <c r="J1324" i="1"/>
  <c r="I1324" i="1"/>
  <c r="H1324" i="1"/>
  <c r="J1323" i="1"/>
  <c r="I1323" i="1"/>
  <c r="H1323" i="1"/>
  <c r="J1322" i="1"/>
  <c r="I1322" i="1"/>
  <c r="H1322" i="1"/>
  <c r="J1321" i="1"/>
  <c r="I1321" i="1"/>
  <c r="H1321" i="1"/>
  <c r="J1320" i="1"/>
  <c r="I1320" i="1"/>
  <c r="H1320" i="1"/>
  <c r="J1319" i="1"/>
  <c r="I1319" i="1"/>
  <c r="H1319" i="1"/>
  <c r="J1318" i="1"/>
  <c r="I1318" i="1"/>
  <c r="H1318" i="1"/>
  <c r="J1317" i="1"/>
  <c r="I1317" i="1"/>
  <c r="H1317" i="1"/>
  <c r="J1316" i="1"/>
  <c r="I1316" i="1"/>
  <c r="H1316" i="1"/>
  <c r="J1315" i="1"/>
  <c r="I1315" i="1"/>
  <c r="H1315" i="1"/>
  <c r="J1314" i="1"/>
  <c r="I1314" i="1"/>
  <c r="H1314" i="1"/>
  <c r="J1313" i="1"/>
  <c r="I1313" i="1"/>
  <c r="H1313" i="1"/>
  <c r="J1312" i="1"/>
  <c r="I1312" i="1"/>
  <c r="H1312" i="1"/>
  <c r="J1311" i="1"/>
  <c r="I1311" i="1"/>
  <c r="H1311" i="1"/>
  <c r="J1310" i="1"/>
  <c r="I1310" i="1"/>
  <c r="H1310" i="1"/>
  <c r="J1309" i="1"/>
  <c r="I1309" i="1"/>
  <c r="H1309" i="1"/>
  <c r="J1308" i="1"/>
  <c r="I1308" i="1"/>
  <c r="H1308" i="1"/>
  <c r="J1307" i="1"/>
  <c r="I1307" i="1"/>
  <c r="H1307" i="1"/>
  <c r="J1306" i="1"/>
  <c r="I1306" i="1"/>
  <c r="H1306" i="1"/>
  <c r="J1305" i="1"/>
  <c r="I1305" i="1"/>
  <c r="H1305" i="1"/>
  <c r="J1304" i="1"/>
  <c r="I1304" i="1"/>
  <c r="H1304" i="1"/>
  <c r="J1303" i="1"/>
  <c r="I1303" i="1"/>
  <c r="H1303" i="1"/>
  <c r="J1302" i="1"/>
  <c r="I1302" i="1"/>
  <c r="H1302" i="1"/>
  <c r="J1301" i="1"/>
  <c r="I1301" i="1"/>
  <c r="H1301" i="1"/>
  <c r="J1300" i="1"/>
  <c r="I1300" i="1"/>
  <c r="H1300" i="1"/>
  <c r="J1299" i="1"/>
  <c r="I1299" i="1"/>
  <c r="H1299" i="1"/>
  <c r="J1298" i="1"/>
  <c r="I1298" i="1"/>
  <c r="H1298" i="1"/>
  <c r="J1297" i="1"/>
  <c r="I1297" i="1"/>
  <c r="H1297" i="1"/>
  <c r="J1296" i="1"/>
  <c r="I1296" i="1"/>
  <c r="H1296" i="1"/>
  <c r="J1295" i="1"/>
  <c r="I1295" i="1"/>
  <c r="H1295" i="1"/>
  <c r="J1294" i="1"/>
  <c r="I1294" i="1"/>
  <c r="H1294" i="1"/>
  <c r="J1293" i="1"/>
  <c r="I1293" i="1"/>
  <c r="H1293" i="1"/>
  <c r="J1292" i="1"/>
  <c r="I1292" i="1"/>
  <c r="H1292" i="1"/>
  <c r="J1291" i="1"/>
  <c r="I1291" i="1"/>
  <c r="H1291" i="1"/>
  <c r="J1290" i="1"/>
  <c r="I1290" i="1"/>
  <c r="H1290" i="1"/>
  <c r="J1289" i="1"/>
  <c r="I1289" i="1"/>
  <c r="H1289" i="1"/>
  <c r="J1288" i="1"/>
  <c r="I1288" i="1"/>
  <c r="H1288" i="1"/>
  <c r="J1287" i="1"/>
  <c r="I1287" i="1"/>
  <c r="H1287" i="1"/>
  <c r="J1286" i="1"/>
  <c r="I1286" i="1"/>
  <c r="H1286" i="1"/>
  <c r="J1285" i="1"/>
  <c r="I1285" i="1"/>
  <c r="H1285" i="1"/>
  <c r="J1284" i="1"/>
  <c r="I1284" i="1"/>
  <c r="H1284" i="1"/>
  <c r="J1283" i="1"/>
  <c r="I1283" i="1"/>
  <c r="H1283" i="1"/>
  <c r="J1282" i="1"/>
  <c r="I1282" i="1"/>
  <c r="H1282" i="1"/>
  <c r="J1281" i="1"/>
  <c r="I1281" i="1"/>
  <c r="H1281" i="1"/>
  <c r="J1280" i="1"/>
  <c r="I1280" i="1"/>
  <c r="H1280" i="1"/>
  <c r="J1279" i="1"/>
  <c r="I1279" i="1"/>
  <c r="H1279" i="1"/>
  <c r="J1278" i="1"/>
  <c r="I1278" i="1"/>
  <c r="H1278" i="1"/>
  <c r="J1277" i="1"/>
  <c r="I1277" i="1"/>
  <c r="H1277" i="1"/>
  <c r="J1276" i="1"/>
  <c r="I1276" i="1"/>
  <c r="H1276" i="1"/>
  <c r="J1275" i="1"/>
  <c r="I1275" i="1"/>
  <c r="H1275" i="1"/>
  <c r="J1274" i="1"/>
  <c r="I1274" i="1"/>
  <c r="H1274" i="1"/>
  <c r="J1273" i="1"/>
  <c r="I1273" i="1"/>
  <c r="H1273" i="1"/>
  <c r="J1272" i="1"/>
  <c r="I1272" i="1"/>
  <c r="H1272" i="1"/>
  <c r="J1271" i="1"/>
  <c r="I1271" i="1"/>
  <c r="H1271" i="1"/>
  <c r="J1270" i="1"/>
  <c r="I1270" i="1"/>
  <c r="H1270" i="1"/>
  <c r="J1269" i="1"/>
  <c r="I1269" i="1"/>
  <c r="H1269" i="1"/>
  <c r="J1268" i="1"/>
  <c r="I1268" i="1"/>
  <c r="H1268" i="1"/>
  <c r="J1267" i="1"/>
  <c r="I1267" i="1"/>
  <c r="H1267" i="1"/>
  <c r="J1266" i="1"/>
  <c r="I1266" i="1"/>
  <c r="H1266" i="1"/>
  <c r="J1265" i="1"/>
  <c r="I1265" i="1"/>
  <c r="H1265" i="1"/>
  <c r="J1264" i="1"/>
  <c r="I1264" i="1"/>
  <c r="H1264" i="1"/>
  <c r="J1263" i="1"/>
  <c r="I1263" i="1"/>
  <c r="H1263" i="1"/>
  <c r="J1262" i="1"/>
  <c r="I1262" i="1"/>
  <c r="H1262" i="1"/>
  <c r="J1261" i="1"/>
  <c r="I1261" i="1"/>
  <c r="H1261" i="1"/>
  <c r="J1260" i="1"/>
  <c r="I1260" i="1"/>
  <c r="H1260" i="1"/>
  <c r="J1259" i="1"/>
  <c r="I1259" i="1"/>
  <c r="H1259" i="1"/>
  <c r="J1258" i="1"/>
  <c r="I1258" i="1"/>
  <c r="H1258" i="1"/>
  <c r="J1257" i="1"/>
  <c r="I1257" i="1"/>
  <c r="H1257" i="1"/>
  <c r="J1256" i="1"/>
  <c r="I1256" i="1"/>
  <c r="H1256" i="1"/>
  <c r="J1255" i="1"/>
  <c r="I1255" i="1"/>
  <c r="H1255" i="1"/>
  <c r="J1254" i="1"/>
  <c r="I1254" i="1"/>
  <c r="H1254" i="1"/>
  <c r="J1253" i="1"/>
  <c r="I1253" i="1"/>
  <c r="H1253" i="1"/>
  <c r="J1252" i="1"/>
  <c r="I1252" i="1"/>
  <c r="H1252" i="1"/>
  <c r="J1251" i="1"/>
  <c r="I1251" i="1"/>
  <c r="H1251" i="1"/>
  <c r="J1250" i="1"/>
  <c r="I1250" i="1"/>
  <c r="H1250" i="1"/>
  <c r="J1249" i="1"/>
  <c r="I1249" i="1"/>
  <c r="H1249" i="1"/>
  <c r="J1248" i="1"/>
  <c r="I1248" i="1"/>
  <c r="H1248" i="1"/>
  <c r="J1247" i="1"/>
  <c r="I1247" i="1"/>
  <c r="H1247" i="1"/>
  <c r="J1246" i="1"/>
  <c r="I1246" i="1"/>
  <c r="H1246" i="1"/>
  <c r="J1245" i="1"/>
  <c r="I1245" i="1"/>
  <c r="H1245" i="1"/>
  <c r="J1244" i="1"/>
  <c r="I1244" i="1"/>
  <c r="H1244" i="1"/>
  <c r="J1243" i="1"/>
  <c r="I1243" i="1"/>
  <c r="H1243" i="1"/>
  <c r="J1242" i="1"/>
  <c r="I1242" i="1"/>
  <c r="H1242" i="1"/>
  <c r="J1241" i="1"/>
  <c r="I1241" i="1"/>
  <c r="H1241" i="1"/>
  <c r="J1240" i="1"/>
  <c r="I1240" i="1"/>
  <c r="H1240" i="1"/>
  <c r="J1239" i="1"/>
  <c r="I1239" i="1"/>
  <c r="H1239" i="1"/>
  <c r="J1238" i="1"/>
  <c r="I1238" i="1"/>
  <c r="H1238" i="1"/>
  <c r="J1237" i="1"/>
  <c r="I1237" i="1"/>
  <c r="H1237" i="1"/>
  <c r="J1236" i="1"/>
  <c r="I1236" i="1"/>
  <c r="H1236" i="1"/>
  <c r="J1235" i="1"/>
  <c r="I1235" i="1"/>
  <c r="H1235" i="1"/>
  <c r="J1234" i="1"/>
  <c r="I1234" i="1"/>
  <c r="H1234" i="1"/>
  <c r="J1233" i="1"/>
  <c r="I1233" i="1"/>
  <c r="H1233" i="1"/>
  <c r="J1232" i="1"/>
  <c r="I1232" i="1"/>
  <c r="H1232" i="1"/>
  <c r="J1231" i="1"/>
  <c r="I1231" i="1"/>
  <c r="H1231" i="1"/>
  <c r="J1230" i="1"/>
  <c r="I1230" i="1"/>
  <c r="H1230" i="1"/>
  <c r="J1229" i="1"/>
  <c r="I1229" i="1"/>
  <c r="H1229" i="1"/>
  <c r="J1228" i="1"/>
  <c r="I1228" i="1"/>
  <c r="H1228" i="1"/>
  <c r="J1227" i="1"/>
  <c r="I1227" i="1"/>
  <c r="H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J1202" i="1"/>
  <c r="I1202" i="1"/>
  <c r="H1202" i="1"/>
  <c r="J1201" i="1"/>
  <c r="I1201" i="1"/>
  <c r="H1201" i="1"/>
  <c r="J1200" i="1"/>
  <c r="I1200" i="1"/>
  <c r="H1200" i="1"/>
  <c r="J1199" i="1"/>
  <c r="I1199" i="1"/>
  <c r="H1199" i="1"/>
  <c r="J1198" i="1"/>
  <c r="I1198" i="1"/>
  <c r="H1198" i="1"/>
  <c r="J1197" i="1"/>
  <c r="I1197" i="1"/>
  <c r="H1197" i="1"/>
  <c r="J1196" i="1"/>
  <c r="I1196" i="1"/>
  <c r="H1196" i="1"/>
  <c r="J1195" i="1"/>
  <c r="I1195" i="1"/>
  <c r="H1195" i="1"/>
  <c r="J1194" i="1"/>
  <c r="I1194" i="1"/>
  <c r="H1194" i="1"/>
  <c r="J1193" i="1"/>
  <c r="I1193" i="1"/>
  <c r="H1193" i="1"/>
  <c r="J1192" i="1"/>
  <c r="I1192" i="1"/>
  <c r="H1192" i="1"/>
  <c r="J1191" i="1"/>
  <c r="I1191" i="1"/>
  <c r="H1191" i="1"/>
  <c r="J1190" i="1"/>
  <c r="I1190" i="1"/>
  <c r="H1190" i="1"/>
  <c r="J1189" i="1"/>
  <c r="I1189" i="1"/>
  <c r="H1189" i="1"/>
  <c r="J1188" i="1"/>
  <c r="I1188" i="1"/>
  <c r="H1188" i="1"/>
  <c r="J1187" i="1"/>
  <c r="I1187" i="1"/>
  <c r="H1187" i="1"/>
  <c r="J1186" i="1"/>
  <c r="I1186" i="1"/>
  <c r="H1186" i="1"/>
  <c r="J1185" i="1"/>
  <c r="I1185" i="1"/>
  <c r="H1185" i="1"/>
  <c r="J1184" i="1"/>
  <c r="I1184" i="1"/>
  <c r="H1184" i="1"/>
  <c r="J1183" i="1"/>
  <c r="I1183" i="1"/>
  <c r="H1183" i="1"/>
  <c r="J1182" i="1"/>
  <c r="I1182" i="1"/>
  <c r="H1182" i="1"/>
  <c r="J1181" i="1"/>
  <c r="I1181" i="1"/>
  <c r="H1181" i="1"/>
  <c r="J1180" i="1"/>
  <c r="I1180" i="1"/>
  <c r="H1180" i="1"/>
  <c r="J1179" i="1"/>
  <c r="I1179" i="1"/>
  <c r="H1179" i="1"/>
  <c r="J1178" i="1"/>
  <c r="I1178" i="1"/>
  <c r="H1178" i="1"/>
  <c r="J1177" i="1"/>
  <c r="I1177" i="1"/>
  <c r="H1177" i="1"/>
  <c r="J1176" i="1"/>
  <c r="I1176" i="1"/>
  <c r="H1176" i="1"/>
  <c r="J1175" i="1"/>
  <c r="I1175" i="1"/>
  <c r="H1175" i="1"/>
  <c r="J1174" i="1"/>
  <c r="I1174" i="1"/>
  <c r="H1174" i="1"/>
  <c r="J1173" i="1"/>
  <c r="I1173" i="1"/>
  <c r="H1173" i="1"/>
  <c r="J1172" i="1"/>
  <c r="I1172" i="1"/>
  <c r="H1172" i="1"/>
  <c r="J1171" i="1"/>
  <c r="I1171" i="1"/>
  <c r="H1171" i="1"/>
  <c r="J1170" i="1"/>
  <c r="I1170" i="1"/>
  <c r="H1170" i="1"/>
  <c r="J1169" i="1"/>
  <c r="I1169" i="1"/>
  <c r="H1169" i="1"/>
  <c r="J1168" i="1"/>
  <c r="I1168" i="1"/>
  <c r="H1168" i="1"/>
  <c r="J1167" i="1"/>
  <c r="I1167" i="1"/>
  <c r="H1167" i="1"/>
  <c r="J1166" i="1"/>
  <c r="I1166" i="1"/>
  <c r="H1166" i="1"/>
  <c r="J1165" i="1"/>
  <c r="I1165" i="1"/>
  <c r="H1165" i="1"/>
  <c r="J1164" i="1"/>
  <c r="I1164" i="1"/>
  <c r="H1164" i="1"/>
  <c r="J1163" i="1"/>
  <c r="I1163" i="1"/>
  <c r="H1163" i="1"/>
  <c r="J1162" i="1"/>
  <c r="I1162" i="1"/>
  <c r="H1162" i="1"/>
  <c r="J1161" i="1"/>
  <c r="I1161" i="1"/>
  <c r="H1161" i="1"/>
  <c r="J1160" i="1"/>
  <c r="I1160" i="1"/>
  <c r="H1160" i="1"/>
  <c r="J1159" i="1"/>
  <c r="I1159" i="1"/>
  <c r="H1159" i="1"/>
  <c r="J1158" i="1"/>
  <c r="I1158" i="1"/>
  <c r="H1158" i="1"/>
  <c r="J1157" i="1"/>
  <c r="I1157" i="1"/>
  <c r="H1157" i="1"/>
  <c r="J1156" i="1"/>
  <c r="I1156" i="1"/>
  <c r="H1156" i="1"/>
  <c r="J1155" i="1"/>
  <c r="I1155" i="1"/>
  <c r="H1155" i="1"/>
  <c r="J1154" i="1"/>
  <c r="I1154" i="1"/>
  <c r="H1154" i="1"/>
  <c r="J1153" i="1"/>
  <c r="I1153" i="1"/>
  <c r="H1153" i="1"/>
  <c r="J1152" i="1"/>
  <c r="I1152" i="1"/>
  <c r="H1152" i="1"/>
  <c r="J1151" i="1"/>
  <c r="I1151" i="1"/>
  <c r="H1151" i="1"/>
  <c r="J1150" i="1"/>
  <c r="I1150" i="1"/>
  <c r="H1150" i="1"/>
  <c r="J1149" i="1"/>
  <c r="I1149" i="1"/>
  <c r="H1149" i="1"/>
  <c r="J1148" i="1"/>
  <c r="I1148" i="1"/>
  <c r="H1148" i="1"/>
  <c r="J1147" i="1"/>
  <c r="I1147" i="1"/>
  <c r="H1147" i="1"/>
  <c r="J1146" i="1"/>
  <c r="I1146" i="1"/>
  <c r="H1146" i="1"/>
  <c r="J1145" i="1"/>
  <c r="I1145" i="1"/>
  <c r="H1145" i="1"/>
  <c r="J1144" i="1"/>
  <c r="I1144" i="1"/>
  <c r="H1144" i="1"/>
  <c r="J1143" i="1"/>
  <c r="I1143" i="1"/>
  <c r="H1143" i="1"/>
  <c r="J1142" i="1"/>
  <c r="I1142" i="1"/>
  <c r="H1142" i="1"/>
  <c r="J1141" i="1"/>
  <c r="I1141" i="1"/>
  <c r="H1141" i="1"/>
  <c r="J1140" i="1"/>
  <c r="I1140" i="1"/>
  <c r="H1140" i="1"/>
  <c r="J1139" i="1"/>
  <c r="I1139" i="1"/>
  <c r="H1139" i="1"/>
  <c r="J1138" i="1"/>
  <c r="I1138" i="1"/>
  <c r="H1138" i="1"/>
  <c r="J1137" i="1"/>
  <c r="I1137" i="1"/>
  <c r="H1137" i="1"/>
  <c r="J1136" i="1"/>
  <c r="I1136" i="1"/>
  <c r="H1136" i="1"/>
  <c r="J1135" i="1"/>
  <c r="I1135" i="1"/>
  <c r="H1135" i="1"/>
  <c r="J1134" i="1"/>
  <c r="I1134" i="1"/>
  <c r="H1134" i="1"/>
  <c r="J1133" i="1"/>
  <c r="I1133" i="1"/>
  <c r="H1133" i="1"/>
  <c r="J1132" i="1"/>
  <c r="I1132" i="1"/>
  <c r="H1132" i="1"/>
  <c r="J1131" i="1"/>
  <c r="I1131" i="1"/>
  <c r="H1131" i="1"/>
  <c r="J1130" i="1"/>
  <c r="I1130" i="1"/>
  <c r="H1130" i="1"/>
  <c r="J1129" i="1"/>
  <c r="I1129" i="1"/>
  <c r="H1129" i="1"/>
  <c r="J1128" i="1"/>
  <c r="I1128" i="1"/>
  <c r="H1128" i="1"/>
  <c r="J1127" i="1"/>
  <c r="I1127" i="1"/>
  <c r="H1127" i="1"/>
  <c r="J1126" i="1"/>
  <c r="I1126" i="1"/>
  <c r="H1126" i="1"/>
  <c r="J1125" i="1"/>
  <c r="I1125" i="1"/>
  <c r="H1125" i="1"/>
  <c r="J1124" i="1"/>
  <c r="I1124" i="1"/>
  <c r="H1124" i="1"/>
  <c r="J1123" i="1"/>
  <c r="I1123" i="1"/>
  <c r="H1123" i="1"/>
  <c r="J1122" i="1"/>
  <c r="I1122" i="1"/>
  <c r="H1122" i="1"/>
  <c r="J1121" i="1"/>
  <c r="I1121" i="1"/>
  <c r="H1121" i="1"/>
  <c r="J1120" i="1"/>
  <c r="I1120" i="1"/>
  <c r="H1120" i="1"/>
  <c r="J1119" i="1"/>
  <c r="I1119" i="1"/>
  <c r="H1119" i="1"/>
  <c r="J1118" i="1"/>
  <c r="I1118" i="1"/>
  <c r="H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107" i="1"/>
  <c r="I1107" i="1"/>
  <c r="H1107" i="1"/>
  <c r="J1106" i="1"/>
  <c r="I1106" i="1"/>
  <c r="H1106" i="1"/>
  <c r="J1105" i="1"/>
  <c r="I1105" i="1"/>
  <c r="H1105" i="1"/>
  <c r="J1104" i="1"/>
  <c r="I1104" i="1"/>
  <c r="H1104" i="1"/>
  <c r="J1103" i="1"/>
  <c r="I1103" i="1"/>
  <c r="H1103" i="1"/>
  <c r="J1102" i="1"/>
  <c r="I1102" i="1"/>
  <c r="H1102" i="1"/>
  <c r="J1101" i="1"/>
  <c r="I1101" i="1"/>
  <c r="H1101" i="1"/>
  <c r="J1100" i="1"/>
  <c r="I1100" i="1"/>
  <c r="H1100" i="1"/>
  <c r="J1099" i="1"/>
  <c r="I1099" i="1"/>
  <c r="H1099" i="1"/>
  <c r="J1098" i="1"/>
  <c r="I1098" i="1"/>
  <c r="H1098" i="1"/>
  <c r="J1097" i="1"/>
  <c r="I1097" i="1"/>
  <c r="H1097" i="1"/>
  <c r="J1096" i="1"/>
  <c r="I1096" i="1"/>
  <c r="H1096" i="1"/>
  <c r="J1095" i="1"/>
  <c r="I1095" i="1"/>
  <c r="H1095" i="1"/>
  <c r="J1094" i="1"/>
  <c r="I1094" i="1"/>
  <c r="H1094" i="1"/>
  <c r="J1093" i="1"/>
  <c r="I1093" i="1"/>
  <c r="H1093" i="1"/>
  <c r="J1092" i="1"/>
  <c r="I1092" i="1"/>
  <c r="H1092" i="1"/>
  <c r="J1091" i="1"/>
  <c r="I1091" i="1"/>
  <c r="H1091" i="1"/>
  <c r="J1090" i="1"/>
  <c r="I1090" i="1"/>
  <c r="H1090" i="1"/>
  <c r="J1089" i="1"/>
  <c r="I1089" i="1"/>
  <c r="H1089" i="1"/>
  <c r="J1088" i="1"/>
  <c r="I1088" i="1"/>
  <c r="H1088" i="1"/>
  <c r="J1087" i="1"/>
  <c r="I1087" i="1"/>
  <c r="H1087" i="1"/>
  <c r="J1086" i="1"/>
  <c r="I1086" i="1"/>
  <c r="H1086" i="1"/>
  <c r="J1085" i="1"/>
  <c r="I1085" i="1"/>
  <c r="H1085" i="1"/>
  <c r="J1084" i="1"/>
  <c r="I1084" i="1"/>
  <c r="H1084" i="1"/>
  <c r="J1083" i="1"/>
  <c r="I1083" i="1"/>
  <c r="H1083" i="1"/>
  <c r="J1082" i="1"/>
  <c r="I1082" i="1"/>
  <c r="H1082" i="1"/>
  <c r="J1081" i="1"/>
  <c r="I1081" i="1"/>
  <c r="H1081" i="1"/>
  <c r="J1080" i="1"/>
  <c r="I1080" i="1"/>
  <c r="H1080" i="1"/>
  <c r="J1079" i="1"/>
  <c r="I1079" i="1"/>
  <c r="H1079" i="1"/>
  <c r="J1078" i="1"/>
  <c r="I1078" i="1"/>
  <c r="H1078" i="1"/>
  <c r="J1077" i="1"/>
  <c r="I1077" i="1"/>
  <c r="H1077" i="1"/>
  <c r="J1076" i="1"/>
  <c r="I1076" i="1"/>
  <c r="H1076" i="1"/>
  <c r="J1075" i="1"/>
  <c r="I1075" i="1"/>
  <c r="H1075" i="1"/>
  <c r="J1074" i="1"/>
  <c r="I1074" i="1"/>
  <c r="H1074" i="1"/>
  <c r="J1073" i="1"/>
  <c r="I1073" i="1"/>
  <c r="H1073" i="1"/>
  <c r="J1072" i="1"/>
  <c r="I1072" i="1"/>
  <c r="H1072" i="1"/>
  <c r="J1071" i="1"/>
  <c r="I1071" i="1"/>
  <c r="H1071" i="1"/>
  <c r="J1070" i="1"/>
  <c r="I1070" i="1"/>
  <c r="H1070" i="1"/>
  <c r="J1069" i="1"/>
  <c r="I1069" i="1"/>
  <c r="H1069" i="1"/>
  <c r="J1068" i="1"/>
  <c r="I1068" i="1"/>
  <c r="H1068" i="1"/>
  <c r="J1067" i="1"/>
  <c r="I1067" i="1"/>
  <c r="H1067" i="1"/>
  <c r="J1066" i="1"/>
  <c r="I1066" i="1"/>
  <c r="H1066" i="1"/>
  <c r="J1065" i="1"/>
  <c r="I1065" i="1"/>
  <c r="H1065" i="1"/>
  <c r="J1064" i="1"/>
  <c r="I1064" i="1"/>
  <c r="H1064" i="1"/>
  <c r="J1063" i="1"/>
  <c r="I1063" i="1"/>
  <c r="H1063" i="1"/>
  <c r="J1062" i="1"/>
  <c r="I1062" i="1"/>
  <c r="H1062" i="1"/>
  <c r="J1061" i="1"/>
  <c r="I1061" i="1"/>
  <c r="H1061" i="1"/>
  <c r="J1060" i="1"/>
  <c r="I1060" i="1"/>
  <c r="H1060" i="1"/>
  <c r="J1059" i="1"/>
  <c r="I1059" i="1"/>
  <c r="H1059" i="1"/>
  <c r="J1058" i="1"/>
  <c r="I1058" i="1"/>
  <c r="H1058" i="1"/>
  <c r="J1057" i="1"/>
  <c r="I1057" i="1"/>
  <c r="H1057" i="1"/>
  <c r="J1056" i="1"/>
  <c r="I1056" i="1"/>
  <c r="H1056" i="1"/>
  <c r="J1055" i="1"/>
  <c r="I1055" i="1"/>
  <c r="H1055" i="1"/>
  <c r="J1054" i="1"/>
  <c r="I1054" i="1"/>
  <c r="H1054" i="1"/>
  <c r="J1053" i="1"/>
  <c r="I1053" i="1"/>
  <c r="H1053" i="1"/>
  <c r="J1052" i="1"/>
  <c r="I1052" i="1"/>
  <c r="H1052" i="1"/>
  <c r="J1051" i="1"/>
  <c r="I1051" i="1"/>
  <c r="H1051" i="1"/>
  <c r="J1050" i="1"/>
  <c r="I1050" i="1"/>
  <c r="H1050" i="1"/>
  <c r="J1049" i="1"/>
  <c r="I1049" i="1"/>
  <c r="H1049" i="1"/>
  <c r="J1048" i="1"/>
  <c r="I1048" i="1"/>
  <c r="H1048" i="1"/>
  <c r="J1047" i="1"/>
  <c r="I1047" i="1"/>
  <c r="H1047" i="1"/>
  <c r="J1046" i="1"/>
  <c r="I1046" i="1"/>
  <c r="H1046" i="1"/>
  <c r="J1045" i="1"/>
  <c r="I1045" i="1"/>
  <c r="H1045" i="1"/>
  <c r="J1044" i="1"/>
  <c r="I1044" i="1"/>
  <c r="H1044" i="1"/>
  <c r="J1043" i="1"/>
  <c r="I1043" i="1"/>
  <c r="H1043" i="1"/>
  <c r="J1042" i="1"/>
  <c r="I1042" i="1"/>
  <c r="H1042" i="1"/>
  <c r="J1041" i="1"/>
  <c r="I1041" i="1"/>
  <c r="H1041" i="1"/>
  <c r="J1040" i="1"/>
  <c r="I1040" i="1"/>
  <c r="H1040" i="1"/>
  <c r="J1039" i="1"/>
  <c r="I1039" i="1"/>
  <c r="H1039" i="1"/>
  <c r="J1038" i="1"/>
  <c r="I1038" i="1"/>
  <c r="H1038" i="1"/>
  <c r="J1037" i="1"/>
  <c r="I1037" i="1"/>
  <c r="H1037" i="1"/>
  <c r="J1036" i="1"/>
  <c r="I1036" i="1"/>
  <c r="H1036" i="1"/>
  <c r="J1035" i="1"/>
  <c r="I1035" i="1"/>
  <c r="H1035" i="1"/>
  <c r="J1034" i="1"/>
  <c r="I1034" i="1"/>
  <c r="H1034" i="1"/>
  <c r="J1033" i="1"/>
  <c r="I1033" i="1"/>
  <c r="H1033" i="1"/>
  <c r="J1032" i="1"/>
  <c r="I1032" i="1"/>
  <c r="H1032" i="1"/>
  <c r="J1031" i="1"/>
  <c r="I1031" i="1"/>
  <c r="H1031" i="1"/>
  <c r="J1030" i="1"/>
  <c r="I1030" i="1"/>
  <c r="H1030" i="1"/>
  <c r="J1029" i="1"/>
  <c r="I1029" i="1"/>
  <c r="H1029" i="1"/>
  <c r="J1028" i="1"/>
  <c r="I1028" i="1"/>
  <c r="H1028" i="1"/>
  <c r="J1027" i="1"/>
  <c r="I1027" i="1"/>
  <c r="H1027" i="1"/>
  <c r="J1026" i="1"/>
  <c r="I1026" i="1"/>
  <c r="H1026" i="1"/>
  <c r="J1025" i="1"/>
  <c r="I1025" i="1"/>
  <c r="H1025" i="1"/>
  <c r="J1024" i="1"/>
  <c r="I1024" i="1"/>
  <c r="H1024" i="1"/>
  <c r="J1023" i="1"/>
  <c r="I1023" i="1"/>
  <c r="H1023" i="1"/>
  <c r="J1022" i="1"/>
  <c r="I1022" i="1"/>
  <c r="H1022" i="1"/>
  <c r="J1021" i="1"/>
  <c r="I1021" i="1"/>
  <c r="H1021" i="1"/>
  <c r="J1020" i="1"/>
  <c r="I1020" i="1"/>
  <c r="H1020" i="1"/>
  <c r="J1019" i="1"/>
  <c r="I1019" i="1"/>
  <c r="H1019" i="1"/>
  <c r="J1018" i="1"/>
  <c r="I1018" i="1"/>
  <c r="H1018" i="1"/>
  <c r="J1017" i="1"/>
  <c r="I1017" i="1"/>
  <c r="H1017" i="1"/>
  <c r="J1016" i="1"/>
  <c r="I1016" i="1"/>
  <c r="H1016" i="1"/>
  <c r="J1015" i="1"/>
  <c r="I1015" i="1"/>
  <c r="H1015" i="1"/>
  <c r="J1014" i="1"/>
  <c r="I1014" i="1"/>
  <c r="H1014" i="1"/>
  <c r="J1013" i="1"/>
  <c r="I1013" i="1"/>
  <c r="H1013" i="1"/>
  <c r="J1012" i="1"/>
  <c r="I1012" i="1"/>
  <c r="H1012" i="1"/>
  <c r="J1011" i="1"/>
  <c r="I1011" i="1"/>
  <c r="H1011" i="1"/>
  <c r="J1010" i="1"/>
  <c r="I1010" i="1"/>
  <c r="H1010" i="1"/>
  <c r="J1009" i="1"/>
  <c r="I1009" i="1"/>
  <c r="H1009" i="1"/>
  <c r="J1008" i="1"/>
  <c r="I1008" i="1"/>
  <c r="H1008" i="1"/>
  <c r="J1007" i="1"/>
  <c r="I1007" i="1"/>
  <c r="H1007" i="1"/>
  <c r="J1006" i="1"/>
  <c r="I1006" i="1"/>
  <c r="H1006" i="1"/>
  <c r="J1005" i="1"/>
  <c r="I1005" i="1"/>
  <c r="H1005" i="1"/>
  <c r="J1004" i="1"/>
  <c r="I1004" i="1"/>
  <c r="H1004" i="1"/>
  <c r="J1003" i="1"/>
  <c r="I1003" i="1"/>
  <c r="H1003" i="1"/>
  <c r="J1002" i="1"/>
  <c r="I1002" i="1"/>
  <c r="H1002" i="1"/>
  <c r="J1001" i="1"/>
  <c r="I1001" i="1"/>
  <c r="H1001" i="1"/>
  <c r="J1000" i="1"/>
  <c r="I1000" i="1"/>
  <c r="H1000" i="1"/>
  <c r="J999" i="1"/>
  <c r="I999" i="1"/>
  <c r="H999" i="1"/>
  <c r="J998" i="1"/>
  <c r="I998" i="1"/>
  <c r="H998" i="1"/>
  <c r="J997" i="1"/>
  <c r="I997" i="1"/>
  <c r="H997" i="1"/>
  <c r="J996" i="1"/>
  <c r="I996" i="1"/>
  <c r="H996" i="1"/>
  <c r="J995" i="1"/>
  <c r="I995" i="1"/>
  <c r="H995" i="1"/>
  <c r="J994" i="1"/>
  <c r="I994" i="1"/>
  <c r="H994" i="1"/>
  <c r="J993" i="1"/>
  <c r="I993" i="1"/>
  <c r="H993" i="1"/>
  <c r="J992" i="1"/>
  <c r="I992" i="1"/>
  <c r="H992" i="1"/>
  <c r="J991" i="1"/>
  <c r="I991" i="1"/>
  <c r="H991" i="1"/>
  <c r="J990" i="1"/>
  <c r="I990" i="1"/>
  <c r="H990" i="1"/>
  <c r="J989" i="1"/>
  <c r="I989" i="1"/>
  <c r="H989" i="1"/>
  <c r="J988" i="1"/>
  <c r="I988" i="1"/>
  <c r="H988" i="1"/>
  <c r="J987" i="1"/>
  <c r="I987" i="1"/>
  <c r="H987" i="1"/>
  <c r="J986" i="1"/>
  <c r="I986" i="1"/>
  <c r="H986" i="1"/>
  <c r="J985" i="1"/>
  <c r="I985" i="1"/>
  <c r="H985" i="1"/>
  <c r="J984" i="1"/>
  <c r="I984" i="1"/>
  <c r="H984" i="1"/>
  <c r="J983" i="1"/>
  <c r="I983" i="1"/>
  <c r="H983" i="1"/>
  <c r="J982" i="1"/>
  <c r="I982" i="1"/>
  <c r="H982" i="1"/>
  <c r="J981" i="1"/>
  <c r="I981" i="1"/>
  <c r="H981" i="1"/>
  <c r="J980" i="1"/>
  <c r="I980" i="1"/>
  <c r="H980" i="1"/>
  <c r="J979" i="1"/>
  <c r="I979" i="1"/>
  <c r="H979" i="1"/>
  <c r="J978" i="1"/>
  <c r="I978" i="1"/>
  <c r="H978" i="1"/>
  <c r="J977" i="1"/>
  <c r="I977" i="1"/>
  <c r="H977" i="1"/>
  <c r="J976" i="1"/>
  <c r="I976" i="1"/>
  <c r="H976" i="1"/>
  <c r="J975" i="1"/>
  <c r="I975" i="1"/>
  <c r="H975" i="1"/>
  <c r="J974" i="1"/>
  <c r="I974" i="1"/>
  <c r="H974" i="1"/>
  <c r="J973" i="1"/>
  <c r="I973" i="1"/>
  <c r="H973" i="1"/>
  <c r="J972" i="1"/>
  <c r="I972" i="1"/>
  <c r="H972" i="1"/>
  <c r="J971" i="1"/>
  <c r="I971" i="1"/>
  <c r="H971" i="1"/>
</calcChain>
</file>

<file path=xl/sharedStrings.xml><?xml version="1.0" encoding="utf-8"?>
<sst xmlns="http://schemas.openxmlformats.org/spreadsheetml/2006/main" count="15" uniqueCount="9">
  <si>
    <t>Fecha</t>
  </si>
  <si>
    <t>Mes-año</t>
  </si>
  <si>
    <t>Base monetaria</t>
  </si>
  <si>
    <t>Dólar  mayorista</t>
  </si>
  <si>
    <t>Reservas internacionales</t>
  </si>
  <si>
    <t>% aumento diario BM</t>
  </si>
  <si>
    <t>%  aumento diario USD</t>
  </si>
  <si>
    <t>%  de aumento diario  RI</t>
  </si>
  <si>
    <t>Base monetaria  en mile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</si>
</sst>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2C0A]\ #,##0"/>
    <numFmt numFmtId="165" formatCode="[$$-2C0A]\ #,##0.00"/>
    <numFmt numFmtId="166" formatCode="[$$-409]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/>
      <top/>
      <bottom style="thick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/>
      <bottom style="thick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15" fontId="2" fillId="2" borderId="1" xfId="0" applyNumberFormat="1" applyFont="1" applyFill="1" applyBorder="1" applyAlignment="1">
      <alignment horizontal="center" wrapText="1"/>
    </xf>
    <xf numFmtId="17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0" fontId="1" fillId="0" borderId="0" xfId="0" applyFont="1"/>
    <xf numFmtId="14" fontId="3" fillId="3" borderId="2" xfId="0" applyNumberFormat="1" applyFont="1" applyFill="1" applyBorder="1" applyAlignment="1">
      <alignment vertical="center" wrapText="1"/>
    </xf>
    <xf numFmtId="17" fontId="3" fillId="3" borderId="2" xfId="0" applyNumberFormat="1" applyFont="1" applyFill="1" applyBorder="1" applyAlignment="1">
      <alignment vertical="center" wrapText="1"/>
    </xf>
    <xf numFmtId="164" fontId="3" fillId="3" borderId="2" xfId="0" applyNumberFormat="1" applyFont="1" applyFill="1" applyBorder="1" applyAlignment="1">
      <alignment horizontal="right" vertical="center" wrapText="1"/>
    </xf>
    <xf numFmtId="165" fontId="3" fillId="2" borderId="2" xfId="0" applyNumberFormat="1" applyFont="1" applyFill="1" applyBorder="1" applyAlignment="1">
      <alignment horizontal="right" vertical="center" wrapText="1"/>
    </xf>
    <xf numFmtId="166" fontId="3" fillId="2" borderId="2" xfId="0" applyNumberFormat="1" applyFont="1" applyFill="1" applyBorder="1" applyAlignment="1">
      <alignment horizontal="right" vertical="center" wrapText="1"/>
    </xf>
    <xf numFmtId="10" fontId="0" fillId="0" borderId="0" xfId="0" applyNumberFormat="1"/>
    <xf numFmtId="165" fontId="0" fillId="0" borderId="0" xfId="0" applyNumberFormat="1"/>
    <xf numFmtId="14" fontId="3" fillId="2" borderId="2" xfId="0" applyNumberFormat="1" applyFont="1" applyFill="1" applyBorder="1" applyAlignment="1">
      <alignment vertical="center" wrapText="1"/>
    </xf>
    <xf numFmtId="17" fontId="3" fillId="2" borderId="2" xfId="0" applyNumberFormat="1" applyFont="1" applyFill="1" applyBorder="1" applyAlignment="1">
      <alignment vertical="center" wrapText="1"/>
    </xf>
    <xf numFmtId="164" fontId="3" fillId="2" borderId="2" xfId="0" applyNumberFormat="1" applyFont="1" applyFill="1" applyBorder="1" applyAlignment="1">
      <alignment horizontal="right" vertical="center" wrapText="1"/>
    </xf>
    <xf numFmtId="2" fontId="0" fillId="0" borderId="0" xfId="0" applyNumberFormat="1"/>
    <xf numFmtId="166" fontId="3" fillId="3" borderId="2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17" fontId="0" fillId="0" borderId="0" xfId="0" applyNumberFormat="1"/>
    <xf numFmtId="164" fontId="0" fillId="0" borderId="0" xfId="0" applyNumberFormat="1"/>
    <xf numFmtId="166" fontId="0" fillId="0" borderId="0" xfId="0" applyNumberFormat="1"/>
    <xf numFmtId="14" fontId="3" fillId="2" borderId="3" xfId="0" applyNumberFormat="1" applyFont="1" applyFill="1" applyBorder="1" applyAlignment="1">
      <alignment vertical="center" wrapText="1"/>
    </xf>
    <xf numFmtId="14" fontId="3" fillId="3" borderId="3" xfId="0" applyNumberFormat="1" applyFont="1" applyFill="1" applyBorder="1" applyAlignment="1">
      <alignment vertical="center" wrapText="1"/>
    </xf>
    <xf numFmtId="14" fontId="3" fillId="2" borderId="7" xfId="0" applyNumberFormat="1" applyFont="1" applyFill="1" applyBorder="1" applyAlignment="1">
      <alignment vertical="center" wrapText="1"/>
    </xf>
    <xf numFmtId="166" fontId="3" fillId="2" borderId="4" xfId="0" applyNumberFormat="1" applyFont="1" applyFill="1" applyBorder="1" applyAlignment="1">
      <alignment horizontal="right" vertical="center" wrapText="1"/>
    </xf>
    <xf numFmtId="165" fontId="3" fillId="2" borderId="8" xfId="0" applyNumberFormat="1" applyFont="1" applyFill="1" applyBorder="1" applyAlignment="1">
      <alignment horizontal="right" vertical="center" wrapText="1"/>
    </xf>
    <xf numFmtId="166" fontId="3" fillId="3" borderId="9" xfId="0" applyNumberFormat="1" applyFont="1" applyFill="1" applyBorder="1" applyAlignment="1">
      <alignment horizontal="right" vertical="center" wrapText="1"/>
    </xf>
    <xf numFmtId="15" fontId="2" fillId="4" borderId="5" xfId="0" applyNumberFormat="1" applyFont="1" applyFill="1" applyBorder="1" applyAlignment="1">
      <alignment horizontal="center" wrapText="1"/>
    </xf>
    <xf numFmtId="165" fontId="2" fillId="4" borderId="1" xfId="0" applyNumberFormat="1" applyFont="1" applyFill="1" applyBorder="1" applyAlignment="1">
      <alignment horizontal="center" wrapText="1"/>
    </xf>
    <xf numFmtId="166" fontId="2" fillId="4" borderId="6" xfId="0" applyNumberFormat="1" applyFont="1" applyFill="1" applyBorder="1" applyAlignment="1">
      <alignment horizontal="center" wrapText="1"/>
    </xf>
    <xf numFmtId="165" fontId="3" fillId="3" borderId="2" xfId="0" applyNumberFormat="1" applyFont="1" applyFill="1" applyBorder="1" applyAlignment="1">
      <alignment horizontal="right" vertical="center" wrapText="1"/>
    </xf>
    <xf numFmtId="15" fontId="2" fillId="4" borderId="1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6" formatCode="[$$-409]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4" formatCode="[$$-2C0A]\ 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9" formatCode="d/m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thick">
          <color rgb="FFDDDDDD"/>
        </bottom>
      </border>
    </dxf>
    <dxf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6" formatCode="[$$-409]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5" formatCode="[$$-2C0A]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9" formatCode="d/m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thick">
          <color rgb="FFDDDDDD"/>
        </bottom>
      </border>
    </dxf>
    <dxf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5" formatCode="[$$-2C0A]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numFmt numFmtId="165" formatCode="[$$-2C0A]\ #,##0.00"/>
    </dxf>
    <dxf>
      <numFmt numFmtId="22" formatCode="mmm\-yy"/>
    </dxf>
    <dxf>
      <border outline="0">
        <top style="medium">
          <color rgb="FFDDDDDD"/>
        </top>
      </border>
    </dxf>
    <dxf>
      <border outline="0">
        <bottom style="thick">
          <color rgb="FFDDDDDD"/>
        </bottom>
      </border>
    </dxf>
  </dxfs>
  <tableStyles count="0" defaultTableStyle="TableStyleMedium2" defaultPivotStyle="PivotStyleLight16"/>
  <colors>
    <mruColors>
      <color rgb="FFE6A637"/>
      <color rgb="FFF4D7A4"/>
      <color rgb="FFFF8D3F"/>
      <color rgb="FF6F9B7F"/>
      <color rgb="FF114B65"/>
      <color rgb="FFCE5071"/>
      <color rgb="FF43604E"/>
      <color rgb="FFBF365A"/>
      <color rgb="FF32483A"/>
      <color rgb="FF2044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E39BE-FF12-437E-AD77-5E623CD98B35}" name="PrincipalesVariables" displayName="PrincipalesVariables" ref="A1:F3318" totalsRowShown="0" headerRowBorderDxfId="18" tableBorderDxfId="17">
  <autoFilter ref="A1:F3318" xr:uid="{841E39BE-FF12-437E-AD77-5E623CD98B35}"/>
  <tableColumns count="6">
    <tableColumn id="1" xr3:uid="{097458F5-A550-4DEE-B0A4-B26ED4D7BD8E}" name="Fecha"/>
    <tableColumn id="5" xr3:uid="{0006590D-5AC5-4B48-B379-0CF66CF0BC2A}" name="Mes-año" dataDxfId="16"/>
    <tableColumn id="2" xr3:uid="{427E40F1-45A5-43F0-82B9-8F027B479925}" name="Base monetaria"/>
    <tableColumn id="6" xr3:uid="{45E473AE-073B-41BE-B3FA-4F6B81980DF9}" name="Base monetaria  en mile MM" dataDxfId="15">
      <calculatedColumnFormula>PrincipalesVariables[[#This Row],[Base monetaria]]/1000000</calculatedColumnFormula>
    </tableColumn>
    <tableColumn id="3" xr3:uid="{38FEA47A-7DC9-4C88-A22D-EBA7DFCF2B8D}" name="Dólar  mayorista" dataDxfId="14"/>
    <tableColumn id="4" xr3:uid="{96DB571B-F305-4116-B846-315FFAF77BD5}" name="Reservas internacional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C06358-9243-47BF-A964-03EEFE1F14EC}" name="TablaUSDRI" displayName="TablaUSDRI" ref="A1:C641" totalsRowShown="0" headerRowDxfId="13" headerRowBorderDxfId="12" tableBorderDxfId="11" totalsRowBorderDxfId="10">
  <autoFilter ref="A1:C641" xr:uid="{F6C06358-9243-47BF-A964-03EEFE1F14EC}"/>
  <tableColumns count="3">
    <tableColumn id="1" xr3:uid="{D30E9C4C-346D-4AC6-AE03-366B057655D6}" name="Fecha" dataDxfId="9"/>
    <tableColumn id="4" xr3:uid="{8CD25269-D8D9-4AC2-98DC-CAF9430E24B5}" name="Dólar  mayorista" dataDxfId="8"/>
    <tableColumn id="5" xr3:uid="{BCF4CC97-B0A6-4344-B1B7-5392216342C6}" name="Reservas internacionales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BB961-EEAA-4F2B-945D-09851901BEA4}" name="TablaBMRI" displayName="TablaBMRI" ref="N1:P641" totalsRowShown="0" headerRowDxfId="6" headerRowBorderDxfId="5" tableBorderDxfId="4" totalsRowBorderDxfId="3">
  <autoFilter ref="N1:P641" xr:uid="{B56BB961-EEAA-4F2B-945D-09851901BEA4}"/>
  <tableColumns count="3">
    <tableColumn id="1" xr3:uid="{3B4E685D-0D67-4856-86A0-0809A86D3752}" name="Fecha" dataDxfId="2"/>
    <tableColumn id="3" xr3:uid="{7F918C6E-FA7B-403A-9011-FA535F8F8E86}" name="Base monetaria" dataDxfId="1"/>
    <tableColumn id="5" xr3:uid="{8D7A6867-4286-4B8E-9923-3B9A276F4BFE}" name="Reservas internacional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3266-E7D9-4786-A12C-68F982FCBE76}">
  <dimension ref="A1:M3318"/>
  <sheetViews>
    <sheetView topLeftCell="A2660" workbookViewId="0">
      <selection activeCell="C2677" sqref="C2677:C3316"/>
    </sheetView>
  </sheetViews>
  <sheetFormatPr baseColWidth="10" defaultRowHeight="15" x14ac:dyDescent="0.25"/>
  <cols>
    <col min="1" max="1" width="11.42578125" style="19"/>
    <col min="2" max="2" width="14.28515625" style="20" bestFit="1" customWidth="1"/>
    <col min="3" max="3" width="19.85546875" style="21" customWidth="1"/>
    <col min="4" max="4" width="22.85546875" style="13" customWidth="1"/>
    <col min="5" max="5" width="29" style="22" customWidth="1"/>
    <col min="7" max="7" width="12" customWidth="1"/>
    <col min="8" max="8" width="15.28515625" bestFit="1" customWidth="1"/>
    <col min="9" max="9" width="22.7109375" bestFit="1" customWidth="1"/>
    <col min="11" max="11" width="11.7109375" bestFit="1" customWidth="1"/>
  </cols>
  <sheetData>
    <row r="1" spans="1:13" ht="45.75" thickBot="1" x14ac:dyDescent="0.3">
      <c r="A1" s="1" t="s">
        <v>0</v>
      </c>
      <c r="B1" s="2" t="s">
        <v>1</v>
      </c>
      <c r="C1" s="3" t="s">
        <v>2</v>
      </c>
      <c r="D1" s="4" t="s">
        <v>8</v>
      </c>
      <c r="E1" s="4" t="s">
        <v>3</v>
      </c>
      <c r="F1" s="5" t="s">
        <v>4</v>
      </c>
      <c r="H1" s="6" t="s">
        <v>5</v>
      </c>
      <c r="I1" s="6" t="s">
        <v>6</v>
      </c>
      <c r="J1" s="6" t="s">
        <v>7</v>
      </c>
    </row>
    <row r="2" spans="1:13" ht="16.5" thickTop="1" thickBot="1" x14ac:dyDescent="0.3">
      <c r="A2" s="7">
        <v>40911</v>
      </c>
      <c r="B2" s="8">
        <v>40911</v>
      </c>
      <c r="C2" s="9">
        <v>221897</v>
      </c>
      <c r="D2" s="32">
        <f>PrincipalesVariables[[#This Row],[Base monetaria]]/1000000</f>
        <v>0.22189700000000001</v>
      </c>
      <c r="E2" s="10">
        <v>4.3099999999999996</v>
      </c>
      <c r="F2" s="11">
        <v>46231</v>
      </c>
      <c r="H2" s="12"/>
      <c r="L2" s="13"/>
    </row>
    <row r="3" spans="1:13" ht="15.75" thickBot="1" x14ac:dyDescent="0.3">
      <c r="A3" s="14">
        <v>40912</v>
      </c>
      <c r="B3" s="15">
        <v>40912</v>
      </c>
      <c r="C3" s="16">
        <v>218474</v>
      </c>
      <c r="D3" s="10">
        <f>PrincipalesVariables[[#This Row],[Base monetaria]]/1000000</f>
        <v>0.218474</v>
      </c>
      <c r="E3" s="10">
        <v>4.3</v>
      </c>
      <c r="F3" s="11">
        <v>46446</v>
      </c>
      <c r="H3" s="12">
        <f>(PrincipalesVariables[[#This Row],[Base monetaria]]-C2)/C2</f>
        <v>-1.54260760623172E-2</v>
      </c>
      <c r="I3" s="12">
        <f>(PrincipalesVariables[[#This Row],[Dólar  mayorista]]-E2)/E2</f>
        <v>-2.3201856148491388E-3</v>
      </c>
      <c r="J3" s="12">
        <f>(PrincipalesVariables[[#This Row],[Reservas internacionales]]-F2)/F2</f>
        <v>4.6505591486232182E-3</v>
      </c>
      <c r="L3" s="12"/>
    </row>
    <row r="4" spans="1:13" ht="15.75" thickBot="1" x14ac:dyDescent="0.3">
      <c r="A4" s="14">
        <v>40913</v>
      </c>
      <c r="B4" s="15">
        <v>40913</v>
      </c>
      <c r="C4" s="16">
        <v>216193</v>
      </c>
      <c r="D4" s="10">
        <f>PrincipalesVariables[[#This Row],[Base monetaria]]/1000000</f>
        <v>0.216193</v>
      </c>
      <c r="E4" s="10">
        <v>4.3099999999999996</v>
      </c>
      <c r="F4" s="11">
        <v>46440</v>
      </c>
      <c r="H4" s="12">
        <f>(PrincipalesVariables[[#This Row],[Base monetaria]]-C3)/C3</f>
        <v>-1.0440601627653635E-2</v>
      </c>
      <c r="I4" s="12">
        <f>(PrincipalesVariables[[#This Row],[Dólar  mayorista]]-E3)/E3</f>
        <v>2.3255813953487877E-3</v>
      </c>
      <c r="J4" s="12">
        <f>(PrincipalesVariables[[#This Row],[Reservas internacionales]]-F3)/F3</f>
        <v>-1.2918227619170651E-4</v>
      </c>
      <c r="M4" s="17"/>
    </row>
    <row r="5" spans="1:13" ht="15.75" thickBot="1" x14ac:dyDescent="0.3">
      <c r="A5" s="14">
        <v>40914</v>
      </c>
      <c r="B5" s="15">
        <v>40914</v>
      </c>
      <c r="C5" s="16">
        <v>216247</v>
      </c>
      <c r="D5" s="10">
        <f>PrincipalesVariables[[#This Row],[Base monetaria]]/1000000</f>
        <v>0.21624699999999999</v>
      </c>
      <c r="E5" s="10">
        <v>4.32</v>
      </c>
      <c r="F5" s="11">
        <v>46426</v>
      </c>
      <c r="H5" s="12">
        <f>(PrincipalesVariables[[#This Row],[Base monetaria]]-C4)/C4</f>
        <v>2.4977681978602455E-4</v>
      </c>
      <c r="I5" s="12">
        <f>(PrincipalesVariables[[#This Row],[Dólar  mayorista]]-E4)/E4</f>
        <v>2.3201856148493448E-3</v>
      </c>
      <c r="J5" s="12">
        <f>(PrincipalesVariables[[#This Row],[Reservas internacionales]]-F4)/F4</f>
        <v>-3.0146425495262703E-4</v>
      </c>
    </row>
    <row r="6" spans="1:13" ht="15.75" thickBot="1" x14ac:dyDescent="0.3">
      <c r="A6" s="14">
        <v>40917</v>
      </c>
      <c r="B6" s="15">
        <v>40917</v>
      </c>
      <c r="C6" s="16">
        <v>218463</v>
      </c>
      <c r="D6" s="10">
        <f>PrincipalesVariables[[#This Row],[Base monetaria]]/1000000</f>
        <v>0.21846299999999999</v>
      </c>
      <c r="E6" s="10">
        <v>4.32</v>
      </c>
      <c r="F6" s="11">
        <v>46222</v>
      </c>
      <c r="H6" s="12">
        <f>(PrincipalesVariables[[#This Row],[Base monetaria]]-C5)/C5</f>
        <v>1.024754100634922E-2</v>
      </c>
      <c r="I6" s="12">
        <f>(PrincipalesVariables[[#This Row],[Dólar  mayorista]]-E5)/E5</f>
        <v>0</v>
      </c>
      <c r="J6" s="12">
        <f>(PrincipalesVariables[[#This Row],[Reservas internacionales]]-F5)/F5</f>
        <v>-4.394089518804118E-3</v>
      </c>
    </row>
    <row r="7" spans="1:13" ht="15.75" thickBot="1" x14ac:dyDescent="0.3">
      <c r="A7" s="14">
        <v>40918</v>
      </c>
      <c r="B7" s="15">
        <v>40918</v>
      </c>
      <c r="C7" s="16">
        <v>220699</v>
      </c>
      <c r="D7" s="10">
        <f>PrincipalesVariables[[#This Row],[Base monetaria]]/1000000</f>
        <v>0.22069900000000001</v>
      </c>
      <c r="E7" s="10">
        <v>4.3099999999999996</v>
      </c>
      <c r="F7" s="11">
        <v>46375</v>
      </c>
      <c r="H7" s="12">
        <f>(PrincipalesVariables[[#This Row],[Base monetaria]]-C6)/C6</f>
        <v>1.0235142793058779E-2</v>
      </c>
      <c r="I7" s="12">
        <f>(PrincipalesVariables[[#This Row],[Dólar  mayorista]]-E6)/E6</f>
        <v>-2.3148148148149708E-3</v>
      </c>
      <c r="J7" s="12">
        <f>(PrincipalesVariables[[#This Row],[Reservas internacionales]]-F6)/F6</f>
        <v>3.3101120678464802E-3</v>
      </c>
    </row>
    <row r="8" spans="1:13" ht="15.75" thickBot="1" x14ac:dyDescent="0.3">
      <c r="A8" s="14">
        <v>40919</v>
      </c>
      <c r="B8" s="15">
        <v>40919</v>
      </c>
      <c r="C8" s="16">
        <v>221376</v>
      </c>
      <c r="D8" s="10">
        <f>PrincipalesVariables[[#This Row],[Base monetaria]]/1000000</f>
        <v>0.22137599999999999</v>
      </c>
      <c r="E8" s="10">
        <v>4.3099999999999996</v>
      </c>
      <c r="F8" s="11">
        <v>46419</v>
      </c>
      <c r="H8" s="12">
        <f>(PrincipalesVariables[[#This Row],[Base monetaria]]-C7)/C7</f>
        <v>3.0675263594307179E-3</v>
      </c>
      <c r="I8" s="12">
        <f>(PrincipalesVariables[[#This Row],[Dólar  mayorista]]-E7)/E7</f>
        <v>0</v>
      </c>
      <c r="J8" s="12">
        <f>(PrincipalesVariables[[#This Row],[Reservas internacionales]]-F7)/F7</f>
        <v>9.4878706199460919E-4</v>
      </c>
    </row>
    <row r="9" spans="1:13" ht="15.75" thickBot="1" x14ac:dyDescent="0.3">
      <c r="A9" s="14">
        <v>40920</v>
      </c>
      <c r="B9" s="15">
        <v>40920</v>
      </c>
      <c r="C9" s="16">
        <v>223790</v>
      </c>
      <c r="D9" s="10">
        <f>PrincipalesVariables[[#This Row],[Base monetaria]]/1000000</f>
        <v>0.22378999999999999</v>
      </c>
      <c r="E9" s="10">
        <v>4.3099999999999996</v>
      </c>
      <c r="F9" s="11">
        <v>46517</v>
      </c>
      <c r="H9" s="12">
        <f>(PrincipalesVariables[[#This Row],[Base monetaria]]-C8)/C8</f>
        <v>1.090452442902573E-2</v>
      </c>
      <c r="I9" s="12">
        <f>(PrincipalesVariables[[#This Row],[Dólar  mayorista]]-E8)/E8</f>
        <v>0</v>
      </c>
      <c r="J9" s="12">
        <f>(PrincipalesVariables[[#This Row],[Reservas internacionales]]-F8)/F8</f>
        <v>2.1112044636894373E-3</v>
      </c>
    </row>
    <row r="10" spans="1:13" ht="15.75" thickBot="1" x14ac:dyDescent="0.3">
      <c r="A10" s="14">
        <v>40921</v>
      </c>
      <c r="B10" s="15">
        <v>40921</v>
      </c>
      <c r="C10" s="16">
        <v>223329</v>
      </c>
      <c r="D10" s="10">
        <f>PrincipalesVariables[[#This Row],[Base monetaria]]/1000000</f>
        <v>0.223329</v>
      </c>
      <c r="E10" s="10">
        <v>4.3099999999999996</v>
      </c>
      <c r="F10" s="11">
        <v>46636</v>
      </c>
      <c r="H10" s="12">
        <f>(PrincipalesVariables[[#This Row],[Base monetaria]]-C9)/C9</f>
        <v>-2.0599669332856695E-3</v>
      </c>
      <c r="I10" s="12">
        <f>(PrincipalesVariables[[#This Row],[Dólar  mayorista]]-E9)/E9</f>
        <v>0</v>
      </c>
      <c r="J10" s="12">
        <f>(PrincipalesVariables[[#This Row],[Reservas internacionales]]-F9)/F9</f>
        <v>2.5582045273770879E-3</v>
      </c>
    </row>
    <row r="11" spans="1:13" ht="15.75" thickBot="1" x14ac:dyDescent="0.3">
      <c r="A11" s="14">
        <v>40924</v>
      </c>
      <c r="B11" s="15">
        <v>40924</v>
      </c>
      <c r="C11" s="16">
        <v>223612</v>
      </c>
      <c r="D11" s="10">
        <f>PrincipalesVariables[[#This Row],[Base monetaria]]/1000000</f>
        <v>0.22361200000000001</v>
      </c>
      <c r="E11" s="10">
        <v>4.3099999999999996</v>
      </c>
      <c r="F11" s="11">
        <v>46636</v>
      </c>
      <c r="H11" s="12">
        <f>(PrincipalesVariables[[#This Row],[Base monetaria]]-C10)/C10</f>
        <v>1.2671887663491979E-3</v>
      </c>
      <c r="I11" s="12">
        <f>(PrincipalesVariables[[#This Row],[Dólar  mayorista]]-E10)/E10</f>
        <v>0</v>
      </c>
      <c r="J11" s="12">
        <f>(PrincipalesVariables[[#This Row],[Reservas internacionales]]-F10)/F10</f>
        <v>0</v>
      </c>
    </row>
    <row r="12" spans="1:13" ht="15.75" thickBot="1" x14ac:dyDescent="0.3">
      <c r="A12" s="14">
        <v>40925</v>
      </c>
      <c r="B12" s="15">
        <v>40925</v>
      </c>
      <c r="C12" s="16">
        <v>223306</v>
      </c>
      <c r="D12" s="10">
        <f>PrincipalesVariables[[#This Row],[Base monetaria]]/1000000</f>
        <v>0.223306</v>
      </c>
      <c r="E12" s="10">
        <v>4.32</v>
      </c>
      <c r="F12" s="11">
        <v>46682</v>
      </c>
      <c r="H12" s="12">
        <f>(PrincipalesVariables[[#This Row],[Base monetaria]]-C11)/C11</f>
        <v>-1.3684417652004364E-3</v>
      </c>
      <c r="I12" s="12">
        <f>(PrincipalesVariables[[#This Row],[Dólar  mayorista]]-E11)/E11</f>
        <v>2.3201856148493448E-3</v>
      </c>
      <c r="J12" s="12">
        <f>(PrincipalesVariables[[#This Row],[Reservas internacionales]]-F11)/F11</f>
        <v>9.8636246676387339E-4</v>
      </c>
    </row>
    <row r="13" spans="1:13" ht="15.75" thickBot="1" x14ac:dyDescent="0.3">
      <c r="A13" s="14">
        <v>40926</v>
      </c>
      <c r="B13" s="15">
        <v>40926</v>
      </c>
      <c r="C13" s="16">
        <v>223211</v>
      </c>
      <c r="D13" s="10">
        <f>PrincipalesVariables[[#This Row],[Base monetaria]]/1000000</f>
        <v>0.22321099999999999</v>
      </c>
      <c r="E13" s="10">
        <v>4.32</v>
      </c>
      <c r="F13" s="11">
        <v>46646</v>
      </c>
      <c r="H13" s="12">
        <f>(PrincipalesVariables[[#This Row],[Base monetaria]]-C12)/C12</f>
        <v>-4.2542520129329264E-4</v>
      </c>
      <c r="I13" s="12">
        <f>(PrincipalesVariables[[#This Row],[Dólar  mayorista]]-E12)/E12</f>
        <v>0</v>
      </c>
      <c r="J13" s="12">
        <f>(PrincipalesVariables[[#This Row],[Reservas internacionales]]-F12)/F12</f>
        <v>-7.7117518529625981E-4</v>
      </c>
    </row>
    <row r="14" spans="1:13" ht="15.75" thickBot="1" x14ac:dyDescent="0.3">
      <c r="A14" s="7">
        <v>40927</v>
      </c>
      <c r="B14" s="8">
        <v>40927</v>
      </c>
      <c r="C14" s="9">
        <v>223038</v>
      </c>
      <c r="D14" s="32">
        <f>PrincipalesVariables[[#This Row],[Base monetaria]]/1000000</f>
        <v>0.22303799999999999</v>
      </c>
      <c r="E14" s="10">
        <v>4.32</v>
      </c>
      <c r="F14" s="11">
        <v>46672</v>
      </c>
      <c r="H14" s="12">
        <f>(PrincipalesVariables[[#This Row],[Base monetaria]]-C13)/C13</f>
        <v>-7.7505140875673692E-4</v>
      </c>
      <c r="I14" s="12">
        <f>(PrincipalesVariables[[#This Row],[Dólar  mayorista]]-E13)/E13</f>
        <v>0</v>
      </c>
      <c r="J14" s="12">
        <f>(PrincipalesVariables[[#This Row],[Reservas internacionales]]-F13)/F13</f>
        <v>5.5738970115336794E-4</v>
      </c>
    </row>
    <row r="15" spans="1:13" ht="15.75" thickBot="1" x14ac:dyDescent="0.3">
      <c r="A15" s="14">
        <v>40928</v>
      </c>
      <c r="B15" s="15">
        <v>40928</v>
      </c>
      <c r="C15" s="16">
        <v>222304</v>
      </c>
      <c r="D15" s="10">
        <f>PrincipalesVariables[[#This Row],[Base monetaria]]/1000000</f>
        <v>0.222304</v>
      </c>
      <c r="E15" s="10">
        <v>4.32</v>
      </c>
      <c r="F15" s="11">
        <v>46678</v>
      </c>
      <c r="H15" s="12">
        <f>(PrincipalesVariables[[#This Row],[Base monetaria]]-C14)/C14</f>
        <v>-3.2909190362180435E-3</v>
      </c>
      <c r="I15" s="12">
        <f>(PrincipalesVariables[[#This Row],[Dólar  mayorista]]-E14)/E14</f>
        <v>0</v>
      </c>
      <c r="J15" s="12">
        <f>(PrincipalesVariables[[#This Row],[Reservas internacionales]]-F14)/F14</f>
        <v>1.2855673637298594E-4</v>
      </c>
    </row>
    <row r="16" spans="1:13" ht="15.75" thickBot="1" x14ac:dyDescent="0.3">
      <c r="A16" s="14">
        <v>40931</v>
      </c>
      <c r="B16" s="15">
        <v>40931</v>
      </c>
      <c r="C16" s="16">
        <v>219942</v>
      </c>
      <c r="D16" s="10">
        <f>PrincipalesVariables[[#This Row],[Base monetaria]]/1000000</f>
        <v>0.219942</v>
      </c>
      <c r="E16" s="10">
        <v>4.33</v>
      </c>
      <c r="F16" s="11">
        <v>46729</v>
      </c>
      <c r="H16" s="12">
        <f>(PrincipalesVariables[[#This Row],[Base monetaria]]-C15)/C15</f>
        <v>-1.0625089966892183E-2</v>
      </c>
      <c r="I16" s="12">
        <f>(PrincipalesVariables[[#This Row],[Dólar  mayorista]]-E15)/E15</f>
        <v>2.3148148148147652E-3</v>
      </c>
      <c r="J16" s="12">
        <f>(PrincipalesVariables[[#This Row],[Reservas internacionales]]-F15)/F15</f>
        <v>1.092591799134496E-3</v>
      </c>
    </row>
    <row r="17" spans="1:10" ht="15.75" thickBot="1" x14ac:dyDescent="0.3">
      <c r="A17" s="14">
        <v>40932</v>
      </c>
      <c r="B17" s="15">
        <v>40932</v>
      </c>
      <c r="C17" s="16">
        <v>221173</v>
      </c>
      <c r="D17" s="10">
        <f>PrincipalesVariables[[#This Row],[Base monetaria]]/1000000</f>
        <v>0.22117300000000001</v>
      </c>
      <c r="E17" s="10">
        <v>4.33</v>
      </c>
      <c r="F17" s="11">
        <v>46699</v>
      </c>
      <c r="H17" s="12">
        <f>(PrincipalesVariables[[#This Row],[Base monetaria]]-C16)/C16</f>
        <v>5.5969300997535717E-3</v>
      </c>
      <c r="I17" s="12">
        <f>(PrincipalesVariables[[#This Row],[Dólar  mayorista]]-E16)/E16</f>
        <v>0</v>
      </c>
      <c r="J17" s="12">
        <f>(PrincipalesVariables[[#This Row],[Reservas internacionales]]-F16)/F16</f>
        <v>-6.419996148002311E-4</v>
      </c>
    </row>
    <row r="18" spans="1:10" ht="15.75" thickBot="1" x14ac:dyDescent="0.3">
      <c r="A18" s="14">
        <v>40933</v>
      </c>
      <c r="B18" s="15">
        <v>40933</v>
      </c>
      <c r="C18" s="16">
        <v>219755</v>
      </c>
      <c r="D18" s="10">
        <f>PrincipalesVariables[[#This Row],[Base monetaria]]/1000000</f>
        <v>0.21975500000000001</v>
      </c>
      <c r="E18" s="10">
        <v>4.34</v>
      </c>
      <c r="F18" s="11">
        <v>46680</v>
      </c>
      <c r="H18" s="12">
        <f>(PrincipalesVariables[[#This Row],[Base monetaria]]-C17)/C17</f>
        <v>-6.4112708151537485E-3</v>
      </c>
      <c r="I18" s="12">
        <f>(PrincipalesVariables[[#This Row],[Dólar  mayorista]]-E17)/E17</f>
        <v>2.3094688221708512E-3</v>
      </c>
      <c r="J18" s="12">
        <f>(PrincipalesVariables[[#This Row],[Reservas internacionales]]-F17)/F17</f>
        <v>-4.0686096062014175E-4</v>
      </c>
    </row>
    <row r="19" spans="1:10" ht="15.75" thickBot="1" x14ac:dyDescent="0.3">
      <c r="A19" s="14">
        <v>40934</v>
      </c>
      <c r="B19" s="15">
        <v>40934</v>
      </c>
      <c r="C19" s="16">
        <v>219217</v>
      </c>
      <c r="D19" s="10">
        <f>PrincipalesVariables[[#This Row],[Base monetaria]]/1000000</f>
        <v>0.219217</v>
      </c>
      <c r="E19" s="10">
        <v>4.34</v>
      </c>
      <c r="F19" s="11">
        <v>46700</v>
      </c>
      <c r="H19" s="12">
        <f>(PrincipalesVariables[[#This Row],[Base monetaria]]-C18)/C18</f>
        <v>-2.4481809287615753E-3</v>
      </c>
      <c r="I19" s="12">
        <f>(PrincipalesVariables[[#This Row],[Dólar  mayorista]]-E18)/E18</f>
        <v>0</v>
      </c>
      <c r="J19" s="12">
        <f>(PrincipalesVariables[[#This Row],[Reservas internacionales]]-F18)/F18</f>
        <v>4.2844901456726652E-4</v>
      </c>
    </row>
    <row r="20" spans="1:10" ht="15.75" thickBot="1" x14ac:dyDescent="0.3">
      <c r="A20" s="14">
        <v>40935</v>
      </c>
      <c r="B20" s="15">
        <v>40935</v>
      </c>
      <c r="C20" s="16">
        <v>219817</v>
      </c>
      <c r="D20" s="10">
        <f>PrincipalesVariables[[#This Row],[Base monetaria]]/1000000</f>
        <v>0.21981700000000001</v>
      </c>
      <c r="E20" s="10">
        <v>4.34</v>
      </c>
      <c r="F20" s="11">
        <v>46669</v>
      </c>
      <c r="H20" s="12">
        <f>(PrincipalesVariables[[#This Row],[Base monetaria]]-C19)/C19</f>
        <v>2.7370140089500359E-3</v>
      </c>
      <c r="I20" s="12">
        <f>(PrincipalesVariables[[#This Row],[Dólar  mayorista]]-E19)/E19</f>
        <v>0</v>
      </c>
      <c r="J20" s="12">
        <f>(PrincipalesVariables[[#This Row],[Reservas internacionales]]-F19)/F19</f>
        <v>-6.6381156316916488E-4</v>
      </c>
    </row>
    <row r="21" spans="1:10" ht="15.75" thickBot="1" x14ac:dyDescent="0.3">
      <c r="A21" s="14">
        <v>40938</v>
      </c>
      <c r="B21" s="15">
        <v>40938</v>
      </c>
      <c r="C21" s="16">
        <v>218323</v>
      </c>
      <c r="D21" s="10">
        <f>PrincipalesVariables[[#This Row],[Base monetaria]]/1000000</f>
        <v>0.21832299999999999</v>
      </c>
      <c r="E21" s="10">
        <v>4.33</v>
      </c>
      <c r="F21" s="11">
        <v>46609</v>
      </c>
      <c r="H21" s="12">
        <f>(PrincipalesVariables[[#This Row],[Base monetaria]]-C20)/C20</f>
        <v>-6.7965625952496854E-3</v>
      </c>
      <c r="I21" s="12">
        <f>(PrincipalesVariables[[#This Row],[Dólar  mayorista]]-E20)/E20</f>
        <v>-2.304147465437739E-3</v>
      </c>
      <c r="J21" s="12">
        <f>(PrincipalesVariables[[#This Row],[Reservas internacionales]]-F20)/F20</f>
        <v>-1.2856500032141251E-3</v>
      </c>
    </row>
    <row r="22" spans="1:10" ht="15.75" thickBot="1" x14ac:dyDescent="0.3">
      <c r="A22" s="14">
        <v>40939</v>
      </c>
      <c r="B22" s="15">
        <v>40939</v>
      </c>
      <c r="C22" s="16">
        <v>216117</v>
      </c>
      <c r="D22" s="10">
        <f>PrincipalesVariables[[#This Row],[Base monetaria]]/1000000</f>
        <v>0.216117</v>
      </c>
      <c r="E22" s="10">
        <v>4.34</v>
      </c>
      <c r="F22" s="11">
        <v>46594</v>
      </c>
      <c r="H22" s="12">
        <f>(PrincipalesVariables[[#This Row],[Base monetaria]]-C21)/C21</f>
        <v>-1.0104295012435703E-2</v>
      </c>
      <c r="I22" s="12">
        <f>(PrincipalesVariables[[#This Row],[Dólar  mayorista]]-E21)/E21</f>
        <v>2.3094688221708512E-3</v>
      </c>
      <c r="J22" s="12">
        <f>(PrincipalesVariables[[#This Row],[Reservas internacionales]]-F21)/F21</f>
        <v>-3.2182625673153256E-4</v>
      </c>
    </row>
    <row r="23" spans="1:10" ht="15.75" thickBot="1" x14ac:dyDescent="0.3">
      <c r="A23" s="14">
        <v>40940</v>
      </c>
      <c r="B23" s="15">
        <v>40940</v>
      </c>
      <c r="C23" s="16">
        <v>213769</v>
      </c>
      <c r="D23" s="10">
        <f>PrincipalesVariables[[#This Row],[Base monetaria]]/1000000</f>
        <v>0.21376899999999999</v>
      </c>
      <c r="E23" s="10">
        <v>4.34</v>
      </c>
      <c r="F23" s="11">
        <v>46673</v>
      </c>
      <c r="H23" s="12">
        <f>(PrincipalesVariables[[#This Row],[Base monetaria]]-C22)/C22</f>
        <v>-1.0864485440756627E-2</v>
      </c>
      <c r="I23" s="12">
        <f>(PrincipalesVariables[[#This Row],[Dólar  mayorista]]-E22)/E22</f>
        <v>0</v>
      </c>
      <c r="J23" s="12">
        <f>(PrincipalesVariables[[#This Row],[Reservas internacionales]]-F22)/F22</f>
        <v>1.6954972743271667E-3</v>
      </c>
    </row>
    <row r="24" spans="1:10" ht="15.75" thickBot="1" x14ac:dyDescent="0.3">
      <c r="A24" s="14">
        <v>40941</v>
      </c>
      <c r="B24" s="15">
        <v>40941</v>
      </c>
      <c r="C24" s="16">
        <v>210812</v>
      </c>
      <c r="D24" s="10">
        <f>PrincipalesVariables[[#This Row],[Base monetaria]]/1000000</f>
        <v>0.210812</v>
      </c>
      <c r="E24" s="10">
        <v>4.33</v>
      </c>
      <c r="F24" s="11">
        <v>46685</v>
      </c>
      <c r="H24" s="12">
        <f>(PrincipalesVariables[[#This Row],[Base monetaria]]-C23)/C23</f>
        <v>-1.3832688556338851E-2</v>
      </c>
      <c r="I24" s="12">
        <f>(PrincipalesVariables[[#This Row],[Dólar  mayorista]]-E23)/E23</f>
        <v>-2.304147465437739E-3</v>
      </c>
      <c r="J24" s="12">
        <f>(PrincipalesVariables[[#This Row],[Reservas internacionales]]-F23)/F23</f>
        <v>2.5710796391918239E-4</v>
      </c>
    </row>
    <row r="25" spans="1:10" ht="15.75" thickBot="1" x14ac:dyDescent="0.3">
      <c r="A25" s="14">
        <v>40942</v>
      </c>
      <c r="B25" s="15">
        <v>40942</v>
      </c>
      <c r="C25" s="16">
        <v>207632</v>
      </c>
      <c r="D25" s="10">
        <f>PrincipalesVariables[[#This Row],[Base monetaria]]/1000000</f>
        <v>0.20763200000000001</v>
      </c>
      <c r="E25" s="10">
        <v>4.33</v>
      </c>
      <c r="F25" s="11">
        <v>46700</v>
      </c>
      <c r="H25" s="12">
        <f>(PrincipalesVariables[[#This Row],[Base monetaria]]-C24)/C24</f>
        <v>-1.5084530292393223E-2</v>
      </c>
      <c r="I25" s="12">
        <f>(PrincipalesVariables[[#This Row],[Dólar  mayorista]]-E24)/E24</f>
        <v>0</v>
      </c>
      <c r="J25" s="12">
        <f>(PrincipalesVariables[[#This Row],[Reservas internacionales]]-F24)/F24</f>
        <v>3.2130234550712219E-4</v>
      </c>
    </row>
    <row r="26" spans="1:10" ht="15.75" thickBot="1" x14ac:dyDescent="0.3">
      <c r="A26" s="14">
        <v>40945</v>
      </c>
      <c r="B26" s="15">
        <v>40945</v>
      </c>
      <c r="C26" s="16">
        <v>206232</v>
      </c>
      <c r="D26" s="10">
        <f>PrincipalesVariables[[#This Row],[Base monetaria]]/1000000</f>
        <v>0.206232</v>
      </c>
      <c r="E26" s="10">
        <v>4.33</v>
      </c>
      <c r="F26" s="11">
        <v>46692</v>
      </c>
      <c r="H26" s="12">
        <f>(PrincipalesVariables[[#This Row],[Base monetaria]]-C25)/C25</f>
        <v>-6.742698620636511E-3</v>
      </c>
      <c r="I26" s="12">
        <f>(PrincipalesVariables[[#This Row],[Dólar  mayorista]]-E25)/E25</f>
        <v>0</v>
      </c>
      <c r="J26" s="12">
        <f>(PrincipalesVariables[[#This Row],[Reservas internacionales]]-F25)/F25</f>
        <v>-1.7130620985010707E-4</v>
      </c>
    </row>
    <row r="27" spans="1:10" ht="15.75" thickBot="1" x14ac:dyDescent="0.3">
      <c r="A27" s="14">
        <v>40946</v>
      </c>
      <c r="B27" s="15">
        <v>40946</v>
      </c>
      <c r="C27" s="16">
        <v>207464</v>
      </c>
      <c r="D27" s="10">
        <f>PrincipalesVariables[[#This Row],[Base monetaria]]/1000000</f>
        <v>0.20746400000000001</v>
      </c>
      <c r="E27" s="10">
        <v>4.34</v>
      </c>
      <c r="F27" s="11">
        <v>46722</v>
      </c>
      <c r="H27" s="12">
        <f>(PrincipalesVariables[[#This Row],[Base monetaria]]-C26)/C26</f>
        <v>5.9738546879242798E-3</v>
      </c>
      <c r="I27" s="12">
        <f>(PrincipalesVariables[[#This Row],[Dólar  mayorista]]-E26)/E26</f>
        <v>2.3094688221708512E-3</v>
      </c>
      <c r="J27" s="12">
        <f>(PrincipalesVariables[[#This Row],[Reservas internacionales]]-F26)/F26</f>
        <v>6.425083526085839E-4</v>
      </c>
    </row>
    <row r="28" spans="1:10" ht="15.75" thickBot="1" x14ac:dyDescent="0.3">
      <c r="A28" s="14">
        <v>40947</v>
      </c>
      <c r="B28" s="15">
        <v>40947</v>
      </c>
      <c r="C28" s="16">
        <v>208760</v>
      </c>
      <c r="D28" s="10">
        <f>PrincipalesVariables[[#This Row],[Base monetaria]]/1000000</f>
        <v>0.20876</v>
      </c>
      <c r="E28" s="10">
        <v>4.34</v>
      </c>
      <c r="F28" s="11">
        <v>46747</v>
      </c>
      <c r="H28" s="12">
        <f>(PrincipalesVariables[[#This Row],[Base monetaria]]-C27)/C27</f>
        <v>6.246866926310107E-3</v>
      </c>
      <c r="I28" s="12">
        <f>(PrincipalesVariables[[#This Row],[Dólar  mayorista]]-E27)/E27</f>
        <v>0</v>
      </c>
      <c r="J28" s="12">
        <f>(PrincipalesVariables[[#This Row],[Reservas internacionales]]-F27)/F27</f>
        <v>5.3507983391121953E-4</v>
      </c>
    </row>
    <row r="29" spans="1:10" ht="15.75" thickBot="1" x14ac:dyDescent="0.3">
      <c r="A29" s="14">
        <v>40948</v>
      </c>
      <c r="B29" s="15">
        <v>40948</v>
      </c>
      <c r="C29" s="16">
        <v>209244</v>
      </c>
      <c r="D29" s="10">
        <f>PrincipalesVariables[[#This Row],[Base monetaria]]/1000000</f>
        <v>0.20924400000000001</v>
      </c>
      <c r="E29" s="10">
        <v>4.34</v>
      </c>
      <c r="F29" s="11">
        <v>46749</v>
      </c>
      <c r="H29" s="12">
        <f>(PrincipalesVariables[[#This Row],[Base monetaria]]-C28)/C28</f>
        <v>2.3184518106917035E-3</v>
      </c>
      <c r="I29" s="12">
        <f>(PrincipalesVariables[[#This Row],[Dólar  mayorista]]-E28)/E28</f>
        <v>0</v>
      </c>
      <c r="J29" s="12">
        <f>(PrincipalesVariables[[#This Row],[Reservas internacionales]]-F28)/F28</f>
        <v>4.2783494127965433E-5</v>
      </c>
    </row>
    <row r="30" spans="1:10" ht="15.75" thickBot="1" x14ac:dyDescent="0.3">
      <c r="A30" s="14">
        <v>40949</v>
      </c>
      <c r="B30" s="15">
        <v>40949</v>
      </c>
      <c r="C30" s="16">
        <v>211873</v>
      </c>
      <c r="D30" s="10">
        <f>PrincipalesVariables[[#This Row],[Base monetaria]]/1000000</f>
        <v>0.21187300000000001</v>
      </c>
      <c r="E30" s="10">
        <v>4.3499999999999996</v>
      </c>
      <c r="F30" s="11">
        <v>46818</v>
      </c>
      <c r="H30" s="12">
        <f>(PrincipalesVariables[[#This Row],[Base monetaria]]-C29)/C29</f>
        <v>1.2564279023532335E-2</v>
      </c>
      <c r="I30" s="12">
        <f>(PrincipalesVariables[[#This Row],[Dólar  mayorista]]-E29)/E29</f>
        <v>2.304147465437739E-3</v>
      </c>
      <c r="J30" s="12">
        <f>(PrincipalesVariables[[#This Row],[Reservas internacionales]]-F29)/F29</f>
        <v>1.4759674003722006E-3</v>
      </c>
    </row>
    <row r="31" spans="1:10" ht="15.75" thickBot="1" x14ac:dyDescent="0.3">
      <c r="A31" s="14">
        <v>40952</v>
      </c>
      <c r="B31" s="15">
        <v>40952</v>
      </c>
      <c r="C31" s="16">
        <v>212703</v>
      </c>
      <c r="D31" s="10">
        <f>PrincipalesVariables[[#This Row],[Base monetaria]]/1000000</f>
        <v>0.212703</v>
      </c>
      <c r="E31" s="10">
        <v>4.3499999999999996</v>
      </c>
      <c r="F31" s="11">
        <v>46873</v>
      </c>
      <c r="H31" s="12">
        <f>(PrincipalesVariables[[#This Row],[Base monetaria]]-C30)/C30</f>
        <v>3.9174411085886353E-3</v>
      </c>
      <c r="I31" s="12">
        <f>(PrincipalesVariables[[#This Row],[Dólar  mayorista]]-E30)/E30</f>
        <v>0</v>
      </c>
      <c r="J31" s="12">
        <f>(PrincipalesVariables[[#This Row],[Reservas internacionales]]-F30)/F30</f>
        <v>1.1747618437353154E-3</v>
      </c>
    </row>
    <row r="32" spans="1:10" ht="15.75" thickBot="1" x14ac:dyDescent="0.3">
      <c r="A32" s="14">
        <v>40953</v>
      </c>
      <c r="B32" s="15">
        <v>40953</v>
      </c>
      <c r="C32" s="16">
        <v>211243</v>
      </c>
      <c r="D32" s="10">
        <f>PrincipalesVariables[[#This Row],[Base monetaria]]/1000000</f>
        <v>0.21124299999999999</v>
      </c>
      <c r="E32" s="10">
        <v>4.3499999999999996</v>
      </c>
      <c r="F32" s="11">
        <v>46884</v>
      </c>
      <c r="H32" s="12">
        <f>(PrincipalesVariables[[#This Row],[Base monetaria]]-C31)/C31</f>
        <v>-6.8640310667926639E-3</v>
      </c>
      <c r="I32" s="12">
        <f>(PrincipalesVariables[[#This Row],[Dólar  mayorista]]-E31)/E31</f>
        <v>0</v>
      </c>
      <c r="J32" s="12">
        <f>(PrincipalesVariables[[#This Row],[Reservas internacionales]]-F31)/F31</f>
        <v>2.3467667953832696E-4</v>
      </c>
    </row>
    <row r="33" spans="1:10" ht="15.75" thickBot="1" x14ac:dyDescent="0.3">
      <c r="A33" s="14">
        <v>40954</v>
      </c>
      <c r="B33" s="15">
        <v>40954</v>
      </c>
      <c r="C33" s="16">
        <v>211290</v>
      </c>
      <c r="D33" s="10">
        <f>PrincipalesVariables[[#This Row],[Base monetaria]]/1000000</f>
        <v>0.21129000000000001</v>
      </c>
      <c r="E33" s="10">
        <v>4.3499999999999996</v>
      </c>
      <c r="F33" s="11">
        <v>46829</v>
      </c>
      <c r="H33" s="12">
        <f>(PrincipalesVariables[[#This Row],[Base monetaria]]-C32)/C32</f>
        <v>2.2249257963577492E-4</v>
      </c>
      <c r="I33" s="12">
        <f>(PrincipalesVariables[[#This Row],[Dólar  mayorista]]-E32)/E32</f>
        <v>0</v>
      </c>
      <c r="J33" s="12">
        <f>(PrincipalesVariables[[#This Row],[Reservas internacionales]]-F32)/F32</f>
        <v>-1.1731080965787903E-3</v>
      </c>
    </row>
    <row r="34" spans="1:10" ht="15.75" thickBot="1" x14ac:dyDescent="0.3">
      <c r="A34" s="14">
        <v>40955</v>
      </c>
      <c r="B34" s="15">
        <v>40955</v>
      </c>
      <c r="C34" s="16">
        <v>208305</v>
      </c>
      <c r="D34" s="10">
        <f>PrincipalesVariables[[#This Row],[Base monetaria]]/1000000</f>
        <v>0.20830499999999999</v>
      </c>
      <c r="E34" s="10">
        <v>4.3499999999999996</v>
      </c>
      <c r="F34" s="11">
        <v>46826</v>
      </c>
      <c r="H34" s="12">
        <f>(PrincipalesVariables[[#This Row],[Base monetaria]]-C33)/C33</f>
        <v>-1.4127502484736617E-2</v>
      </c>
      <c r="I34" s="12">
        <f>(PrincipalesVariables[[#This Row],[Dólar  mayorista]]-E33)/E33</f>
        <v>0</v>
      </c>
      <c r="J34" s="12">
        <f>(PrincipalesVariables[[#This Row],[Reservas internacionales]]-F33)/F33</f>
        <v>-6.4062867026842341E-5</v>
      </c>
    </row>
    <row r="35" spans="1:10" ht="15.75" thickBot="1" x14ac:dyDescent="0.3">
      <c r="A35" s="14">
        <v>40956</v>
      </c>
      <c r="B35" s="15">
        <v>40956</v>
      </c>
      <c r="C35" s="16">
        <v>205493</v>
      </c>
      <c r="D35" s="10">
        <f>PrincipalesVariables[[#This Row],[Base monetaria]]/1000000</f>
        <v>0.20549300000000001</v>
      </c>
      <c r="E35" s="10">
        <v>4.3600000000000003</v>
      </c>
      <c r="F35" s="11">
        <v>46869</v>
      </c>
      <c r="H35" s="12">
        <f>(PrincipalesVariables[[#This Row],[Base monetaria]]-C34)/C34</f>
        <v>-1.3499435923285567E-2</v>
      </c>
      <c r="I35" s="12">
        <f>(PrincipalesVariables[[#This Row],[Dólar  mayorista]]-E34)/E34</f>
        <v>2.2988505747127989E-3</v>
      </c>
      <c r="J35" s="12">
        <f>(PrincipalesVariables[[#This Row],[Reservas internacionales]]-F34)/F34</f>
        <v>9.1829325588348349E-4</v>
      </c>
    </row>
    <row r="36" spans="1:10" ht="15.75" thickBot="1" x14ac:dyDescent="0.3">
      <c r="A36" s="14">
        <v>40961</v>
      </c>
      <c r="B36" s="15">
        <v>40961</v>
      </c>
      <c r="C36" s="16">
        <v>213701</v>
      </c>
      <c r="D36" s="10">
        <f>PrincipalesVariables[[#This Row],[Base monetaria]]/1000000</f>
        <v>0.213701</v>
      </c>
      <c r="E36" s="10">
        <v>4.3600000000000003</v>
      </c>
      <c r="F36" s="11">
        <v>46885</v>
      </c>
      <c r="H36" s="12">
        <f>(PrincipalesVariables[[#This Row],[Base monetaria]]-C35)/C35</f>
        <v>3.9942966427080243E-2</v>
      </c>
      <c r="I36" s="12">
        <f>(PrincipalesVariables[[#This Row],[Dólar  mayorista]]-E35)/E35</f>
        <v>0</v>
      </c>
      <c r="J36" s="12">
        <f>(PrincipalesVariables[[#This Row],[Reservas internacionales]]-F35)/F35</f>
        <v>3.4137702959312127E-4</v>
      </c>
    </row>
    <row r="37" spans="1:10" ht="15.75" thickBot="1" x14ac:dyDescent="0.3">
      <c r="A37" s="14">
        <v>40962</v>
      </c>
      <c r="B37" s="15">
        <v>40962</v>
      </c>
      <c r="C37" s="16">
        <v>206530</v>
      </c>
      <c r="D37" s="10">
        <f>PrincipalesVariables[[#This Row],[Base monetaria]]/1000000</f>
        <v>0.20652999999999999</v>
      </c>
      <c r="E37" s="10">
        <v>4.3600000000000003</v>
      </c>
      <c r="F37" s="11">
        <v>46906</v>
      </c>
      <c r="H37" s="12">
        <f>(PrincipalesVariables[[#This Row],[Base monetaria]]-C36)/C36</f>
        <v>-3.3556230434111212E-2</v>
      </c>
      <c r="I37" s="12">
        <f>(PrincipalesVariables[[#This Row],[Dólar  mayorista]]-E36)/E36</f>
        <v>0</v>
      </c>
      <c r="J37" s="12">
        <f>(PrincipalesVariables[[#This Row],[Reservas internacionales]]-F36)/F36</f>
        <v>4.4790444705129572E-4</v>
      </c>
    </row>
    <row r="38" spans="1:10" ht="15.75" thickBot="1" x14ac:dyDescent="0.3">
      <c r="A38" s="14">
        <v>40963</v>
      </c>
      <c r="B38" s="15">
        <v>40963</v>
      </c>
      <c r="C38" s="16">
        <v>202637</v>
      </c>
      <c r="D38" s="10">
        <f>PrincipalesVariables[[#This Row],[Base monetaria]]/1000000</f>
        <v>0.20263700000000001</v>
      </c>
      <c r="E38" s="10">
        <v>4.3499999999999996</v>
      </c>
      <c r="F38" s="11">
        <v>46897</v>
      </c>
      <c r="H38" s="12">
        <f>(PrincipalesVariables[[#This Row],[Base monetaria]]-C37)/C37</f>
        <v>-1.8849561807001404E-2</v>
      </c>
      <c r="I38" s="12">
        <f>(PrincipalesVariables[[#This Row],[Dólar  mayorista]]-E37)/E37</f>
        <v>-2.2935779816515307E-3</v>
      </c>
      <c r="J38" s="12">
        <f>(PrincipalesVariables[[#This Row],[Reservas internacionales]]-F37)/F37</f>
        <v>-1.9187310791796358E-4</v>
      </c>
    </row>
    <row r="39" spans="1:10" ht="15.75" thickBot="1" x14ac:dyDescent="0.3">
      <c r="A39" s="14">
        <v>40967</v>
      </c>
      <c r="B39" s="15">
        <v>40967</v>
      </c>
      <c r="C39" s="16">
        <v>205499</v>
      </c>
      <c r="D39" s="10">
        <f>PrincipalesVariables[[#This Row],[Base monetaria]]/1000000</f>
        <v>0.20549899999999999</v>
      </c>
      <c r="E39" s="10">
        <v>4.3600000000000003</v>
      </c>
      <c r="F39" s="11">
        <v>46899</v>
      </c>
      <c r="H39" s="12">
        <f>(PrincipalesVariables[[#This Row],[Base monetaria]]-C38)/C38</f>
        <v>1.4123777987238264E-2</v>
      </c>
      <c r="I39" s="12">
        <f>(PrincipalesVariables[[#This Row],[Dólar  mayorista]]-E38)/E38</f>
        <v>2.2988505747127989E-3</v>
      </c>
      <c r="J39" s="12">
        <f>(PrincipalesVariables[[#This Row],[Reservas internacionales]]-F38)/F38</f>
        <v>4.2646651171716738E-5</v>
      </c>
    </row>
    <row r="40" spans="1:10" ht="15.75" thickBot="1" x14ac:dyDescent="0.3">
      <c r="A40" s="14">
        <v>40968</v>
      </c>
      <c r="B40" s="15">
        <v>40968</v>
      </c>
      <c r="C40" s="16">
        <v>205437</v>
      </c>
      <c r="D40" s="10">
        <f>PrincipalesVariables[[#This Row],[Base monetaria]]/1000000</f>
        <v>0.20543700000000001</v>
      </c>
      <c r="E40" s="10">
        <v>4.3600000000000003</v>
      </c>
      <c r="F40" s="11">
        <v>46668</v>
      </c>
      <c r="H40" s="12">
        <f>(PrincipalesVariables[[#This Row],[Base monetaria]]-C39)/C39</f>
        <v>-3.0170463116608838E-4</v>
      </c>
      <c r="I40" s="12">
        <f>(PrincipalesVariables[[#This Row],[Dólar  mayorista]]-E39)/E39</f>
        <v>0</v>
      </c>
      <c r="J40" s="12">
        <f>(PrincipalesVariables[[#This Row],[Reservas internacionales]]-F39)/F39</f>
        <v>-4.9254781551845454E-3</v>
      </c>
    </row>
    <row r="41" spans="1:10" ht="15.75" thickBot="1" x14ac:dyDescent="0.3">
      <c r="A41" s="14">
        <v>40969</v>
      </c>
      <c r="B41" s="15">
        <v>40969</v>
      </c>
      <c r="C41" s="16">
        <v>214979</v>
      </c>
      <c r="D41" s="10">
        <f>PrincipalesVariables[[#This Row],[Base monetaria]]/1000000</f>
        <v>0.214979</v>
      </c>
      <c r="E41" s="10">
        <v>4.3499999999999996</v>
      </c>
      <c r="F41" s="11">
        <v>46700</v>
      </c>
      <c r="H41" s="12">
        <f>(PrincipalesVariables[[#This Row],[Base monetaria]]-C40)/C40</f>
        <v>4.6447329351577367E-2</v>
      </c>
      <c r="I41" s="12">
        <f>(PrincipalesVariables[[#This Row],[Dólar  mayorista]]-E40)/E40</f>
        <v>-2.2935779816515307E-3</v>
      </c>
      <c r="J41" s="12">
        <f>(PrincipalesVariables[[#This Row],[Reservas internacionales]]-F40)/F40</f>
        <v>6.8569469443730176E-4</v>
      </c>
    </row>
    <row r="42" spans="1:10" ht="15.75" thickBot="1" x14ac:dyDescent="0.3">
      <c r="A42" s="14">
        <v>40970</v>
      </c>
      <c r="B42" s="15">
        <v>40970</v>
      </c>
      <c r="C42" s="16">
        <v>215324</v>
      </c>
      <c r="D42" s="10">
        <f>PrincipalesVariables[[#This Row],[Base monetaria]]/1000000</f>
        <v>0.21532399999999999</v>
      </c>
      <c r="E42" s="10">
        <v>4.34</v>
      </c>
      <c r="F42" s="11">
        <v>46781</v>
      </c>
      <c r="H42" s="12">
        <f>(PrincipalesVariables[[#This Row],[Base monetaria]]-C41)/C41</f>
        <v>1.6048079114704228E-3</v>
      </c>
      <c r="I42" s="12">
        <f>(PrincipalesVariables[[#This Row],[Dólar  mayorista]]-E41)/E41</f>
        <v>-2.2988505747125951E-3</v>
      </c>
      <c r="J42" s="12">
        <f>(PrincipalesVariables[[#This Row],[Reservas internacionales]]-F41)/F41</f>
        <v>1.734475374732334E-3</v>
      </c>
    </row>
    <row r="43" spans="1:10" ht="15.75" thickBot="1" x14ac:dyDescent="0.3">
      <c r="A43" s="14">
        <v>40973</v>
      </c>
      <c r="B43" s="15">
        <v>40973</v>
      </c>
      <c r="C43" s="16">
        <v>214217</v>
      </c>
      <c r="D43" s="10">
        <f>PrincipalesVariables[[#This Row],[Base monetaria]]/1000000</f>
        <v>0.21421699999999999</v>
      </c>
      <c r="E43" s="10">
        <v>4.33</v>
      </c>
      <c r="F43" s="11">
        <v>46838</v>
      </c>
      <c r="H43" s="12">
        <f>(PrincipalesVariables[[#This Row],[Base monetaria]]-C42)/C42</f>
        <v>-5.1410897066745927E-3</v>
      </c>
      <c r="I43" s="12">
        <f>(PrincipalesVariables[[#This Row],[Dólar  mayorista]]-E42)/E42</f>
        <v>-2.304147465437739E-3</v>
      </c>
      <c r="J43" s="12">
        <f>(PrincipalesVariables[[#This Row],[Reservas internacionales]]-F42)/F42</f>
        <v>1.2184433851349908E-3</v>
      </c>
    </row>
    <row r="44" spans="1:10" ht="15.75" thickBot="1" x14ac:dyDescent="0.3">
      <c r="A44" s="14">
        <v>40974</v>
      </c>
      <c r="B44" s="15">
        <v>40974</v>
      </c>
      <c r="C44" s="16">
        <v>213654</v>
      </c>
      <c r="D44" s="10">
        <f>PrincipalesVariables[[#This Row],[Base monetaria]]/1000000</f>
        <v>0.21365400000000001</v>
      </c>
      <c r="E44" s="10">
        <v>4.34</v>
      </c>
      <c r="F44" s="11">
        <v>46828</v>
      </c>
      <c r="H44" s="12">
        <f>(PrincipalesVariables[[#This Row],[Base monetaria]]-C43)/C43</f>
        <v>-2.6281761018033117E-3</v>
      </c>
      <c r="I44" s="12">
        <f>(PrincipalesVariables[[#This Row],[Dólar  mayorista]]-E43)/E43</f>
        <v>2.3094688221708512E-3</v>
      </c>
      <c r="J44" s="12">
        <f>(PrincipalesVariables[[#This Row],[Reservas internacionales]]-F43)/F43</f>
        <v>-2.1350185746615995E-4</v>
      </c>
    </row>
    <row r="45" spans="1:10" ht="15.75" thickBot="1" x14ac:dyDescent="0.3">
      <c r="A45" s="14">
        <v>40975</v>
      </c>
      <c r="B45" s="15">
        <v>40975</v>
      </c>
      <c r="C45" s="16">
        <v>213576</v>
      </c>
      <c r="D45" s="10">
        <f>PrincipalesVariables[[#This Row],[Base monetaria]]/1000000</f>
        <v>0.21357599999999999</v>
      </c>
      <c r="E45" s="10">
        <v>4.34</v>
      </c>
      <c r="F45" s="11">
        <v>46894</v>
      </c>
      <c r="H45" s="12">
        <f>(PrincipalesVariables[[#This Row],[Base monetaria]]-C44)/C44</f>
        <v>-3.6507624476958073E-4</v>
      </c>
      <c r="I45" s="12">
        <f>(PrincipalesVariables[[#This Row],[Dólar  mayorista]]-E44)/E44</f>
        <v>0</v>
      </c>
      <c r="J45" s="12">
        <f>(PrincipalesVariables[[#This Row],[Reservas internacionales]]-F44)/F44</f>
        <v>1.409413171606731E-3</v>
      </c>
    </row>
    <row r="46" spans="1:10" ht="15.75" thickBot="1" x14ac:dyDescent="0.3">
      <c r="A46" s="14">
        <v>40976</v>
      </c>
      <c r="B46" s="15">
        <v>40976</v>
      </c>
      <c r="C46" s="16">
        <v>215705</v>
      </c>
      <c r="D46" s="10">
        <f>PrincipalesVariables[[#This Row],[Base monetaria]]/1000000</f>
        <v>0.21570500000000001</v>
      </c>
      <c r="E46" s="10">
        <v>4.34</v>
      </c>
      <c r="F46" s="11">
        <v>47056</v>
      </c>
      <c r="H46" s="12">
        <f>(PrincipalesVariables[[#This Row],[Base monetaria]]-C45)/C45</f>
        <v>9.9683485035771801E-3</v>
      </c>
      <c r="I46" s="12">
        <f>(PrincipalesVariables[[#This Row],[Dólar  mayorista]]-E45)/E45</f>
        <v>0</v>
      </c>
      <c r="J46" s="12">
        <f>(PrincipalesVariables[[#This Row],[Reservas internacionales]]-F45)/F45</f>
        <v>3.4545997355738475E-3</v>
      </c>
    </row>
    <row r="47" spans="1:10" ht="15.75" thickBot="1" x14ac:dyDescent="0.3">
      <c r="A47" s="14">
        <v>40977</v>
      </c>
      <c r="B47" s="15">
        <v>40977</v>
      </c>
      <c r="C47" s="16">
        <v>218545</v>
      </c>
      <c r="D47" s="10">
        <f>PrincipalesVariables[[#This Row],[Base monetaria]]/1000000</f>
        <v>0.21854499999999999</v>
      </c>
      <c r="E47" s="10">
        <v>4.34</v>
      </c>
      <c r="F47" s="11">
        <v>47112</v>
      </c>
      <c r="H47" s="12">
        <f>(PrincipalesVariables[[#This Row],[Base monetaria]]-C46)/C46</f>
        <v>1.3166129667833383E-2</v>
      </c>
      <c r="I47" s="12">
        <f>(PrincipalesVariables[[#This Row],[Dólar  mayorista]]-E46)/E46</f>
        <v>0</v>
      </c>
      <c r="J47" s="12">
        <f>(PrincipalesVariables[[#This Row],[Reservas internacionales]]-F46)/F46</f>
        <v>1.1900714042842571E-3</v>
      </c>
    </row>
    <row r="48" spans="1:10" ht="15.75" thickBot="1" x14ac:dyDescent="0.3">
      <c r="A48" s="14">
        <v>40980</v>
      </c>
      <c r="B48" s="15">
        <v>40980</v>
      </c>
      <c r="C48" s="16">
        <v>219539</v>
      </c>
      <c r="D48" s="10">
        <f>PrincipalesVariables[[#This Row],[Base monetaria]]/1000000</f>
        <v>0.21953900000000001</v>
      </c>
      <c r="E48" s="10">
        <v>4.3499999999999996</v>
      </c>
      <c r="F48" s="11">
        <v>47178</v>
      </c>
      <c r="H48" s="12">
        <f>(PrincipalesVariables[[#This Row],[Base monetaria]]-C47)/C47</f>
        <v>4.5482623715939509E-3</v>
      </c>
      <c r="I48" s="12">
        <f>(PrincipalesVariables[[#This Row],[Dólar  mayorista]]-E47)/E47</f>
        <v>2.304147465437739E-3</v>
      </c>
      <c r="J48" s="12">
        <f>(PrincipalesVariables[[#This Row],[Reservas internacionales]]-F47)/F47</f>
        <v>1.4009169638308711E-3</v>
      </c>
    </row>
    <row r="49" spans="1:10" ht="15.75" thickBot="1" x14ac:dyDescent="0.3">
      <c r="A49" s="14">
        <v>40981</v>
      </c>
      <c r="B49" s="15">
        <v>40981</v>
      </c>
      <c r="C49" s="16">
        <v>220485</v>
      </c>
      <c r="D49" s="10">
        <f>PrincipalesVariables[[#This Row],[Base monetaria]]/1000000</f>
        <v>0.22048499999999999</v>
      </c>
      <c r="E49" s="10">
        <v>4.3499999999999996</v>
      </c>
      <c r="F49" s="11">
        <v>47223</v>
      </c>
      <c r="H49" s="12">
        <f>(PrincipalesVariables[[#This Row],[Base monetaria]]-C48)/C48</f>
        <v>4.3090293751907403E-3</v>
      </c>
      <c r="I49" s="12">
        <f>(PrincipalesVariables[[#This Row],[Dólar  mayorista]]-E48)/E48</f>
        <v>0</v>
      </c>
      <c r="J49" s="12">
        <f>(PrincipalesVariables[[#This Row],[Reservas internacionales]]-F48)/F48</f>
        <v>9.5383441434566962E-4</v>
      </c>
    </row>
    <row r="50" spans="1:10" ht="15.75" thickBot="1" x14ac:dyDescent="0.3">
      <c r="A50" s="14">
        <v>40982</v>
      </c>
      <c r="B50" s="15">
        <v>40982</v>
      </c>
      <c r="C50" s="16">
        <v>222280</v>
      </c>
      <c r="D50" s="10">
        <f>PrincipalesVariables[[#This Row],[Base monetaria]]/1000000</f>
        <v>0.22228000000000001</v>
      </c>
      <c r="E50" s="10">
        <v>4.3600000000000003</v>
      </c>
      <c r="F50" s="11">
        <v>47165</v>
      </c>
      <c r="H50" s="12">
        <f>(PrincipalesVariables[[#This Row],[Base monetaria]]-C49)/C49</f>
        <v>8.1411433884391229E-3</v>
      </c>
      <c r="I50" s="12">
        <f>(PrincipalesVariables[[#This Row],[Dólar  mayorista]]-E49)/E49</f>
        <v>2.2988505747127989E-3</v>
      </c>
      <c r="J50" s="12">
        <f>(PrincipalesVariables[[#This Row],[Reservas internacionales]]-F49)/F49</f>
        <v>-1.2282150646930521E-3</v>
      </c>
    </row>
    <row r="51" spans="1:10" ht="15.75" thickBot="1" x14ac:dyDescent="0.3">
      <c r="A51" s="14">
        <v>40983</v>
      </c>
      <c r="B51" s="15">
        <v>40983</v>
      </c>
      <c r="C51" s="16">
        <v>219215</v>
      </c>
      <c r="D51" s="10">
        <f>PrincipalesVariables[[#This Row],[Base monetaria]]/1000000</f>
        <v>0.21921499999999999</v>
      </c>
      <c r="E51" s="10">
        <v>4.3600000000000003</v>
      </c>
      <c r="F51" s="11">
        <v>47149</v>
      </c>
      <c r="H51" s="12">
        <f>(PrincipalesVariables[[#This Row],[Base monetaria]]-C50)/C50</f>
        <v>-1.3788914882130646E-2</v>
      </c>
      <c r="I51" s="12">
        <f>(PrincipalesVariables[[#This Row],[Dólar  mayorista]]-E50)/E50</f>
        <v>0</v>
      </c>
      <c r="J51" s="12">
        <f>(PrincipalesVariables[[#This Row],[Reservas internacionales]]-F50)/F50</f>
        <v>-3.3923460192939679E-4</v>
      </c>
    </row>
    <row r="52" spans="1:10" ht="15.75" thickBot="1" x14ac:dyDescent="0.3">
      <c r="A52" s="14">
        <v>40984</v>
      </c>
      <c r="B52" s="15">
        <v>40984</v>
      </c>
      <c r="C52" s="16">
        <v>216052</v>
      </c>
      <c r="D52" s="10">
        <f>PrincipalesVariables[[#This Row],[Base monetaria]]/1000000</f>
        <v>0.21605199999999999</v>
      </c>
      <c r="E52" s="10">
        <v>4.3499999999999996</v>
      </c>
      <c r="F52" s="11">
        <v>47243</v>
      </c>
      <c r="H52" s="12">
        <f>(PrincipalesVariables[[#This Row],[Base monetaria]]-C51)/C51</f>
        <v>-1.44287571562165E-2</v>
      </c>
      <c r="I52" s="12">
        <f>(PrincipalesVariables[[#This Row],[Dólar  mayorista]]-E51)/E51</f>
        <v>-2.2935779816515307E-3</v>
      </c>
      <c r="J52" s="12">
        <f>(PrincipalesVariables[[#This Row],[Reservas internacionales]]-F51)/F51</f>
        <v>1.9936796114445694E-3</v>
      </c>
    </row>
    <row r="53" spans="1:10" ht="15.75" thickBot="1" x14ac:dyDescent="0.3">
      <c r="A53" s="14">
        <v>40987</v>
      </c>
      <c r="B53" s="15">
        <v>40987</v>
      </c>
      <c r="C53" s="16">
        <v>215849</v>
      </c>
      <c r="D53" s="10">
        <f>PrincipalesVariables[[#This Row],[Base monetaria]]/1000000</f>
        <v>0.21584900000000001</v>
      </c>
      <c r="E53" s="10">
        <v>4.3600000000000003</v>
      </c>
      <c r="F53" s="11">
        <v>47249</v>
      </c>
      <c r="H53" s="12">
        <f>(PrincipalesVariables[[#This Row],[Base monetaria]]-C52)/C52</f>
        <v>-9.3958861755503303E-4</v>
      </c>
      <c r="I53" s="12">
        <f>(PrincipalesVariables[[#This Row],[Dólar  mayorista]]-E52)/E52</f>
        <v>2.2988505747127989E-3</v>
      </c>
      <c r="J53" s="12">
        <f>(PrincipalesVariables[[#This Row],[Reservas internacionales]]-F52)/F52</f>
        <v>1.2700294223482844E-4</v>
      </c>
    </row>
    <row r="54" spans="1:10" ht="15.75" thickBot="1" x14ac:dyDescent="0.3">
      <c r="A54" s="14">
        <v>40988</v>
      </c>
      <c r="B54" s="15">
        <v>40988</v>
      </c>
      <c r="C54" s="16">
        <v>214596</v>
      </c>
      <c r="D54" s="10">
        <f>PrincipalesVariables[[#This Row],[Base monetaria]]/1000000</f>
        <v>0.21459600000000001</v>
      </c>
      <c r="E54" s="10">
        <v>4.3600000000000003</v>
      </c>
      <c r="F54" s="11">
        <v>47286</v>
      </c>
      <c r="H54" s="12">
        <f>(PrincipalesVariables[[#This Row],[Base monetaria]]-C53)/C53</f>
        <v>-5.8049840397685418E-3</v>
      </c>
      <c r="I54" s="12">
        <f>(PrincipalesVariables[[#This Row],[Dólar  mayorista]]-E53)/E53</f>
        <v>0</v>
      </c>
      <c r="J54" s="12">
        <f>(PrincipalesVariables[[#This Row],[Reservas internacionales]]-F53)/F53</f>
        <v>7.8308535630383712E-4</v>
      </c>
    </row>
    <row r="55" spans="1:10" ht="15.75" thickBot="1" x14ac:dyDescent="0.3">
      <c r="A55" s="14">
        <v>40989</v>
      </c>
      <c r="B55" s="15">
        <v>40989</v>
      </c>
      <c r="C55" s="16">
        <v>215699</v>
      </c>
      <c r="D55" s="10">
        <f>PrincipalesVariables[[#This Row],[Base monetaria]]/1000000</f>
        <v>0.215699</v>
      </c>
      <c r="E55" s="10">
        <v>4.37</v>
      </c>
      <c r="F55" s="11">
        <v>47304</v>
      </c>
      <c r="H55" s="12">
        <f>(PrincipalesVariables[[#This Row],[Base monetaria]]-C54)/C54</f>
        <v>5.1398907714962066E-3</v>
      </c>
      <c r="I55" s="12">
        <f>(PrincipalesVariables[[#This Row],[Dólar  mayorista]]-E54)/E54</f>
        <v>2.2935779816513273E-3</v>
      </c>
      <c r="J55" s="12">
        <f>(PrincipalesVariables[[#This Row],[Reservas internacionales]]-F54)/F54</f>
        <v>3.8066235249333843E-4</v>
      </c>
    </row>
    <row r="56" spans="1:10" ht="15.75" thickBot="1" x14ac:dyDescent="0.3">
      <c r="A56" s="14">
        <v>40990</v>
      </c>
      <c r="B56" s="15">
        <v>40990</v>
      </c>
      <c r="C56" s="16">
        <v>218320</v>
      </c>
      <c r="D56" s="10">
        <f>PrincipalesVariables[[#This Row],[Base monetaria]]/1000000</f>
        <v>0.21831999999999999</v>
      </c>
      <c r="E56" s="10">
        <v>4.37</v>
      </c>
      <c r="F56" s="11">
        <v>47315</v>
      </c>
      <c r="H56" s="12">
        <f>(PrincipalesVariables[[#This Row],[Base monetaria]]-C55)/C55</f>
        <v>1.2151192170571028E-2</v>
      </c>
      <c r="I56" s="12">
        <f>(PrincipalesVariables[[#This Row],[Dólar  mayorista]]-E55)/E55</f>
        <v>0</v>
      </c>
      <c r="J56" s="12">
        <f>(PrincipalesVariables[[#This Row],[Reservas internacionales]]-F55)/F55</f>
        <v>2.3253847454760695E-4</v>
      </c>
    </row>
    <row r="57" spans="1:10" ht="15.75" thickBot="1" x14ac:dyDescent="0.3">
      <c r="A57" s="14">
        <v>40991</v>
      </c>
      <c r="B57" s="15">
        <v>40991</v>
      </c>
      <c r="C57" s="16">
        <v>214232</v>
      </c>
      <c r="D57" s="10">
        <f>PrincipalesVariables[[#This Row],[Base monetaria]]/1000000</f>
        <v>0.21423200000000001</v>
      </c>
      <c r="E57" s="10">
        <v>4.37</v>
      </c>
      <c r="F57" s="11">
        <v>47371</v>
      </c>
      <c r="H57" s="12">
        <f>(PrincipalesVariables[[#This Row],[Base monetaria]]-C56)/C56</f>
        <v>-1.8724807621839503E-2</v>
      </c>
      <c r="I57" s="12">
        <f>(PrincipalesVariables[[#This Row],[Dólar  mayorista]]-E56)/E56</f>
        <v>0</v>
      </c>
      <c r="J57" s="12">
        <f>(PrincipalesVariables[[#This Row],[Reservas internacionales]]-F56)/F56</f>
        <v>1.1835570115185459E-3</v>
      </c>
    </row>
    <row r="58" spans="1:10" ht="15.75" thickBot="1" x14ac:dyDescent="0.3">
      <c r="A58" s="14">
        <v>40994</v>
      </c>
      <c r="B58" s="15">
        <v>40994</v>
      </c>
      <c r="C58" s="16">
        <v>212451</v>
      </c>
      <c r="D58" s="10">
        <f>PrincipalesVariables[[#This Row],[Base monetaria]]/1000000</f>
        <v>0.212451</v>
      </c>
      <c r="E58" s="10">
        <v>4.37</v>
      </c>
      <c r="F58" s="11">
        <v>47415</v>
      </c>
      <c r="H58" s="12">
        <f>(PrincipalesVariables[[#This Row],[Base monetaria]]-C57)/C57</f>
        <v>-8.3134172299189658E-3</v>
      </c>
      <c r="I58" s="12">
        <f>(PrincipalesVariables[[#This Row],[Dólar  mayorista]]-E57)/E57</f>
        <v>0</v>
      </c>
      <c r="J58" s="12">
        <f>(PrincipalesVariables[[#This Row],[Reservas internacionales]]-F57)/F57</f>
        <v>9.28838318802643E-4</v>
      </c>
    </row>
    <row r="59" spans="1:10" ht="15.75" thickBot="1" x14ac:dyDescent="0.3">
      <c r="A59" s="14">
        <v>40995</v>
      </c>
      <c r="B59" s="15">
        <v>40995</v>
      </c>
      <c r="C59" s="16">
        <v>213831</v>
      </c>
      <c r="D59" s="10">
        <f>PrincipalesVariables[[#This Row],[Base monetaria]]/1000000</f>
        <v>0.21383099999999999</v>
      </c>
      <c r="E59" s="10">
        <v>4.37</v>
      </c>
      <c r="F59" s="11">
        <v>47470</v>
      </c>
      <c r="H59" s="12">
        <f>(PrincipalesVariables[[#This Row],[Base monetaria]]-C58)/C58</f>
        <v>6.4956154595647939E-3</v>
      </c>
      <c r="I59" s="12">
        <f>(PrincipalesVariables[[#This Row],[Dólar  mayorista]]-E58)/E58</f>
        <v>0</v>
      </c>
      <c r="J59" s="12">
        <f>(PrincipalesVariables[[#This Row],[Reservas internacionales]]-F58)/F58</f>
        <v>1.159970473478857E-3</v>
      </c>
    </row>
    <row r="60" spans="1:10" ht="15.75" thickBot="1" x14ac:dyDescent="0.3">
      <c r="A60" s="14">
        <v>40996</v>
      </c>
      <c r="B60" s="15">
        <v>40996</v>
      </c>
      <c r="C60" s="16">
        <v>214873</v>
      </c>
      <c r="D60" s="10">
        <f>PrincipalesVariables[[#This Row],[Base monetaria]]/1000000</f>
        <v>0.21487300000000001</v>
      </c>
      <c r="E60" s="10">
        <v>4.37</v>
      </c>
      <c r="F60" s="11">
        <v>47512</v>
      </c>
      <c r="H60" s="12">
        <f>(PrincipalesVariables[[#This Row],[Base monetaria]]-C59)/C59</f>
        <v>4.8730071879194321E-3</v>
      </c>
      <c r="I60" s="12">
        <f>(PrincipalesVariables[[#This Row],[Dólar  mayorista]]-E59)/E59</f>
        <v>0</v>
      </c>
      <c r="J60" s="12">
        <f>(PrincipalesVariables[[#This Row],[Reservas internacionales]]-F59)/F59</f>
        <v>8.8476932799662941E-4</v>
      </c>
    </row>
    <row r="61" spans="1:10" ht="15.75" thickBot="1" x14ac:dyDescent="0.3">
      <c r="A61" s="14">
        <v>40997</v>
      </c>
      <c r="B61" s="15">
        <v>40997</v>
      </c>
      <c r="C61" s="16">
        <v>213667</v>
      </c>
      <c r="D61" s="10">
        <f>PrincipalesVariables[[#This Row],[Base monetaria]]/1000000</f>
        <v>0.213667</v>
      </c>
      <c r="E61" s="10">
        <v>4.38</v>
      </c>
      <c r="F61" s="11">
        <v>47531</v>
      </c>
      <c r="H61" s="12">
        <f>(PrincipalesVariables[[#This Row],[Base monetaria]]-C60)/C60</f>
        <v>-5.6126176857957955E-3</v>
      </c>
      <c r="I61" s="12">
        <f>(PrincipalesVariables[[#This Row],[Dólar  mayorista]]-E60)/E60</f>
        <v>2.2883295194507519E-3</v>
      </c>
      <c r="J61" s="12">
        <f>(PrincipalesVariables[[#This Row],[Reservas internacionales]]-F60)/F60</f>
        <v>3.998989728910591E-4</v>
      </c>
    </row>
    <row r="62" spans="1:10" ht="15.75" thickBot="1" x14ac:dyDescent="0.3">
      <c r="A62" s="14">
        <v>40998</v>
      </c>
      <c r="B62" s="15">
        <v>40998</v>
      </c>
      <c r="C62" s="16">
        <v>220625</v>
      </c>
      <c r="D62" s="10">
        <f>PrincipalesVariables[[#This Row],[Base monetaria]]/1000000</f>
        <v>0.22062499999999999</v>
      </c>
      <c r="E62" s="10">
        <v>4.38</v>
      </c>
      <c r="F62" s="11">
        <v>47291</v>
      </c>
      <c r="H62" s="12">
        <f>(PrincipalesVariables[[#This Row],[Base monetaria]]-C61)/C61</f>
        <v>3.2564691786752281E-2</v>
      </c>
      <c r="I62" s="12">
        <f>(PrincipalesVariables[[#This Row],[Dólar  mayorista]]-E61)/E61</f>
        <v>0</v>
      </c>
      <c r="J62" s="12">
        <f>(PrincipalesVariables[[#This Row],[Reservas internacionales]]-F61)/F61</f>
        <v>-5.0493362226757274E-3</v>
      </c>
    </row>
    <row r="63" spans="1:10" ht="15.75" thickBot="1" x14ac:dyDescent="0.3">
      <c r="A63" s="14">
        <v>41002</v>
      </c>
      <c r="B63" s="15">
        <v>41002</v>
      </c>
      <c r="C63" s="16">
        <v>223089</v>
      </c>
      <c r="D63" s="10">
        <f>PrincipalesVariables[[#This Row],[Base monetaria]]/1000000</f>
        <v>0.22308900000000001</v>
      </c>
      <c r="E63" s="10">
        <v>4.38</v>
      </c>
      <c r="F63" s="11">
        <v>47241</v>
      </c>
      <c r="H63" s="12">
        <f>(PrincipalesVariables[[#This Row],[Base monetaria]]-C62)/C62</f>
        <v>1.116827195467422E-2</v>
      </c>
      <c r="I63" s="12">
        <f>(PrincipalesVariables[[#This Row],[Dólar  mayorista]]-E62)/E62</f>
        <v>0</v>
      </c>
      <c r="J63" s="12">
        <f>(PrincipalesVariables[[#This Row],[Reservas internacionales]]-F62)/F62</f>
        <v>-1.0572836269057537E-3</v>
      </c>
    </row>
    <row r="64" spans="1:10" ht="15.75" thickBot="1" x14ac:dyDescent="0.3">
      <c r="A64" s="14">
        <v>41003</v>
      </c>
      <c r="B64" s="15">
        <v>41003</v>
      </c>
      <c r="C64" s="16">
        <v>221643</v>
      </c>
      <c r="D64" s="10">
        <f>PrincipalesVariables[[#This Row],[Base monetaria]]/1000000</f>
        <v>0.22164300000000001</v>
      </c>
      <c r="E64" s="10">
        <v>4.38</v>
      </c>
      <c r="F64" s="11">
        <v>47164</v>
      </c>
      <c r="H64" s="12">
        <f>(PrincipalesVariables[[#This Row],[Base monetaria]]-C63)/C63</f>
        <v>-6.4817180587119936E-3</v>
      </c>
      <c r="I64" s="12">
        <f>(PrincipalesVariables[[#This Row],[Dólar  mayorista]]-E63)/E63</f>
        <v>0</v>
      </c>
      <c r="J64" s="12">
        <f>(PrincipalesVariables[[#This Row],[Reservas internacionales]]-F63)/F63</f>
        <v>-1.6299400944095172E-3</v>
      </c>
    </row>
    <row r="65" spans="1:10" ht="15.75" thickBot="1" x14ac:dyDescent="0.3">
      <c r="A65" s="14">
        <v>41008</v>
      </c>
      <c r="B65" s="15">
        <v>41008</v>
      </c>
      <c r="C65" s="16">
        <v>218964</v>
      </c>
      <c r="D65" s="10">
        <f>PrincipalesVariables[[#This Row],[Base monetaria]]/1000000</f>
        <v>0.21896399999999999</v>
      </c>
      <c r="E65" s="10">
        <v>4.3899999999999997</v>
      </c>
      <c r="F65" s="11">
        <v>47177</v>
      </c>
      <c r="H65" s="12">
        <f>(PrincipalesVariables[[#This Row],[Base monetaria]]-C64)/C64</f>
        <v>-1.2087004777953736E-2</v>
      </c>
      <c r="I65" s="12">
        <f>(PrincipalesVariables[[#This Row],[Dólar  mayorista]]-E64)/E64</f>
        <v>2.2831050228310015E-3</v>
      </c>
      <c r="J65" s="12">
        <f>(PrincipalesVariables[[#This Row],[Reservas internacionales]]-F64)/F64</f>
        <v>2.7563395810363837E-4</v>
      </c>
    </row>
    <row r="66" spans="1:10" ht="15.75" thickBot="1" x14ac:dyDescent="0.3">
      <c r="A66" s="14">
        <v>41009</v>
      </c>
      <c r="B66" s="15">
        <v>41009</v>
      </c>
      <c r="C66" s="16">
        <v>219943</v>
      </c>
      <c r="D66" s="10">
        <f>PrincipalesVariables[[#This Row],[Base monetaria]]/1000000</f>
        <v>0.219943</v>
      </c>
      <c r="E66" s="10">
        <v>4.38</v>
      </c>
      <c r="F66" s="11">
        <v>47279</v>
      </c>
      <c r="H66" s="12">
        <f>(PrincipalesVariables[[#This Row],[Base monetaria]]-C65)/C65</f>
        <v>4.4710546025830732E-3</v>
      </c>
      <c r="I66" s="12">
        <f>(PrincipalesVariables[[#This Row],[Dólar  mayorista]]-E65)/E65</f>
        <v>-2.277904328018175E-3</v>
      </c>
      <c r="J66" s="12">
        <f>(PrincipalesVariables[[#This Row],[Reservas internacionales]]-F65)/F65</f>
        <v>2.1620705004557306E-3</v>
      </c>
    </row>
    <row r="67" spans="1:10" ht="15.75" thickBot="1" x14ac:dyDescent="0.3">
      <c r="A67" s="14">
        <v>41010</v>
      </c>
      <c r="B67" s="15">
        <v>41010</v>
      </c>
      <c r="C67" s="16">
        <v>222156</v>
      </c>
      <c r="D67" s="10">
        <f>PrincipalesVariables[[#This Row],[Base monetaria]]/1000000</f>
        <v>0.22215599999999999</v>
      </c>
      <c r="E67" s="10">
        <v>4.3899999999999997</v>
      </c>
      <c r="F67" s="11">
        <v>47381</v>
      </c>
      <c r="H67" s="12">
        <f>(PrincipalesVariables[[#This Row],[Base monetaria]]-C66)/C66</f>
        <v>1.0061697803521822E-2</v>
      </c>
      <c r="I67" s="12">
        <f>(PrincipalesVariables[[#This Row],[Dólar  mayorista]]-E66)/E66</f>
        <v>2.2831050228310015E-3</v>
      </c>
      <c r="J67" s="12">
        <f>(PrincipalesVariables[[#This Row],[Reservas internacionales]]-F66)/F66</f>
        <v>2.1574060365066941E-3</v>
      </c>
    </row>
    <row r="68" spans="1:10" ht="15.75" thickBot="1" x14ac:dyDescent="0.3">
      <c r="A68" s="14">
        <v>41011</v>
      </c>
      <c r="B68" s="15">
        <v>41011</v>
      </c>
      <c r="C68" s="16">
        <v>224108</v>
      </c>
      <c r="D68" s="10">
        <f>PrincipalesVariables[[#This Row],[Base monetaria]]/1000000</f>
        <v>0.224108</v>
      </c>
      <c r="E68" s="10">
        <v>4.3899999999999997</v>
      </c>
      <c r="F68" s="11">
        <v>47508</v>
      </c>
      <c r="H68" s="12">
        <f>(PrincipalesVariables[[#This Row],[Base monetaria]]-C67)/C67</f>
        <v>8.7866184122868621E-3</v>
      </c>
      <c r="I68" s="12">
        <f>(PrincipalesVariables[[#This Row],[Dólar  mayorista]]-E67)/E67</f>
        <v>0</v>
      </c>
      <c r="J68" s="12">
        <f>(PrincipalesVariables[[#This Row],[Reservas internacionales]]-F67)/F67</f>
        <v>2.6803993161815917E-3</v>
      </c>
    </row>
    <row r="69" spans="1:10" ht="15.75" thickBot="1" x14ac:dyDescent="0.3">
      <c r="A69" s="14">
        <v>41012</v>
      </c>
      <c r="B69" s="15">
        <v>41012</v>
      </c>
      <c r="C69" s="16">
        <v>222467</v>
      </c>
      <c r="D69" s="10">
        <f>PrincipalesVariables[[#This Row],[Base monetaria]]/1000000</f>
        <v>0.222467</v>
      </c>
      <c r="E69" s="10">
        <v>4.3899999999999997</v>
      </c>
      <c r="F69" s="11">
        <v>47598</v>
      </c>
      <c r="H69" s="12">
        <f>(PrincipalesVariables[[#This Row],[Base monetaria]]-C68)/C68</f>
        <v>-7.3223624323986653E-3</v>
      </c>
      <c r="I69" s="12">
        <f>(PrincipalesVariables[[#This Row],[Dólar  mayorista]]-E68)/E68</f>
        <v>0</v>
      </c>
      <c r="J69" s="12">
        <f>(PrincipalesVariables[[#This Row],[Reservas internacionales]]-F68)/F68</f>
        <v>1.8944177822682495E-3</v>
      </c>
    </row>
    <row r="70" spans="1:10" ht="15.75" thickBot="1" x14ac:dyDescent="0.3">
      <c r="A70" s="14">
        <v>41015</v>
      </c>
      <c r="B70" s="15">
        <v>41015</v>
      </c>
      <c r="C70" s="16">
        <v>223515</v>
      </c>
      <c r="D70" s="10">
        <f>PrincipalesVariables[[#This Row],[Base monetaria]]/1000000</f>
        <v>0.22351499999999999</v>
      </c>
      <c r="E70" s="10">
        <v>4.4000000000000004</v>
      </c>
      <c r="F70" s="11">
        <v>47442</v>
      </c>
      <c r="H70" s="12">
        <f>(PrincipalesVariables[[#This Row],[Base monetaria]]-C69)/C69</f>
        <v>4.7108110416376366E-3</v>
      </c>
      <c r="I70" s="12">
        <f>(PrincipalesVariables[[#This Row],[Dólar  mayorista]]-E69)/E69</f>
        <v>2.2779043280183771E-3</v>
      </c>
      <c r="J70" s="12">
        <f>(PrincipalesVariables[[#This Row],[Reservas internacionales]]-F69)/F69</f>
        <v>-3.2774486322954747E-3</v>
      </c>
    </row>
    <row r="71" spans="1:10" ht="15.75" thickBot="1" x14ac:dyDescent="0.3">
      <c r="A71" s="14">
        <v>41016</v>
      </c>
      <c r="B71" s="15">
        <v>41016</v>
      </c>
      <c r="C71" s="16">
        <v>221033</v>
      </c>
      <c r="D71" s="10">
        <f>PrincipalesVariables[[#This Row],[Base monetaria]]/1000000</f>
        <v>0.22103300000000001</v>
      </c>
      <c r="E71" s="10">
        <v>4.3899999999999997</v>
      </c>
      <c r="F71" s="11">
        <v>47470</v>
      </c>
      <c r="H71" s="12">
        <f>(PrincipalesVariables[[#This Row],[Base monetaria]]-C70)/C70</f>
        <v>-1.1104400152115071E-2</v>
      </c>
      <c r="I71" s="12">
        <f>(PrincipalesVariables[[#This Row],[Dólar  mayorista]]-E70)/E70</f>
        <v>-2.2727272727274261E-3</v>
      </c>
      <c r="J71" s="12">
        <f>(PrincipalesVariables[[#This Row],[Reservas internacionales]]-F70)/F70</f>
        <v>5.9019434256565916E-4</v>
      </c>
    </row>
    <row r="72" spans="1:10" ht="15.75" thickBot="1" x14ac:dyDescent="0.3">
      <c r="A72" s="14">
        <v>41017</v>
      </c>
      <c r="B72" s="15">
        <v>41017</v>
      </c>
      <c r="C72" s="16">
        <v>220691</v>
      </c>
      <c r="D72" s="10">
        <f>PrincipalesVariables[[#This Row],[Base monetaria]]/1000000</f>
        <v>0.220691</v>
      </c>
      <c r="E72" s="10">
        <v>4.4000000000000004</v>
      </c>
      <c r="F72" s="11">
        <v>47437</v>
      </c>
      <c r="H72" s="12">
        <f>(PrincipalesVariables[[#This Row],[Base monetaria]]-C71)/C71</f>
        <v>-1.5472802703668683E-3</v>
      </c>
      <c r="I72" s="12">
        <f>(PrincipalesVariables[[#This Row],[Dólar  mayorista]]-E71)/E71</f>
        <v>2.2779043280183771E-3</v>
      </c>
      <c r="J72" s="12">
        <f>(PrincipalesVariables[[#This Row],[Reservas internacionales]]-F71)/F71</f>
        <v>-6.9517590056878027E-4</v>
      </c>
    </row>
    <row r="73" spans="1:10" ht="15.75" thickBot="1" x14ac:dyDescent="0.3">
      <c r="A73" s="14">
        <v>41018</v>
      </c>
      <c r="B73" s="15">
        <v>41018</v>
      </c>
      <c r="C73" s="16">
        <v>219849</v>
      </c>
      <c r="D73" s="10">
        <f>PrincipalesVariables[[#This Row],[Base monetaria]]/1000000</f>
        <v>0.21984899999999999</v>
      </c>
      <c r="E73" s="10">
        <v>4.4000000000000004</v>
      </c>
      <c r="F73" s="11">
        <v>47443</v>
      </c>
      <c r="H73" s="12">
        <f>(PrincipalesVariables[[#This Row],[Base monetaria]]-C72)/C72</f>
        <v>-3.8152892505811291E-3</v>
      </c>
      <c r="I73" s="12">
        <f>(PrincipalesVariables[[#This Row],[Dólar  mayorista]]-E72)/E72</f>
        <v>0</v>
      </c>
      <c r="J73" s="12">
        <f>(PrincipalesVariables[[#This Row],[Reservas internacionales]]-F72)/F72</f>
        <v>1.2648354659864662E-4</v>
      </c>
    </row>
    <row r="74" spans="1:10" ht="15.75" thickBot="1" x14ac:dyDescent="0.3">
      <c r="A74" s="14">
        <v>41019</v>
      </c>
      <c r="B74" s="15">
        <v>41019</v>
      </c>
      <c r="C74" s="16">
        <v>214694</v>
      </c>
      <c r="D74" s="10">
        <f>PrincipalesVariables[[#This Row],[Base monetaria]]/1000000</f>
        <v>0.214694</v>
      </c>
      <c r="E74" s="10">
        <v>4.41</v>
      </c>
      <c r="F74" s="11">
        <v>47472</v>
      </c>
      <c r="H74" s="12">
        <f>(PrincipalesVariables[[#This Row],[Base monetaria]]-C73)/C73</f>
        <v>-2.3447911975947127E-2</v>
      </c>
      <c r="I74" s="12">
        <f>(PrincipalesVariables[[#This Row],[Dólar  mayorista]]-E73)/E73</f>
        <v>2.272727272727224E-3</v>
      </c>
      <c r="J74" s="12">
        <f>(PrincipalesVariables[[#This Row],[Reservas internacionales]]-F73)/F73</f>
        <v>6.1125982758257274E-4</v>
      </c>
    </row>
    <row r="75" spans="1:10" ht="15.75" thickBot="1" x14ac:dyDescent="0.3">
      <c r="A75" s="14">
        <v>41022</v>
      </c>
      <c r="B75" s="15">
        <v>41022</v>
      </c>
      <c r="C75" s="16">
        <v>214245</v>
      </c>
      <c r="D75" s="10">
        <f>PrincipalesVariables[[#This Row],[Base monetaria]]/1000000</f>
        <v>0.21424499999999999</v>
      </c>
      <c r="E75" s="10">
        <v>4.41</v>
      </c>
      <c r="F75" s="11">
        <v>47518</v>
      </c>
      <c r="H75" s="12">
        <f>(PrincipalesVariables[[#This Row],[Base monetaria]]-C74)/C74</f>
        <v>-2.0913486171015494E-3</v>
      </c>
      <c r="I75" s="12">
        <f>(PrincipalesVariables[[#This Row],[Dólar  mayorista]]-E74)/E74</f>
        <v>0</v>
      </c>
      <c r="J75" s="12">
        <f>(PrincipalesVariables[[#This Row],[Reservas internacionales]]-F74)/F74</f>
        <v>9.6899224806201549E-4</v>
      </c>
    </row>
    <row r="76" spans="1:10" ht="15.75" thickBot="1" x14ac:dyDescent="0.3">
      <c r="A76" s="14">
        <v>41023</v>
      </c>
      <c r="B76" s="15">
        <v>41023</v>
      </c>
      <c r="C76" s="16">
        <v>212937</v>
      </c>
      <c r="D76" s="10">
        <f>PrincipalesVariables[[#This Row],[Base monetaria]]/1000000</f>
        <v>0.21293699999999999</v>
      </c>
      <c r="E76" s="10">
        <v>4.41</v>
      </c>
      <c r="F76" s="11">
        <v>47627</v>
      </c>
      <c r="H76" s="12">
        <f>(PrincipalesVariables[[#This Row],[Base monetaria]]-C75)/C75</f>
        <v>-6.1051599803962752E-3</v>
      </c>
      <c r="I76" s="12">
        <f>(PrincipalesVariables[[#This Row],[Dólar  mayorista]]-E75)/E75</f>
        <v>0</v>
      </c>
      <c r="J76" s="12">
        <f>(PrincipalesVariables[[#This Row],[Reservas internacionales]]-F75)/F75</f>
        <v>2.2938675870196558E-3</v>
      </c>
    </row>
    <row r="77" spans="1:10" ht="15.75" thickBot="1" x14ac:dyDescent="0.3">
      <c r="A77" s="14">
        <v>41024</v>
      </c>
      <c r="B77" s="15">
        <v>41024</v>
      </c>
      <c r="C77" s="16">
        <v>222195</v>
      </c>
      <c r="D77" s="10">
        <f>PrincipalesVariables[[#This Row],[Base monetaria]]/1000000</f>
        <v>0.222195</v>
      </c>
      <c r="E77" s="10">
        <v>4.41</v>
      </c>
      <c r="F77" s="11">
        <v>47644</v>
      </c>
      <c r="H77" s="12">
        <f>(PrincipalesVariables[[#This Row],[Base monetaria]]-C76)/C76</f>
        <v>4.3477648318516741E-2</v>
      </c>
      <c r="I77" s="12">
        <f>(PrincipalesVariables[[#This Row],[Dólar  mayorista]]-E76)/E76</f>
        <v>0</v>
      </c>
      <c r="J77" s="12">
        <f>(PrincipalesVariables[[#This Row],[Reservas internacionales]]-F76)/F76</f>
        <v>3.5694039095471059E-4</v>
      </c>
    </row>
    <row r="78" spans="1:10" ht="15.75" thickBot="1" x14ac:dyDescent="0.3">
      <c r="A78" s="14">
        <v>41025</v>
      </c>
      <c r="B78" s="15">
        <v>41025</v>
      </c>
      <c r="C78" s="16">
        <v>222794</v>
      </c>
      <c r="D78" s="10">
        <f>PrincipalesVariables[[#This Row],[Base monetaria]]/1000000</f>
        <v>0.22279399999999999</v>
      </c>
      <c r="E78" s="10">
        <v>4.41</v>
      </c>
      <c r="F78" s="11">
        <v>47715</v>
      </c>
      <c r="H78" s="12">
        <f>(PrincipalesVariables[[#This Row],[Base monetaria]]-C77)/C77</f>
        <v>2.6958302392043024E-3</v>
      </c>
      <c r="I78" s="12">
        <f>(PrincipalesVariables[[#This Row],[Dólar  mayorista]]-E77)/E77</f>
        <v>0</v>
      </c>
      <c r="J78" s="12">
        <f>(PrincipalesVariables[[#This Row],[Reservas internacionales]]-F77)/F77</f>
        <v>1.4902191251784066E-3</v>
      </c>
    </row>
    <row r="79" spans="1:10" ht="15.75" thickBot="1" x14ac:dyDescent="0.3">
      <c r="A79" s="14">
        <v>41026</v>
      </c>
      <c r="B79" s="15">
        <v>41026</v>
      </c>
      <c r="C79" s="16">
        <v>222914</v>
      </c>
      <c r="D79" s="10">
        <f>PrincipalesVariables[[#This Row],[Base monetaria]]/1000000</f>
        <v>0.222914</v>
      </c>
      <c r="E79" s="10">
        <v>4.41</v>
      </c>
      <c r="F79" s="11">
        <v>47844</v>
      </c>
      <c r="H79" s="12">
        <f>(PrincipalesVariables[[#This Row],[Base monetaria]]-C78)/C78</f>
        <v>5.3861414580284926E-4</v>
      </c>
      <c r="I79" s="12">
        <f>(PrincipalesVariables[[#This Row],[Dólar  mayorista]]-E78)/E78</f>
        <v>0</v>
      </c>
      <c r="J79" s="12">
        <f>(PrincipalesVariables[[#This Row],[Reservas internacionales]]-F78)/F78</f>
        <v>2.7035523420308079E-3</v>
      </c>
    </row>
    <row r="80" spans="1:10" ht="15.75" thickBot="1" x14ac:dyDescent="0.3">
      <c r="A80" s="14">
        <v>41031</v>
      </c>
      <c r="B80" s="15">
        <v>41031</v>
      </c>
      <c r="C80" s="16">
        <v>229851</v>
      </c>
      <c r="D80" s="10">
        <f>PrincipalesVariables[[#This Row],[Base monetaria]]/1000000</f>
        <v>0.229851</v>
      </c>
      <c r="E80" s="10">
        <v>4.42</v>
      </c>
      <c r="F80" s="11">
        <v>47553</v>
      </c>
      <c r="H80" s="12">
        <f>(PrincipalesVariables[[#This Row],[Base monetaria]]-C79)/C79</f>
        <v>3.1119624608593448E-2</v>
      </c>
      <c r="I80" s="12">
        <f>(PrincipalesVariables[[#This Row],[Dólar  mayorista]]-E79)/E79</f>
        <v>2.2675736961450762E-3</v>
      </c>
      <c r="J80" s="12">
        <f>(PrincipalesVariables[[#This Row],[Reservas internacionales]]-F79)/F79</f>
        <v>-6.0822673689490845E-3</v>
      </c>
    </row>
    <row r="81" spans="1:10" ht="15.75" thickBot="1" x14ac:dyDescent="0.3">
      <c r="A81" s="14">
        <v>41032</v>
      </c>
      <c r="B81" s="15">
        <v>41032</v>
      </c>
      <c r="C81" s="16">
        <v>222940</v>
      </c>
      <c r="D81" s="10">
        <f>PrincipalesVariables[[#This Row],[Base monetaria]]/1000000</f>
        <v>0.22294</v>
      </c>
      <c r="E81" s="10">
        <v>4.43</v>
      </c>
      <c r="F81" s="11">
        <v>47492</v>
      </c>
      <c r="H81" s="12">
        <f>(PrincipalesVariables[[#This Row],[Base monetaria]]-C80)/C80</f>
        <v>-3.0067304471157401E-2</v>
      </c>
      <c r="I81" s="12">
        <f>(PrincipalesVariables[[#This Row],[Dólar  mayorista]]-E80)/E80</f>
        <v>2.2624434389139788E-3</v>
      </c>
      <c r="J81" s="12">
        <f>(PrincipalesVariables[[#This Row],[Reservas internacionales]]-F80)/F80</f>
        <v>-1.2827792147708872E-3</v>
      </c>
    </row>
    <row r="82" spans="1:10" ht="15.75" thickBot="1" x14ac:dyDescent="0.3">
      <c r="A82" s="14">
        <v>41033</v>
      </c>
      <c r="B82" s="15">
        <v>41033</v>
      </c>
      <c r="C82" s="16">
        <v>222245</v>
      </c>
      <c r="D82" s="10">
        <f>PrincipalesVariables[[#This Row],[Base monetaria]]/1000000</f>
        <v>0.222245</v>
      </c>
      <c r="E82" s="10">
        <v>4.43</v>
      </c>
      <c r="F82" s="11">
        <v>47593</v>
      </c>
      <c r="H82" s="12">
        <f>(PrincipalesVariables[[#This Row],[Base monetaria]]-C81)/C81</f>
        <v>-3.117430698842738E-3</v>
      </c>
      <c r="I82" s="12">
        <f>(PrincipalesVariables[[#This Row],[Dólar  mayorista]]-E81)/E81</f>
        <v>0</v>
      </c>
      <c r="J82" s="12">
        <f>(PrincipalesVariables[[#This Row],[Reservas internacionales]]-F81)/F81</f>
        <v>2.1266739661416662E-3</v>
      </c>
    </row>
    <row r="83" spans="1:10" ht="15.75" thickBot="1" x14ac:dyDescent="0.3">
      <c r="A83" s="14">
        <v>41036</v>
      </c>
      <c r="B83" s="15">
        <v>41036</v>
      </c>
      <c r="C83" s="16">
        <v>220770</v>
      </c>
      <c r="D83" s="10">
        <f>PrincipalesVariables[[#This Row],[Base monetaria]]/1000000</f>
        <v>0.22076999999999999</v>
      </c>
      <c r="E83" s="10">
        <v>4.43</v>
      </c>
      <c r="F83" s="11">
        <v>47587</v>
      </c>
      <c r="H83" s="12">
        <f>(PrincipalesVariables[[#This Row],[Base monetaria]]-C82)/C82</f>
        <v>-6.6368197259780871E-3</v>
      </c>
      <c r="I83" s="12">
        <f>(PrincipalesVariables[[#This Row],[Dólar  mayorista]]-E82)/E82</f>
        <v>0</v>
      </c>
      <c r="J83" s="12">
        <f>(PrincipalesVariables[[#This Row],[Reservas internacionales]]-F82)/F82</f>
        <v>-1.2606895972096737E-4</v>
      </c>
    </row>
    <row r="84" spans="1:10" ht="15.75" thickBot="1" x14ac:dyDescent="0.3">
      <c r="A84" s="14">
        <v>41037</v>
      </c>
      <c r="B84" s="15">
        <v>41037</v>
      </c>
      <c r="C84" s="16">
        <v>220130</v>
      </c>
      <c r="D84" s="10">
        <f>PrincipalesVariables[[#This Row],[Base monetaria]]/1000000</f>
        <v>0.22012999999999999</v>
      </c>
      <c r="E84" s="10">
        <v>4.4400000000000004</v>
      </c>
      <c r="F84" s="11">
        <v>47458</v>
      </c>
      <c r="H84" s="12">
        <f>(PrincipalesVariables[[#This Row],[Base monetaria]]-C83)/C83</f>
        <v>-2.8989446029804773E-3</v>
      </c>
      <c r="I84" s="12">
        <f>(PrincipalesVariables[[#This Row],[Dólar  mayorista]]-E83)/E83</f>
        <v>2.2573363431152766E-3</v>
      </c>
      <c r="J84" s="12">
        <f>(PrincipalesVariables[[#This Row],[Reservas internacionales]]-F83)/F83</f>
        <v>-2.7108243848109779E-3</v>
      </c>
    </row>
    <row r="85" spans="1:10" ht="15.75" thickBot="1" x14ac:dyDescent="0.3">
      <c r="A85" s="14">
        <v>41038</v>
      </c>
      <c r="B85" s="15">
        <v>41038</v>
      </c>
      <c r="C85" s="16">
        <v>220611</v>
      </c>
      <c r="D85" s="10">
        <f>PrincipalesVariables[[#This Row],[Base monetaria]]/1000000</f>
        <v>0.220611</v>
      </c>
      <c r="E85" s="10">
        <v>4.4400000000000004</v>
      </c>
      <c r="F85" s="11">
        <v>47425</v>
      </c>
      <c r="H85" s="12">
        <f>(PrincipalesVariables[[#This Row],[Base monetaria]]-C84)/C84</f>
        <v>2.1850724571843912E-3</v>
      </c>
      <c r="I85" s="12">
        <f>(PrincipalesVariables[[#This Row],[Dólar  mayorista]]-E84)/E84</f>
        <v>0</v>
      </c>
      <c r="J85" s="12">
        <f>(PrincipalesVariables[[#This Row],[Reservas internacionales]]-F84)/F84</f>
        <v>-6.9535167937966199E-4</v>
      </c>
    </row>
    <row r="86" spans="1:10" ht="15.75" thickBot="1" x14ac:dyDescent="0.3">
      <c r="A86" s="14">
        <v>41039</v>
      </c>
      <c r="B86" s="15">
        <v>41039</v>
      </c>
      <c r="C86" s="16">
        <v>222839</v>
      </c>
      <c r="D86" s="10">
        <f>PrincipalesVariables[[#This Row],[Base monetaria]]/1000000</f>
        <v>0.22283900000000001</v>
      </c>
      <c r="E86" s="10">
        <v>4.4400000000000004</v>
      </c>
      <c r="F86" s="11">
        <v>47532</v>
      </c>
      <c r="H86" s="12">
        <f>(PrincipalesVariables[[#This Row],[Base monetaria]]-C85)/C85</f>
        <v>1.0099224426705831E-2</v>
      </c>
      <c r="I86" s="12">
        <f>(PrincipalesVariables[[#This Row],[Dólar  mayorista]]-E85)/E85</f>
        <v>0</v>
      </c>
      <c r="J86" s="12">
        <f>(PrincipalesVariables[[#This Row],[Reservas internacionales]]-F85)/F85</f>
        <v>2.2561939905113336E-3</v>
      </c>
    </row>
    <row r="87" spans="1:10" ht="15.75" thickBot="1" x14ac:dyDescent="0.3">
      <c r="A87" s="14">
        <v>41040</v>
      </c>
      <c r="B87" s="15">
        <v>41040</v>
      </c>
      <c r="C87" s="16">
        <v>222797</v>
      </c>
      <c r="D87" s="10">
        <f>PrincipalesVariables[[#This Row],[Base monetaria]]/1000000</f>
        <v>0.222797</v>
      </c>
      <c r="E87" s="10">
        <v>4.4400000000000004</v>
      </c>
      <c r="F87" s="11">
        <v>47643</v>
      </c>
      <c r="H87" s="12">
        <f>(PrincipalesVariables[[#This Row],[Base monetaria]]-C86)/C86</f>
        <v>-1.8847688241286311E-4</v>
      </c>
      <c r="I87" s="12">
        <f>(PrincipalesVariables[[#This Row],[Dólar  mayorista]]-E86)/E86</f>
        <v>0</v>
      </c>
      <c r="J87" s="12">
        <f>(PrincipalesVariables[[#This Row],[Reservas internacionales]]-F86)/F86</f>
        <v>2.3352688714970969E-3</v>
      </c>
    </row>
    <row r="88" spans="1:10" ht="15.75" thickBot="1" x14ac:dyDescent="0.3">
      <c r="A88" s="14">
        <v>41043</v>
      </c>
      <c r="B88" s="15">
        <v>41043</v>
      </c>
      <c r="C88" s="16">
        <v>222302</v>
      </c>
      <c r="D88" s="10">
        <f>PrincipalesVariables[[#This Row],[Base monetaria]]/1000000</f>
        <v>0.222302</v>
      </c>
      <c r="E88" s="10">
        <v>4.4400000000000004</v>
      </c>
      <c r="F88" s="11">
        <v>47515</v>
      </c>
      <c r="H88" s="12">
        <f>(PrincipalesVariables[[#This Row],[Base monetaria]]-C87)/C87</f>
        <v>-2.2217534347410421E-3</v>
      </c>
      <c r="I88" s="12">
        <f>(PrincipalesVariables[[#This Row],[Dólar  mayorista]]-E87)/E87</f>
        <v>0</v>
      </c>
      <c r="J88" s="12">
        <f>(PrincipalesVariables[[#This Row],[Reservas internacionales]]-F87)/F87</f>
        <v>-2.6866486157462797E-3</v>
      </c>
    </row>
    <row r="89" spans="1:10" ht="15.75" thickBot="1" x14ac:dyDescent="0.3">
      <c r="A89" s="14">
        <v>41044</v>
      </c>
      <c r="B89" s="15">
        <v>41044</v>
      </c>
      <c r="C89" s="16">
        <v>221888</v>
      </c>
      <c r="D89" s="10">
        <f>PrincipalesVariables[[#This Row],[Base monetaria]]/1000000</f>
        <v>0.221888</v>
      </c>
      <c r="E89" s="10">
        <v>4.4400000000000004</v>
      </c>
      <c r="F89" s="11">
        <v>47589</v>
      </c>
      <c r="H89" s="12">
        <f>(PrincipalesVariables[[#This Row],[Base monetaria]]-C88)/C88</f>
        <v>-1.8623314230191361E-3</v>
      </c>
      <c r="I89" s="12">
        <f>(PrincipalesVariables[[#This Row],[Dólar  mayorista]]-E88)/E88</f>
        <v>0</v>
      </c>
      <c r="J89" s="12">
        <f>(PrincipalesVariables[[#This Row],[Reservas internacionales]]-F88)/F88</f>
        <v>1.5574029253919814E-3</v>
      </c>
    </row>
    <row r="90" spans="1:10" ht="15.75" thickBot="1" x14ac:dyDescent="0.3">
      <c r="A90" s="14">
        <v>41045</v>
      </c>
      <c r="B90" s="15">
        <v>41045</v>
      </c>
      <c r="C90" s="16">
        <v>221841</v>
      </c>
      <c r="D90" s="10">
        <f>PrincipalesVariables[[#This Row],[Base monetaria]]/1000000</f>
        <v>0.22184100000000001</v>
      </c>
      <c r="E90" s="10">
        <v>4.4400000000000004</v>
      </c>
      <c r="F90" s="11">
        <v>47648</v>
      </c>
      <c r="H90" s="12">
        <f>(PrincipalesVariables[[#This Row],[Base monetaria]]-C89)/C89</f>
        <v>-2.1181857513700606E-4</v>
      </c>
      <c r="I90" s="12">
        <f>(PrincipalesVariables[[#This Row],[Dólar  mayorista]]-E89)/E89</f>
        <v>0</v>
      </c>
      <c r="J90" s="12">
        <f>(PrincipalesVariables[[#This Row],[Reservas internacionales]]-F89)/F89</f>
        <v>1.2397823026329615E-3</v>
      </c>
    </row>
    <row r="91" spans="1:10" ht="15.75" thickBot="1" x14ac:dyDescent="0.3">
      <c r="A91" s="14">
        <v>41046</v>
      </c>
      <c r="B91" s="15">
        <v>41046</v>
      </c>
      <c r="C91" s="16">
        <v>225934</v>
      </c>
      <c r="D91" s="10">
        <f>PrincipalesVariables[[#This Row],[Base monetaria]]/1000000</f>
        <v>0.225934</v>
      </c>
      <c r="E91" s="10">
        <v>4.45</v>
      </c>
      <c r="F91" s="11">
        <v>47645</v>
      </c>
      <c r="H91" s="12">
        <f>(PrincipalesVariables[[#This Row],[Base monetaria]]-C90)/C90</f>
        <v>1.8450151234442685E-2</v>
      </c>
      <c r="I91" s="12">
        <f>(PrincipalesVariables[[#This Row],[Dólar  mayorista]]-E90)/E90</f>
        <v>2.2522522522522041E-3</v>
      </c>
      <c r="J91" s="12">
        <f>(PrincipalesVariables[[#This Row],[Reservas internacionales]]-F90)/F90</f>
        <v>-6.296171927468099E-5</v>
      </c>
    </row>
    <row r="92" spans="1:10" ht="15.75" thickBot="1" x14ac:dyDescent="0.3">
      <c r="A92" s="14">
        <v>41047</v>
      </c>
      <c r="B92" s="15">
        <v>41047</v>
      </c>
      <c r="C92" s="16">
        <v>228321</v>
      </c>
      <c r="D92" s="10">
        <f>PrincipalesVariables[[#This Row],[Base monetaria]]/1000000</f>
        <v>0.228321</v>
      </c>
      <c r="E92" s="10">
        <v>4.45</v>
      </c>
      <c r="F92" s="11">
        <v>47589</v>
      </c>
      <c r="H92" s="12">
        <f>(PrincipalesVariables[[#This Row],[Base monetaria]]-C91)/C91</f>
        <v>1.0565032266060001E-2</v>
      </c>
      <c r="I92" s="12">
        <f>(PrincipalesVariables[[#This Row],[Dólar  mayorista]]-E91)/E91</f>
        <v>0</v>
      </c>
      <c r="J92" s="12">
        <f>(PrincipalesVariables[[#This Row],[Reservas internacionales]]-F91)/F91</f>
        <v>-1.1753594291111344E-3</v>
      </c>
    </row>
    <row r="93" spans="1:10" ht="15.75" thickBot="1" x14ac:dyDescent="0.3">
      <c r="A93" s="14">
        <v>41050</v>
      </c>
      <c r="B93" s="15">
        <v>41050</v>
      </c>
      <c r="C93" s="16">
        <v>223537</v>
      </c>
      <c r="D93" s="10">
        <f>PrincipalesVariables[[#This Row],[Base monetaria]]/1000000</f>
        <v>0.22353700000000001</v>
      </c>
      <c r="E93" s="10">
        <v>4.46</v>
      </c>
      <c r="F93" s="11">
        <v>47484</v>
      </c>
      <c r="H93" s="12">
        <f>(PrincipalesVariables[[#This Row],[Base monetaria]]-C92)/C92</f>
        <v>-2.095295658305631E-2</v>
      </c>
      <c r="I93" s="12">
        <f>(PrincipalesVariables[[#This Row],[Dólar  mayorista]]-E92)/E92</f>
        <v>2.2471910112359071E-3</v>
      </c>
      <c r="J93" s="12">
        <f>(PrincipalesVariables[[#This Row],[Reservas internacionales]]-F92)/F92</f>
        <v>-2.2063922334993381E-3</v>
      </c>
    </row>
    <row r="94" spans="1:10" ht="15.75" thickBot="1" x14ac:dyDescent="0.3">
      <c r="A94" s="14">
        <v>41051</v>
      </c>
      <c r="B94" s="15">
        <v>41051</v>
      </c>
      <c r="C94" s="16">
        <v>223659</v>
      </c>
      <c r="D94" s="10">
        <f>PrincipalesVariables[[#This Row],[Base monetaria]]/1000000</f>
        <v>0.223659</v>
      </c>
      <c r="E94" s="10">
        <v>4.47</v>
      </c>
      <c r="F94" s="11">
        <v>47302</v>
      </c>
      <c r="H94" s="12">
        <f>(PrincipalesVariables[[#This Row],[Base monetaria]]-C93)/C93</f>
        <v>5.4577094619682651E-4</v>
      </c>
      <c r="I94" s="12">
        <f>(PrincipalesVariables[[#This Row],[Dólar  mayorista]]-E93)/E93</f>
        <v>2.2421524663676653E-3</v>
      </c>
      <c r="J94" s="12">
        <f>(PrincipalesVariables[[#This Row],[Reservas internacionales]]-F93)/F93</f>
        <v>-3.8328700193749473E-3</v>
      </c>
    </row>
    <row r="95" spans="1:10" ht="15.75" thickBot="1" x14ac:dyDescent="0.3">
      <c r="A95" s="14">
        <v>41052</v>
      </c>
      <c r="B95" s="15">
        <v>41052</v>
      </c>
      <c r="C95" s="16">
        <v>224041</v>
      </c>
      <c r="D95" s="10">
        <f>PrincipalesVariables[[#This Row],[Base monetaria]]/1000000</f>
        <v>0.22404099999999999</v>
      </c>
      <c r="E95" s="10">
        <v>4.47</v>
      </c>
      <c r="F95" s="11">
        <v>47171</v>
      </c>
      <c r="H95" s="12">
        <f>(PrincipalesVariables[[#This Row],[Base monetaria]]-C94)/C94</f>
        <v>1.707957202705905E-3</v>
      </c>
      <c r="I95" s="12">
        <f>(PrincipalesVariables[[#This Row],[Dólar  mayorista]]-E94)/E94</f>
        <v>0</v>
      </c>
      <c r="J95" s="12">
        <f>(PrincipalesVariables[[#This Row],[Reservas internacionales]]-F94)/F94</f>
        <v>-2.769438924358378E-3</v>
      </c>
    </row>
    <row r="96" spans="1:10" ht="15.75" thickBot="1" x14ac:dyDescent="0.3">
      <c r="A96" s="14">
        <v>41053</v>
      </c>
      <c r="B96" s="15">
        <v>41053</v>
      </c>
      <c r="C96" s="16">
        <v>223429</v>
      </c>
      <c r="D96" s="10">
        <f>PrincipalesVariables[[#This Row],[Base monetaria]]/1000000</f>
        <v>0.22342899999999999</v>
      </c>
      <c r="E96" s="10">
        <v>4.47</v>
      </c>
      <c r="F96" s="11">
        <v>47154</v>
      </c>
      <c r="H96" s="12">
        <f>(PrincipalesVariables[[#This Row],[Base monetaria]]-C95)/C95</f>
        <v>-2.7316428689391674E-3</v>
      </c>
      <c r="I96" s="12">
        <f>(PrincipalesVariables[[#This Row],[Dólar  mayorista]]-E95)/E95</f>
        <v>0</v>
      </c>
      <c r="J96" s="12">
        <f>(PrincipalesVariables[[#This Row],[Reservas internacionales]]-F95)/F95</f>
        <v>-3.6039091814886264E-4</v>
      </c>
    </row>
    <row r="97" spans="1:10" ht="15.75" thickBot="1" x14ac:dyDescent="0.3">
      <c r="A97" s="14">
        <v>41057</v>
      </c>
      <c r="B97" s="15">
        <v>41057</v>
      </c>
      <c r="C97" s="16">
        <v>224929</v>
      </c>
      <c r="D97" s="10">
        <f>PrincipalesVariables[[#This Row],[Base monetaria]]/1000000</f>
        <v>0.22492899999999999</v>
      </c>
      <c r="E97" s="10">
        <v>4.4800000000000004</v>
      </c>
      <c r="F97" s="11">
        <v>47157</v>
      </c>
      <c r="H97" s="12">
        <f>(PrincipalesVariables[[#This Row],[Base monetaria]]-C96)/C96</f>
        <v>6.7135421095739587E-3</v>
      </c>
      <c r="I97" s="12">
        <f>(PrincipalesVariables[[#This Row],[Dólar  mayorista]]-E96)/E96</f>
        <v>2.2371364653245361E-3</v>
      </c>
      <c r="J97" s="12">
        <f>(PrincipalesVariables[[#This Row],[Reservas internacionales]]-F96)/F96</f>
        <v>6.3621325868431095E-5</v>
      </c>
    </row>
    <row r="98" spans="1:10" ht="15.75" thickBot="1" x14ac:dyDescent="0.3">
      <c r="A98" s="14">
        <v>41058</v>
      </c>
      <c r="B98" s="15">
        <v>41058</v>
      </c>
      <c r="C98" s="16">
        <v>222549</v>
      </c>
      <c r="D98" s="10">
        <f>PrincipalesVariables[[#This Row],[Base monetaria]]/1000000</f>
        <v>0.222549</v>
      </c>
      <c r="E98" s="10">
        <v>4.47</v>
      </c>
      <c r="F98" s="11">
        <v>47086</v>
      </c>
      <c r="H98" s="12">
        <f>(PrincipalesVariables[[#This Row],[Base monetaria]]-C97)/C97</f>
        <v>-1.058111670793895E-2</v>
      </c>
      <c r="I98" s="12">
        <f>(PrincipalesVariables[[#This Row],[Dólar  mayorista]]-E97)/E97</f>
        <v>-2.2321428571430075E-3</v>
      </c>
      <c r="J98" s="12">
        <f>(PrincipalesVariables[[#This Row],[Reservas internacionales]]-F97)/F97</f>
        <v>-1.505608923383591E-3</v>
      </c>
    </row>
    <row r="99" spans="1:10" ht="15.75" thickBot="1" x14ac:dyDescent="0.3">
      <c r="A99" s="14">
        <v>41059</v>
      </c>
      <c r="B99" s="15">
        <v>41059</v>
      </c>
      <c r="C99" s="16">
        <v>227105</v>
      </c>
      <c r="D99" s="10">
        <f>PrincipalesVariables[[#This Row],[Base monetaria]]/1000000</f>
        <v>0.227105</v>
      </c>
      <c r="E99" s="10">
        <v>4.47</v>
      </c>
      <c r="F99" s="11">
        <v>46952</v>
      </c>
      <c r="H99" s="12">
        <f>(PrincipalesVariables[[#This Row],[Base monetaria]]-C98)/C98</f>
        <v>2.0471896076819037E-2</v>
      </c>
      <c r="I99" s="12">
        <f>(PrincipalesVariables[[#This Row],[Dólar  mayorista]]-E98)/E98</f>
        <v>0</v>
      </c>
      <c r="J99" s="12">
        <f>(PrincipalesVariables[[#This Row],[Reservas internacionales]]-F98)/F98</f>
        <v>-2.8458565178609355E-3</v>
      </c>
    </row>
    <row r="100" spans="1:10" ht="15.75" thickBot="1" x14ac:dyDescent="0.3">
      <c r="A100" s="14">
        <v>41060</v>
      </c>
      <c r="B100" s="15">
        <v>41060</v>
      </c>
      <c r="C100" s="16">
        <v>225512</v>
      </c>
      <c r="D100" s="10">
        <f>PrincipalesVariables[[#This Row],[Base monetaria]]/1000000</f>
        <v>0.22551199999999999</v>
      </c>
      <c r="E100" s="10">
        <v>4.47</v>
      </c>
      <c r="F100" s="11">
        <v>46978</v>
      </c>
      <c r="H100" s="12">
        <f>(PrincipalesVariables[[#This Row],[Base monetaria]]-C99)/C99</f>
        <v>-7.014376609938134E-3</v>
      </c>
      <c r="I100" s="12">
        <f>(PrincipalesVariables[[#This Row],[Dólar  mayorista]]-E99)/E99</f>
        <v>0</v>
      </c>
      <c r="J100" s="12">
        <f>(PrincipalesVariables[[#This Row],[Reservas internacionales]]-F99)/F99</f>
        <v>5.5375702845459197E-4</v>
      </c>
    </row>
    <row r="101" spans="1:10" ht="15.75" thickBot="1" x14ac:dyDescent="0.3">
      <c r="A101" s="14">
        <v>41061</v>
      </c>
      <c r="B101" s="15">
        <v>41061</v>
      </c>
      <c r="C101" s="16">
        <v>233103</v>
      </c>
      <c r="D101" s="10">
        <f>PrincipalesVariables[[#This Row],[Base monetaria]]/1000000</f>
        <v>0.233103</v>
      </c>
      <c r="E101" s="10">
        <v>4.47</v>
      </c>
      <c r="F101" s="11">
        <v>47111</v>
      </c>
      <c r="H101" s="12">
        <f>(PrincipalesVariables[[#This Row],[Base monetaria]]-C100)/C100</f>
        <v>3.366117989286601E-2</v>
      </c>
      <c r="I101" s="12">
        <f>(PrincipalesVariables[[#This Row],[Dólar  mayorista]]-E100)/E100</f>
        <v>0</v>
      </c>
      <c r="J101" s="12">
        <f>(PrincipalesVariables[[#This Row],[Reservas internacionales]]-F100)/F100</f>
        <v>2.831112435608157E-3</v>
      </c>
    </row>
    <row r="102" spans="1:10" ht="15.75" thickBot="1" x14ac:dyDescent="0.3">
      <c r="A102" s="14">
        <v>41064</v>
      </c>
      <c r="B102" s="15">
        <v>41064</v>
      </c>
      <c r="C102" s="16">
        <v>232186</v>
      </c>
      <c r="D102" s="10">
        <f>PrincipalesVariables[[#This Row],[Base monetaria]]/1000000</f>
        <v>0.232186</v>
      </c>
      <c r="E102" s="10">
        <v>4.47</v>
      </c>
      <c r="F102" s="11">
        <v>47037</v>
      </c>
      <c r="H102" s="12">
        <f>(PrincipalesVariables[[#This Row],[Base monetaria]]-C101)/C101</f>
        <v>-3.9338833048051716E-3</v>
      </c>
      <c r="I102" s="12">
        <f>(PrincipalesVariables[[#This Row],[Dólar  mayorista]]-E101)/E101</f>
        <v>0</v>
      </c>
      <c r="J102" s="12">
        <f>(PrincipalesVariables[[#This Row],[Reservas internacionales]]-F101)/F101</f>
        <v>-1.5707584216000509E-3</v>
      </c>
    </row>
    <row r="103" spans="1:10" ht="15.75" thickBot="1" x14ac:dyDescent="0.3">
      <c r="A103" s="14">
        <v>41065</v>
      </c>
      <c r="B103" s="15">
        <v>41065</v>
      </c>
      <c r="C103" s="16">
        <v>233544</v>
      </c>
      <c r="D103" s="10">
        <f>PrincipalesVariables[[#This Row],[Base monetaria]]/1000000</f>
        <v>0.233544</v>
      </c>
      <c r="E103" s="10">
        <v>4.4800000000000004</v>
      </c>
      <c r="F103" s="11">
        <v>46886</v>
      </c>
      <c r="H103" s="12">
        <f>(PrincipalesVariables[[#This Row],[Base monetaria]]-C102)/C102</f>
        <v>5.8487591844469519E-3</v>
      </c>
      <c r="I103" s="12">
        <f>(PrincipalesVariables[[#This Row],[Dólar  mayorista]]-E102)/E102</f>
        <v>2.2371364653245361E-3</v>
      </c>
      <c r="J103" s="12">
        <f>(PrincipalesVariables[[#This Row],[Reservas internacionales]]-F102)/F102</f>
        <v>-3.2102387482194866E-3</v>
      </c>
    </row>
    <row r="104" spans="1:10" ht="15.75" thickBot="1" x14ac:dyDescent="0.3">
      <c r="A104" s="14">
        <v>41066</v>
      </c>
      <c r="B104" s="15">
        <v>41066</v>
      </c>
      <c r="C104" s="16">
        <v>233473</v>
      </c>
      <c r="D104" s="10">
        <f>PrincipalesVariables[[#This Row],[Base monetaria]]/1000000</f>
        <v>0.23347300000000001</v>
      </c>
      <c r="E104" s="10">
        <v>4.49</v>
      </c>
      <c r="F104" s="11">
        <v>46838</v>
      </c>
      <c r="H104" s="12">
        <f>(PrincipalesVariables[[#This Row],[Base monetaria]]-C103)/C103</f>
        <v>-3.0401123557017093E-4</v>
      </c>
      <c r="I104" s="12">
        <f>(PrincipalesVariables[[#This Row],[Dólar  mayorista]]-E103)/E103</f>
        <v>2.2321428571428093E-3</v>
      </c>
      <c r="J104" s="12">
        <f>(PrincipalesVariables[[#This Row],[Reservas internacionales]]-F103)/F103</f>
        <v>-1.0237597577101908E-3</v>
      </c>
    </row>
    <row r="105" spans="1:10" ht="15.75" thickBot="1" x14ac:dyDescent="0.3">
      <c r="A105" s="14">
        <v>41067</v>
      </c>
      <c r="B105" s="15">
        <v>41067</v>
      </c>
      <c r="C105" s="16">
        <v>234458</v>
      </c>
      <c r="D105" s="10">
        <f>PrincipalesVariables[[#This Row],[Base monetaria]]/1000000</f>
        <v>0.234458</v>
      </c>
      <c r="E105" s="10">
        <v>4.49</v>
      </c>
      <c r="F105" s="11">
        <v>46733</v>
      </c>
      <c r="H105" s="12">
        <f>(PrincipalesVariables[[#This Row],[Base monetaria]]-C104)/C104</f>
        <v>4.2189032564793356E-3</v>
      </c>
      <c r="I105" s="12">
        <f>(PrincipalesVariables[[#This Row],[Dólar  mayorista]]-E104)/E104</f>
        <v>0</v>
      </c>
      <c r="J105" s="12">
        <f>(PrincipalesVariables[[#This Row],[Reservas internacionales]]-F104)/F104</f>
        <v>-2.2417695033946795E-3</v>
      </c>
    </row>
    <row r="106" spans="1:10" ht="15.75" thickBot="1" x14ac:dyDescent="0.3">
      <c r="A106" s="14">
        <v>41068</v>
      </c>
      <c r="B106" s="15">
        <v>41068</v>
      </c>
      <c r="C106" s="16">
        <v>235559</v>
      </c>
      <c r="D106" s="10">
        <f>PrincipalesVariables[[#This Row],[Base monetaria]]/1000000</f>
        <v>0.23555899999999999</v>
      </c>
      <c r="E106" s="10">
        <v>4.49</v>
      </c>
      <c r="F106" s="11">
        <v>46737</v>
      </c>
      <c r="H106" s="12">
        <f>(PrincipalesVariables[[#This Row],[Base monetaria]]-C105)/C105</f>
        <v>4.6959370121727557E-3</v>
      </c>
      <c r="I106" s="12">
        <f>(PrincipalesVariables[[#This Row],[Dólar  mayorista]]-E105)/E105</f>
        <v>0</v>
      </c>
      <c r="J106" s="12">
        <f>(PrincipalesVariables[[#This Row],[Reservas internacionales]]-F105)/F105</f>
        <v>8.5592621915990836E-5</v>
      </c>
    </row>
    <row r="107" spans="1:10" ht="15.75" thickBot="1" x14ac:dyDescent="0.3">
      <c r="A107" s="14">
        <v>41071</v>
      </c>
      <c r="B107" s="15">
        <v>41071</v>
      </c>
      <c r="C107" s="16">
        <v>236334</v>
      </c>
      <c r="D107" s="10">
        <f>PrincipalesVariables[[#This Row],[Base monetaria]]/1000000</f>
        <v>0.23633399999999999</v>
      </c>
      <c r="E107" s="10">
        <v>4.49</v>
      </c>
      <c r="F107" s="11">
        <v>46717</v>
      </c>
      <c r="H107" s="12">
        <f>(PrincipalesVariables[[#This Row],[Base monetaria]]-C106)/C106</f>
        <v>3.290046230456064E-3</v>
      </c>
      <c r="I107" s="12">
        <f>(PrincipalesVariables[[#This Row],[Dólar  mayorista]]-E106)/E106</f>
        <v>0</v>
      </c>
      <c r="J107" s="12">
        <f>(PrincipalesVariables[[#This Row],[Reservas internacionales]]-F106)/F106</f>
        <v>-4.2792648223035284E-4</v>
      </c>
    </row>
    <row r="108" spans="1:10" ht="15.75" thickBot="1" x14ac:dyDescent="0.3">
      <c r="A108" s="14">
        <v>41072</v>
      </c>
      <c r="B108" s="15">
        <v>41072</v>
      </c>
      <c r="C108" s="16">
        <v>236094</v>
      </c>
      <c r="D108" s="10">
        <f>PrincipalesVariables[[#This Row],[Base monetaria]]/1000000</f>
        <v>0.236094</v>
      </c>
      <c r="E108" s="10">
        <v>4.49</v>
      </c>
      <c r="F108" s="11">
        <v>46687</v>
      </c>
      <c r="H108" s="12">
        <f>(PrincipalesVariables[[#This Row],[Base monetaria]]-C107)/C107</f>
        <v>-1.0155119449592525E-3</v>
      </c>
      <c r="I108" s="12">
        <f>(PrincipalesVariables[[#This Row],[Dólar  mayorista]]-E107)/E107</f>
        <v>0</v>
      </c>
      <c r="J108" s="12">
        <f>(PrincipalesVariables[[#This Row],[Reservas internacionales]]-F107)/F107</f>
        <v>-6.4216452255067751E-4</v>
      </c>
    </row>
    <row r="109" spans="1:10" ht="15.75" thickBot="1" x14ac:dyDescent="0.3">
      <c r="A109" s="14">
        <v>41073</v>
      </c>
      <c r="B109" s="15">
        <v>41073</v>
      </c>
      <c r="C109" s="16">
        <v>237580</v>
      </c>
      <c r="D109" s="10">
        <f>PrincipalesVariables[[#This Row],[Base monetaria]]/1000000</f>
        <v>0.23758000000000001</v>
      </c>
      <c r="E109" s="10">
        <v>4.49</v>
      </c>
      <c r="F109" s="11">
        <v>46637</v>
      </c>
      <c r="H109" s="12">
        <f>(PrincipalesVariables[[#This Row],[Base monetaria]]-C108)/C108</f>
        <v>6.2941031961845709E-3</v>
      </c>
      <c r="I109" s="12">
        <f>(PrincipalesVariables[[#This Row],[Dólar  mayorista]]-E108)/E108</f>
        <v>0</v>
      </c>
      <c r="J109" s="12">
        <f>(PrincipalesVariables[[#This Row],[Reservas internacionales]]-F108)/F108</f>
        <v>-1.0709619380127231E-3</v>
      </c>
    </row>
    <row r="110" spans="1:10" ht="15.75" thickBot="1" x14ac:dyDescent="0.3">
      <c r="A110" s="14">
        <v>41074</v>
      </c>
      <c r="B110" s="15">
        <v>41074</v>
      </c>
      <c r="C110" s="16">
        <v>238529</v>
      </c>
      <c r="D110" s="10">
        <f>PrincipalesVariables[[#This Row],[Base monetaria]]/1000000</f>
        <v>0.23852899999999999</v>
      </c>
      <c r="E110" s="10">
        <v>4.5</v>
      </c>
      <c r="F110" s="11">
        <v>46498</v>
      </c>
      <c r="H110" s="12">
        <f>(PrincipalesVariables[[#This Row],[Base monetaria]]-C109)/C109</f>
        <v>3.9944439767657207E-3</v>
      </c>
      <c r="I110" s="12">
        <f>(PrincipalesVariables[[#This Row],[Dólar  mayorista]]-E109)/E109</f>
        <v>2.2271714922048524E-3</v>
      </c>
      <c r="J110" s="12">
        <f>(PrincipalesVariables[[#This Row],[Reservas internacionales]]-F109)/F109</f>
        <v>-2.9804661534832857E-3</v>
      </c>
    </row>
    <row r="111" spans="1:10" ht="15.75" thickBot="1" x14ac:dyDescent="0.3">
      <c r="A111" s="14">
        <v>41075</v>
      </c>
      <c r="B111" s="15">
        <v>41075</v>
      </c>
      <c r="C111" s="16">
        <v>237254</v>
      </c>
      <c r="D111" s="10">
        <f>PrincipalesVariables[[#This Row],[Base monetaria]]/1000000</f>
        <v>0.23725399999999999</v>
      </c>
      <c r="E111" s="10">
        <v>4.5</v>
      </c>
      <c r="F111" s="11">
        <v>46504</v>
      </c>
      <c r="H111" s="12">
        <f>(PrincipalesVariables[[#This Row],[Base monetaria]]-C110)/C110</f>
        <v>-5.3452620016853298E-3</v>
      </c>
      <c r="I111" s="12">
        <f>(PrincipalesVariables[[#This Row],[Dólar  mayorista]]-E110)/E110</f>
        <v>0</v>
      </c>
      <c r="J111" s="12">
        <f>(PrincipalesVariables[[#This Row],[Reservas internacionales]]-F110)/F110</f>
        <v>1.2903780807776679E-4</v>
      </c>
    </row>
    <row r="112" spans="1:10" ht="15.75" thickBot="1" x14ac:dyDescent="0.3">
      <c r="A112" s="14">
        <v>41078</v>
      </c>
      <c r="B112" s="15">
        <v>41078</v>
      </c>
      <c r="C112" s="16">
        <v>236894</v>
      </c>
      <c r="D112" s="10">
        <f>PrincipalesVariables[[#This Row],[Base monetaria]]/1000000</f>
        <v>0.23689399999999999</v>
      </c>
      <c r="E112" s="10">
        <v>4.5</v>
      </c>
      <c r="F112" s="11">
        <v>46511</v>
      </c>
      <c r="H112" s="12">
        <f>(PrincipalesVariables[[#This Row],[Base monetaria]]-C111)/C111</f>
        <v>-1.5173611403811948E-3</v>
      </c>
      <c r="I112" s="12">
        <f>(PrincipalesVariables[[#This Row],[Dólar  mayorista]]-E111)/E111</f>
        <v>0</v>
      </c>
      <c r="J112" s="12">
        <f>(PrincipalesVariables[[#This Row],[Reservas internacionales]]-F111)/F111</f>
        <v>1.5052468604851194E-4</v>
      </c>
    </row>
    <row r="113" spans="1:10" ht="15.75" thickBot="1" x14ac:dyDescent="0.3">
      <c r="A113" s="14">
        <v>41079</v>
      </c>
      <c r="B113" s="15">
        <v>41079</v>
      </c>
      <c r="C113" s="16">
        <v>236150</v>
      </c>
      <c r="D113" s="10">
        <f>PrincipalesVariables[[#This Row],[Base monetaria]]/1000000</f>
        <v>0.23615</v>
      </c>
      <c r="E113" s="10">
        <v>4.5</v>
      </c>
      <c r="F113" s="11">
        <v>46451</v>
      </c>
      <c r="H113" s="12">
        <f>(PrincipalesVariables[[#This Row],[Base monetaria]]-C112)/C112</f>
        <v>-3.1406451830776633E-3</v>
      </c>
      <c r="I113" s="12">
        <f>(PrincipalesVariables[[#This Row],[Dólar  mayorista]]-E112)/E112</f>
        <v>0</v>
      </c>
      <c r="J113" s="12">
        <f>(PrincipalesVariables[[#This Row],[Reservas internacionales]]-F112)/F112</f>
        <v>-1.2900174152351057E-3</v>
      </c>
    </row>
    <row r="114" spans="1:10" ht="15.75" thickBot="1" x14ac:dyDescent="0.3">
      <c r="A114" s="14">
        <v>41081</v>
      </c>
      <c r="B114" s="15">
        <v>41081</v>
      </c>
      <c r="C114" s="16">
        <v>236228</v>
      </c>
      <c r="D114" s="10">
        <f>PrincipalesVariables[[#This Row],[Base monetaria]]/1000000</f>
        <v>0.23622799999999999</v>
      </c>
      <c r="E114" s="10">
        <v>4.51</v>
      </c>
      <c r="F114" s="11">
        <v>46308</v>
      </c>
      <c r="H114" s="12">
        <f>(PrincipalesVariables[[#This Row],[Base monetaria]]-C113)/C113</f>
        <v>3.3029853906415413E-4</v>
      </c>
      <c r="I114" s="12">
        <f>(PrincipalesVariables[[#This Row],[Dólar  mayorista]]-E113)/E113</f>
        <v>2.2222222222221749E-3</v>
      </c>
      <c r="J114" s="12">
        <f>(PrincipalesVariables[[#This Row],[Reservas internacionales]]-F113)/F113</f>
        <v>-3.0785128414888806E-3</v>
      </c>
    </row>
    <row r="115" spans="1:10" ht="15.75" thickBot="1" x14ac:dyDescent="0.3">
      <c r="A115" s="14">
        <v>41082</v>
      </c>
      <c r="B115" s="15">
        <v>41082</v>
      </c>
      <c r="C115" s="16">
        <v>239399</v>
      </c>
      <c r="D115" s="10">
        <f>PrincipalesVariables[[#This Row],[Base monetaria]]/1000000</f>
        <v>0.239399</v>
      </c>
      <c r="E115" s="10">
        <v>4.51</v>
      </c>
      <c r="F115" s="11">
        <v>46296</v>
      </c>
      <c r="H115" s="12">
        <f>(PrincipalesVariables[[#This Row],[Base monetaria]]-C114)/C114</f>
        <v>1.3423472238684661E-2</v>
      </c>
      <c r="I115" s="12">
        <f>(PrincipalesVariables[[#This Row],[Dólar  mayorista]]-E114)/E114</f>
        <v>0</v>
      </c>
      <c r="J115" s="12">
        <f>(PrincipalesVariables[[#This Row],[Reservas internacionales]]-F114)/F114</f>
        <v>-2.5913449080072558E-4</v>
      </c>
    </row>
    <row r="116" spans="1:10" ht="15.75" thickBot="1" x14ac:dyDescent="0.3">
      <c r="A116" s="14">
        <v>41085</v>
      </c>
      <c r="B116" s="15">
        <v>41085</v>
      </c>
      <c r="C116" s="16">
        <v>240126</v>
      </c>
      <c r="D116" s="10">
        <f>PrincipalesVariables[[#This Row],[Base monetaria]]/1000000</f>
        <v>0.24012600000000001</v>
      </c>
      <c r="E116" s="10">
        <v>4.51</v>
      </c>
      <c r="F116" s="11">
        <v>46394</v>
      </c>
      <c r="H116" s="12">
        <f>(PrincipalesVariables[[#This Row],[Base monetaria]]-C115)/C115</f>
        <v>3.0367712480002004E-3</v>
      </c>
      <c r="I116" s="12">
        <f>(PrincipalesVariables[[#This Row],[Dólar  mayorista]]-E115)/E115</f>
        <v>0</v>
      </c>
      <c r="J116" s="12">
        <f>(PrincipalesVariables[[#This Row],[Reservas internacionales]]-F115)/F115</f>
        <v>2.1168135476067047E-3</v>
      </c>
    </row>
    <row r="117" spans="1:10" ht="15.75" thickBot="1" x14ac:dyDescent="0.3">
      <c r="A117" s="14">
        <v>41086</v>
      </c>
      <c r="B117" s="15">
        <v>41086</v>
      </c>
      <c r="C117" s="16">
        <v>238446</v>
      </c>
      <c r="D117" s="10">
        <f>PrincipalesVariables[[#This Row],[Base monetaria]]/1000000</f>
        <v>0.23844599999999999</v>
      </c>
      <c r="E117" s="10">
        <v>4.5199999999999996</v>
      </c>
      <c r="F117" s="11">
        <v>46393</v>
      </c>
      <c r="H117" s="12">
        <f>(PrincipalesVariables[[#This Row],[Base monetaria]]-C116)/C116</f>
        <v>-6.9963269283626096E-3</v>
      </c>
      <c r="I117" s="12">
        <f>(PrincipalesVariables[[#This Row],[Dólar  mayorista]]-E116)/E116</f>
        <v>2.2172949002216822E-3</v>
      </c>
      <c r="J117" s="12">
        <f>(PrincipalesVariables[[#This Row],[Reservas internacionales]]-F116)/F116</f>
        <v>-2.1554511359227488E-5</v>
      </c>
    </row>
    <row r="118" spans="1:10" ht="15.75" thickBot="1" x14ac:dyDescent="0.3">
      <c r="A118" s="14">
        <v>41087</v>
      </c>
      <c r="B118" s="15">
        <v>41087</v>
      </c>
      <c r="C118" s="16">
        <v>237897</v>
      </c>
      <c r="D118" s="10">
        <f>PrincipalesVariables[[#This Row],[Base monetaria]]/1000000</f>
        <v>0.237897</v>
      </c>
      <c r="E118" s="10">
        <v>4.5199999999999996</v>
      </c>
      <c r="F118" s="11">
        <v>46453</v>
      </c>
      <c r="H118" s="12">
        <f>(PrincipalesVariables[[#This Row],[Base monetaria]]-C117)/C117</f>
        <v>-2.3024080923982788E-3</v>
      </c>
      <c r="I118" s="12">
        <f>(PrincipalesVariables[[#This Row],[Dólar  mayorista]]-E117)/E117</f>
        <v>0</v>
      </c>
      <c r="J118" s="12">
        <f>(PrincipalesVariables[[#This Row],[Reservas internacionales]]-F117)/F117</f>
        <v>1.2932985579721078E-3</v>
      </c>
    </row>
    <row r="119" spans="1:10" ht="15.75" thickBot="1" x14ac:dyDescent="0.3">
      <c r="A119" s="14">
        <v>41088</v>
      </c>
      <c r="B119" s="15">
        <v>41088</v>
      </c>
      <c r="C119" s="16">
        <v>238157</v>
      </c>
      <c r="D119" s="10">
        <f>PrincipalesVariables[[#This Row],[Base monetaria]]/1000000</f>
        <v>0.23815700000000001</v>
      </c>
      <c r="E119" s="10">
        <v>4.5199999999999996</v>
      </c>
      <c r="F119" s="11">
        <v>46475</v>
      </c>
      <c r="H119" s="12">
        <f>(PrincipalesVariables[[#This Row],[Base monetaria]]-C118)/C118</f>
        <v>1.0929099568300568E-3</v>
      </c>
      <c r="I119" s="12">
        <f>(PrincipalesVariables[[#This Row],[Dólar  mayorista]]-E118)/E118</f>
        <v>0</v>
      </c>
      <c r="J119" s="12">
        <f>(PrincipalesVariables[[#This Row],[Reservas internacionales]]-F118)/F118</f>
        <v>4.7359696897939852E-4</v>
      </c>
    </row>
    <row r="120" spans="1:10" ht="15.75" thickBot="1" x14ac:dyDescent="0.3">
      <c r="A120" s="14">
        <v>41089</v>
      </c>
      <c r="B120" s="15">
        <v>41089</v>
      </c>
      <c r="C120" s="16">
        <v>244158</v>
      </c>
      <c r="D120" s="10">
        <f>PrincipalesVariables[[#This Row],[Base monetaria]]/1000000</f>
        <v>0.24415799999999999</v>
      </c>
      <c r="E120" s="10">
        <v>4.53</v>
      </c>
      <c r="F120" s="11">
        <v>46348</v>
      </c>
      <c r="H120" s="12">
        <f>(PrincipalesVariables[[#This Row],[Base monetaria]]-C119)/C119</f>
        <v>2.5197663726029468E-2</v>
      </c>
      <c r="I120" s="12">
        <f>(PrincipalesVariables[[#This Row],[Dólar  mayorista]]-E119)/E119</f>
        <v>2.212389380531123E-3</v>
      </c>
      <c r="J120" s="12">
        <f>(PrincipalesVariables[[#This Row],[Reservas internacionales]]-F119)/F119</f>
        <v>-2.7326519634211944E-3</v>
      </c>
    </row>
    <row r="121" spans="1:10" ht="15.75" thickBot="1" x14ac:dyDescent="0.3">
      <c r="A121" s="14">
        <v>41092</v>
      </c>
      <c r="B121" s="15">
        <v>41092</v>
      </c>
      <c r="C121" s="16">
        <v>250434</v>
      </c>
      <c r="D121" s="10">
        <f>PrincipalesVariables[[#This Row],[Base monetaria]]/1000000</f>
        <v>0.25043399999999999</v>
      </c>
      <c r="E121" s="10">
        <v>4.53</v>
      </c>
      <c r="F121" s="11">
        <v>46215</v>
      </c>
      <c r="H121" s="12">
        <f>(PrincipalesVariables[[#This Row],[Base monetaria]]-C120)/C120</f>
        <v>2.5704666650283831E-2</v>
      </c>
      <c r="I121" s="12">
        <f>(PrincipalesVariables[[#This Row],[Dólar  mayorista]]-E120)/E120</f>
        <v>0</v>
      </c>
      <c r="J121" s="12">
        <f>(PrincipalesVariables[[#This Row],[Reservas internacionales]]-F120)/F120</f>
        <v>-2.8695952360403899E-3</v>
      </c>
    </row>
    <row r="122" spans="1:10" ht="15.75" thickBot="1" x14ac:dyDescent="0.3">
      <c r="A122" s="14">
        <v>41093</v>
      </c>
      <c r="B122" s="15">
        <v>41093</v>
      </c>
      <c r="C122" s="16">
        <v>248643</v>
      </c>
      <c r="D122" s="10">
        <f>PrincipalesVariables[[#This Row],[Base monetaria]]/1000000</f>
        <v>0.248643</v>
      </c>
      <c r="E122" s="10">
        <v>4.53</v>
      </c>
      <c r="F122" s="11">
        <v>46314</v>
      </c>
      <c r="H122" s="12">
        <f>(PrincipalesVariables[[#This Row],[Base monetaria]]-C121)/C121</f>
        <v>-7.1515848487026523E-3</v>
      </c>
      <c r="I122" s="12">
        <f>(PrincipalesVariables[[#This Row],[Dólar  mayorista]]-E121)/E121</f>
        <v>0</v>
      </c>
      <c r="J122" s="12">
        <f>(PrincipalesVariables[[#This Row],[Reservas internacionales]]-F121)/F121</f>
        <v>2.1421616358325221E-3</v>
      </c>
    </row>
    <row r="123" spans="1:10" ht="15.75" thickBot="1" x14ac:dyDescent="0.3">
      <c r="A123" s="14">
        <v>41094</v>
      </c>
      <c r="B123" s="15">
        <v>41094</v>
      </c>
      <c r="C123" s="16">
        <v>247682</v>
      </c>
      <c r="D123" s="10">
        <f>PrincipalesVariables[[#This Row],[Base monetaria]]/1000000</f>
        <v>0.24768200000000001</v>
      </c>
      <c r="E123" s="10">
        <v>4.53</v>
      </c>
      <c r="F123" s="11">
        <v>46293</v>
      </c>
      <c r="H123" s="12">
        <f>(PrincipalesVariables[[#This Row],[Base monetaria]]-C122)/C122</f>
        <v>-3.8649791065905738E-3</v>
      </c>
      <c r="I123" s="12">
        <f>(PrincipalesVariables[[#This Row],[Dólar  mayorista]]-E122)/E122</f>
        <v>0</v>
      </c>
      <c r="J123" s="12">
        <f>(PrincipalesVariables[[#This Row],[Reservas internacionales]]-F122)/F122</f>
        <v>-4.534266096644643E-4</v>
      </c>
    </row>
    <row r="124" spans="1:10" ht="15.75" thickBot="1" x14ac:dyDescent="0.3">
      <c r="A124" s="14">
        <v>41095</v>
      </c>
      <c r="B124" s="15">
        <v>41095</v>
      </c>
      <c r="C124" s="16">
        <v>252970</v>
      </c>
      <c r="D124" s="10">
        <f>PrincipalesVariables[[#This Row],[Base monetaria]]/1000000</f>
        <v>0.25296999999999997</v>
      </c>
      <c r="E124" s="10">
        <v>4.53</v>
      </c>
      <c r="F124" s="11">
        <v>46435</v>
      </c>
      <c r="H124" s="12">
        <f>(PrincipalesVariables[[#This Row],[Base monetaria]]-C123)/C123</f>
        <v>2.1349956799444448E-2</v>
      </c>
      <c r="I124" s="12">
        <f>(PrincipalesVariables[[#This Row],[Dólar  mayorista]]-E123)/E123</f>
        <v>0</v>
      </c>
      <c r="J124" s="12">
        <f>(PrincipalesVariables[[#This Row],[Reservas internacionales]]-F123)/F123</f>
        <v>3.0674184001900934E-3</v>
      </c>
    </row>
    <row r="125" spans="1:10" ht="15.75" thickBot="1" x14ac:dyDescent="0.3">
      <c r="A125" s="14">
        <v>41096</v>
      </c>
      <c r="B125" s="15">
        <v>41096</v>
      </c>
      <c r="C125" s="16">
        <v>251611</v>
      </c>
      <c r="D125" s="10">
        <f>PrincipalesVariables[[#This Row],[Base monetaria]]/1000000</f>
        <v>0.25161099999999997</v>
      </c>
      <c r="E125" s="10">
        <v>4.53</v>
      </c>
      <c r="F125" s="11">
        <v>46436</v>
      </c>
      <c r="H125" s="12">
        <f>(PrincipalesVariables[[#This Row],[Base monetaria]]-C124)/C124</f>
        <v>-5.3721785191919993E-3</v>
      </c>
      <c r="I125" s="12">
        <f>(PrincipalesVariables[[#This Row],[Dólar  mayorista]]-E124)/E124</f>
        <v>0</v>
      </c>
      <c r="J125" s="12">
        <f>(PrincipalesVariables[[#This Row],[Reservas internacionales]]-F124)/F124</f>
        <v>2.1535479702810379E-5</v>
      </c>
    </row>
    <row r="126" spans="1:10" ht="15.75" thickBot="1" x14ac:dyDescent="0.3">
      <c r="A126" s="14">
        <v>41100</v>
      </c>
      <c r="B126" s="15">
        <v>41100</v>
      </c>
      <c r="C126" s="16">
        <v>252803</v>
      </c>
      <c r="D126" s="10">
        <f>PrincipalesVariables[[#This Row],[Base monetaria]]/1000000</f>
        <v>0.252803</v>
      </c>
      <c r="E126" s="10">
        <v>4.54</v>
      </c>
      <c r="F126" s="11">
        <v>46520</v>
      </c>
      <c r="H126" s="12">
        <f>(PrincipalesVariables[[#This Row],[Base monetaria]]-C125)/C125</f>
        <v>4.737471732157974E-3</v>
      </c>
      <c r="I126" s="12">
        <f>(PrincipalesVariables[[#This Row],[Dólar  mayorista]]-E125)/E125</f>
        <v>2.2075055187637496E-3</v>
      </c>
      <c r="J126" s="12">
        <f>(PrincipalesVariables[[#This Row],[Reservas internacionales]]-F125)/F125</f>
        <v>1.8089413386165906E-3</v>
      </c>
    </row>
    <row r="127" spans="1:10" ht="15.75" thickBot="1" x14ac:dyDescent="0.3">
      <c r="A127" s="14">
        <v>41101</v>
      </c>
      <c r="B127" s="15">
        <v>41101</v>
      </c>
      <c r="C127" s="16">
        <v>250507</v>
      </c>
      <c r="D127" s="10">
        <f>PrincipalesVariables[[#This Row],[Base monetaria]]/1000000</f>
        <v>0.25050699999999998</v>
      </c>
      <c r="E127" s="10">
        <v>4.54</v>
      </c>
      <c r="F127" s="11">
        <v>46608</v>
      </c>
      <c r="H127" s="12">
        <f>(PrincipalesVariables[[#This Row],[Base monetaria]]-C126)/C126</f>
        <v>-9.0821707020881867E-3</v>
      </c>
      <c r="I127" s="12">
        <f>(PrincipalesVariables[[#This Row],[Dólar  mayorista]]-E126)/E126</f>
        <v>0</v>
      </c>
      <c r="J127" s="12">
        <f>(PrincipalesVariables[[#This Row],[Reservas internacionales]]-F126)/F126</f>
        <v>1.8916595012897679E-3</v>
      </c>
    </row>
    <row r="128" spans="1:10" ht="15.75" thickBot="1" x14ac:dyDescent="0.3">
      <c r="A128" s="14">
        <v>41102</v>
      </c>
      <c r="B128" s="15">
        <v>41102</v>
      </c>
      <c r="C128" s="16">
        <v>252248</v>
      </c>
      <c r="D128" s="10">
        <f>PrincipalesVariables[[#This Row],[Base monetaria]]/1000000</f>
        <v>0.25224800000000003</v>
      </c>
      <c r="E128" s="10">
        <v>4.54</v>
      </c>
      <c r="F128" s="11">
        <v>46665</v>
      </c>
      <c r="H128" s="12">
        <f>(PrincipalesVariables[[#This Row],[Base monetaria]]-C127)/C127</f>
        <v>6.9499055914605179E-3</v>
      </c>
      <c r="I128" s="12">
        <f>(PrincipalesVariables[[#This Row],[Dólar  mayorista]]-E127)/E127</f>
        <v>0</v>
      </c>
      <c r="J128" s="12">
        <f>(PrincipalesVariables[[#This Row],[Reservas internacionales]]-F127)/F127</f>
        <v>1.2229660144181256E-3</v>
      </c>
    </row>
    <row r="129" spans="1:10" ht="15.75" thickBot="1" x14ac:dyDescent="0.3">
      <c r="A129" s="14">
        <v>41103</v>
      </c>
      <c r="B129" s="15">
        <v>41103</v>
      </c>
      <c r="C129" s="16">
        <v>254507</v>
      </c>
      <c r="D129" s="10">
        <f>PrincipalesVariables[[#This Row],[Base monetaria]]/1000000</f>
        <v>0.25450699999999998</v>
      </c>
      <c r="E129" s="10">
        <v>4.55</v>
      </c>
      <c r="F129" s="11">
        <v>46747</v>
      </c>
      <c r="H129" s="12">
        <f>(PrincipalesVariables[[#This Row],[Base monetaria]]-C128)/C128</f>
        <v>8.9554723922488973E-3</v>
      </c>
      <c r="I129" s="12">
        <f>(PrincipalesVariables[[#This Row],[Dólar  mayorista]]-E128)/E128</f>
        <v>2.2026431718061203E-3</v>
      </c>
      <c r="J129" s="12">
        <f>(PrincipalesVariables[[#This Row],[Reservas internacionales]]-F128)/F128</f>
        <v>1.7572056144862316E-3</v>
      </c>
    </row>
    <row r="130" spans="1:10" ht="15.75" thickBot="1" x14ac:dyDescent="0.3">
      <c r="A130" s="14">
        <v>41106</v>
      </c>
      <c r="B130" s="15">
        <v>41106</v>
      </c>
      <c r="C130" s="16">
        <v>255662</v>
      </c>
      <c r="D130" s="10">
        <f>PrincipalesVariables[[#This Row],[Base monetaria]]/1000000</f>
        <v>0.255662</v>
      </c>
      <c r="E130" s="10">
        <v>4.55</v>
      </c>
      <c r="F130" s="11">
        <v>46812</v>
      </c>
      <c r="H130" s="12">
        <f>(PrincipalesVariables[[#This Row],[Base monetaria]]-C129)/C129</f>
        <v>4.5381855901802312E-3</v>
      </c>
      <c r="I130" s="12">
        <f>(PrincipalesVariables[[#This Row],[Dólar  mayorista]]-E129)/E129</f>
        <v>0</v>
      </c>
      <c r="J130" s="12">
        <f>(PrincipalesVariables[[#This Row],[Reservas internacionales]]-F129)/F129</f>
        <v>1.3904635591588765E-3</v>
      </c>
    </row>
    <row r="131" spans="1:10" ht="15.75" thickBot="1" x14ac:dyDescent="0.3">
      <c r="A131" s="14">
        <v>41107</v>
      </c>
      <c r="B131" s="15">
        <v>41107</v>
      </c>
      <c r="C131" s="16">
        <v>255945</v>
      </c>
      <c r="D131" s="10">
        <f>PrincipalesVariables[[#This Row],[Base monetaria]]/1000000</f>
        <v>0.25594499999999998</v>
      </c>
      <c r="E131" s="10">
        <v>4.55</v>
      </c>
      <c r="F131" s="11">
        <v>46816</v>
      </c>
      <c r="H131" s="12">
        <f>(PrincipalesVariables[[#This Row],[Base monetaria]]-C130)/C130</f>
        <v>1.1069302438375668E-3</v>
      </c>
      <c r="I131" s="12">
        <f>(PrincipalesVariables[[#This Row],[Dólar  mayorista]]-E130)/E130</f>
        <v>0</v>
      </c>
      <c r="J131" s="12">
        <f>(PrincipalesVariables[[#This Row],[Reservas internacionales]]-F130)/F130</f>
        <v>8.5448175681449205E-5</v>
      </c>
    </row>
    <row r="132" spans="1:10" ht="15.75" thickBot="1" x14ac:dyDescent="0.3">
      <c r="A132" s="14">
        <v>41108</v>
      </c>
      <c r="B132" s="15">
        <v>41108</v>
      </c>
      <c r="C132" s="16">
        <v>257024</v>
      </c>
      <c r="D132" s="10">
        <f>PrincipalesVariables[[#This Row],[Base monetaria]]/1000000</f>
        <v>0.25702399999999997</v>
      </c>
      <c r="E132" s="10">
        <v>4.55</v>
      </c>
      <c r="F132" s="11">
        <v>46811</v>
      </c>
      <c r="H132" s="12">
        <f>(PrincipalesVariables[[#This Row],[Base monetaria]]-C131)/C131</f>
        <v>4.2157494774267912E-3</v>
      </c>
      <c r="I132" s="12">
        <f>(PrincipalesVariables[[#This Row],[Dólar  mayorista]]-E131)/E131</f>
        <v>0</v>
      </c>
      <c r="J132" s="12">
        <f>(PrincipalesVariables[[#This Row],[Reservas internacionales]]-F131)/F131</f>
        <v>-1.068010936431989E-4</v>
      </c>
    </row>
    <row r="133" spans="1:10" ht="15.75" thickBot="1" x14ac:dyDescent="0.3">
      <c r="A133" s="14">
        <v>41109</v>
      </c>
      <c r="B133" s="15">
        <v>41109</v>
      </c>
      <c r="C133" s="16">
        <v>256297</v>
      </c>
      <c r="D133" s="10">
        <f>PrincipalesVariables[[#This Row],[Base monetaria]]/1000000</f>
        <v>0.256297</v>
      </c>
      <c r="E133" s="10">
        <v>4.5599999999999996</v>
      </c>
      <c r="F133" s="11">
        <v>46752</v>
      </c>
      <c r="H133" s="12">
        <f>(PrincipalesVariables[[#This Row],[Base monetaria]]-C132)/C132</f>
        <v>-2.8285296314741037E-3</v>
      </c>
      <c r="I133" s="12">
        <f>(PrincipalesVariables[[#This Row],[Dólar  mayorista]]-E132)/E132</f>
        <v>2.197802197802151E-3</v>
      </c>
      <c r="J133" s="12">
        <f>(PrincipalesVariables[[#This Row],[Reservas internacionales]]-F132)/F132</f>
        <v>-1.260387515754844E-3</v>
      </c>
    </row>
    <row r="134" spans="1:10" ht="15.75" thickBot="1" x14ac:dyDescent="0.3">
      <c r="A134" s="14">
        <v>41110</v>
      </c>
      <c r="B134" s="15">
        <v>41110</v>
      </c>
      <c r="C134" s="16">
        <v>254216</v>
      </c>
      <c r="D134" s="10">
        <f>PrincipalesVariables[[#This Row],[Base monetaria]]/1000000</f>
        <v>0.254216</v>
      </c>
      <c r="E134" s="10">
        <v>4.5599999999999996</v>
      </c>
      <c r="F134" s="11">
        <v>46792</v>
      </c>
      <c r="H134" s="12">
        <f>(PrincipalesVariables[[#This Row],[Base monetaria]]-C133)/C133</f>
        <v>-8.1194863771327803E-3</v>
      </c>
      <c r="I134" s="12">
        <f>(PrincipalesVariables[[#This Row],[Dólar  mayorista]]-E133)/E133</f>
        <v>0</v>
      </c>
      <c r="J134" s="12">
        <f>(PrincipalesVariables[[#This Row],[Reservas internacionales]]-F133)/F133</f>
        <v>8.5557837097878162E-4</v>
      </c>
    </row>
    <row r="135" spans="1:10" ht="15.75" thickBot="1" x14ac:dyDescent="0.3">
      <c r="A135" s="14">
        <v>41113</v>
      </c>
      <c r="B135" s="15">
        <v>41113</v>
      </c>
      <c r="C135" s="16">
        <v>252210</v>
      </c>
      <c r="D135" s="10">
        <f>PrincipalesVariables[[#This Row],[Base monetaria]]/1000000</f>
        <v>0.25220999999999999</v>
      </c>
      <c r="E135" s="10">
        <v>4.57</v>
      </c>
      <c r="F135" s="11">
        <v>46779</v>
      </c>
      <c r="H135" s="12">
        <f>(PrincipalesVariables[[#This Row],[Base monetaria]]-C134)/C134</f>
        <v>-7.8909274003209871E-3</v>
      </c>
      <c r="I135" s="12">
        <f>(PrincipalesVariables[[#This Row],[Dólar  mayorista]]-E134)/E134</f>
        <v>2.1929824561404991E-3</v>
      </c>
      <c r="J135" s="12">
        <f>(PrincipalesVariables[[#This Row],[Reservas internacionales]]-F134)/F134</f>
        <v>-2.7782526927679947E-4</v>
      </c>
    </row>
    <row r="136" spans="1:10" ht="15.75" thickBot="1" x14ac:dyDescent="0.3">
      <c r="A136" s="14">
        <v>41114</v>
      </c>
      <c r="B136" s="15">
        <v>41114</v>
      </c>
      <c r="C136" s="16">
        <v>250808</v>
      </c>
      <c r="D136" s="10">
        <f>PrincipalesVariables[[#This Row],[Base monetaria]]/1000000</f>
        <v>0.25080799999999998</v>
      </c>
      <c r="E136" s="10">
        <v>4.57</v>
      </c>
      <c r="F136" s="11">
        <v>46732</v>
      </c>
      <c r="H136" s="12">
        <f>(PrincipalesVariables[[#This Row],[Base monetaria]]-C135)/C135</f>
        <v>-5.5588596804250429E-3</v>
      </c>
      <c r="I136" s="12">
        <f>(PrincipalesVariables[[#This Row],[Dólar  mayorista]]-E135)/E135</f>
        <v>0</v>
      </c>
      <c r="J136" s="12">
        <f>(PrincipalesVariables[[#This Row],[Reservas internacionales]]-F135)/F135</f>
        <v>-1.004724342119327E-3</v>
      </c>
    </row>
    <row r="137" spans="1:10" ht="15.75" thickBot="1" x14ac:dyDescent="0.3">
      <c r="A137" s="14">
        <v>41115</v>
      </c>
      <c r="B137" s="15">
        <v>41115</v>
      </c>
      <c r="C137" s="16">
        <v>250748</v>
      </c>
      <c r="D137" s="10">
        <f>PrincipalesVariables[[#This Row],[Base monetaria]]/1000000</f>
        <v>0.25074800000000003</v>
      </c>
      <c r="E137" s="10">
        <v>4.57</v>
      </c>
      <c r="F137" s="11">
        <v>46735</v>
      </c>
      <c r="H137" s="12">
        <f>(PrincipalesVariables[[#This Row],[Base monetaria]]-C136)/C136</f>
        <v>-2.3922681892124653E-4</v>
      </c>
      <c r="I137" s="12">
        <f>(PrincipalesVariables[[#This Row],[Dólar  mayorista]]-E136)/E136</f>
        <v>0</v>
      </c>
      <c r="J137" s="12">
        <f>(PrincipalesVariables[[#This Row],[Reservas internacionales]]-F136)/F136</f>
        <v>6.4195840109560902E-5</v>
      </c>
    </row>
    <row r="138" spans="1:10" ht="15.75" thickBot="1" x14ac:dyDescent="0.3">
      <c r="A138" s="14">
        <v>41116</v>
      </c>
      <c r="B138" s="15">
        <v>41116</v>
      </c>
      <c r="C138" s="16">
        <v>252856</v>
      </c>
      <c r="D138" s="10">
        <f>PrincipalesVariables[[#This Row],[Base monetaria]]/1000000</f>
        <v>0.25285600000000003</v>
      </c>
      <c r="E138" s="10">
        <v>4.57</v>
      </c>
      <c r="F138" s="11">
        <v>46809</v>
      </c>
      <c r="H138" s="12">
        <f>(PrincipalesVariables[[#This Row],[Base monetaria]]-C137)/C137</f>
        <v>8.4068467146298283E-3</v>
      </c>
      <c r="I138" s="12">
        <f>(PrincipalesVariables[[#This Row],[Dólar  mayorista]]-E137)/E137</f>
        <v>0</v>
      </c>
      <c r="J138" s="12">
        <f>(PrincipalesVariables[[#This Row],[Reservas internacionales]]-F137)/F137</f>
        <v>1.5833957419492885E-3</v>
      </c>
    </row>
    <row r="139" spans="1:10" ht="15.75" thickBot="1" x14ac:dyDescent="0.3">
      <c r="A139" s="14">
        <v>41117</v>
      </c>
      <c r="B139" s="15">
        <v>41117</v>
      </c>
      <c r="C139" s="16">
        <v>251750</v>
      </c>
      <c r="D139" s="10">
        <f>PrincipalesVariables[[#This Row],[Base monetaria]]/1000000</f>
        <v>0.25174999999999997</v>
      </c>
      <c r="E139" s="10">
        <v>4.58</v>
      </c>
      <c r="F139" s="11">
        <v>46839</v>
      </c>
      <c r="H139" s="12">
        <f>(PrincipalesVariables[[#This Row],[Base monetaria]]-C138)/C138</f>
        <v>-4.3740310690669791E-3</v>
      </c>
      <c r="I139" s="12">
        <f>(PrincipalesVariables[[#This Row],[Dólar  mayorista]]-E138)/E138</f>
        <v>2.188183807439778E-3</v>
      </c>
      <c r="J139" s="12">
        <f>(PrincipalesVariables[[#This Row],[Reservas internacionales]]-F138)/F138</f>
        <v>6.4090239056591679E-4</v>
      </c>
    </row>
    <row r="140" spans="1:10" ht="15.75" thickBot="1" x14ac:dyDescent="0.3">
      <c r="A140" s="14">
        <v>41120</v>
      </c>
      <c r="B140" s="15">
        <v>41120</v>
      </c>
      <c r="C140" s="16">
        <v>249888</v>
      </c>
      <c r="D140" s="10">
        <f>PrincipalesVariables[[#This Row],[Base monetaria]]/1000000</f>
        <v>0.249888</v>
      </c>
      <c r="E140" s="10">
        <v>4.58</v>
      </c>
      <c r="F140" s="11">
        <v>46723</v>
      </c>
      <c r="H140" s="12">
        <f>(PrincipalesVariables[[#This Row],[Base monetaria]]-C139)/C139</f>
        <v>-7.3962264150943396E-3</v>
      </c>
      <c r="I140" s="12">
        <f>(PrincipalesVariables[[#This Row],[Dólar  mayorista]]-E139)/E139</f>
        <v>0</v>
      </c>
      <c r="J140" s="12">
        <f>(PrincipalesVariables[[#This Row],[Reservas internacionales]]-F139)/F139</f>
        <v>-2.4765686714063066E-3</v>
      </c>
    </row>
    <row r="141" spans="1:10" ht="15.75" thickBot="1" x14ac:dyDescent="0.3">
      <c r="A141" s="14">
        <v>41121</v>
      </c>
      <c r="B141" s="15">
        <v>41121</v>
      </c>
      <c r="C141" s="16">
        <v>246461</v>
      </c>
      <c r="D141" s="10">
        <f>PrincipalesVariables[[#This Row],[Base monetaria]]/1000000</f>
        <v>0.24646100000000001</v>
      </c>
      <c r="E141" s="10">
        <v>4.58</v>
      </c>
      <c r="F141" s="11">
        <v>46818</v>
      </c>
      <c r="H141" s="12">
        <f>(PrincipalesVariables[[#This Row],[Base monetaria]]-C140)/C140</f>
        <v>-1.3714143936483545E-2</v>
      </c>
      <c r="I141" s="12">
        <f>(PrincipalesVariables[[#This Row],[Dólar  mayorista]]-E140)/E140</f>
        <v>0</v>
      </c>
      <c r="J141" s="12">
        <f>(PrincipalesVariables[[#This Row],[Reservas internacionales]]-F140)/F140</f>
        <v>2.0332598506089079E-3</v>
      </c>
    </row>
    <row r="142" spans="1:10" ht="15.75" thickBot="1" x14ac:dyDescent="0.3">
      <c r="A142" s="14">
        <v>41122</v>
      </c>
      <c r="B142" s="15">
        <v>41122</v>
      </c>
      <c r="C142" s="16">
        <v>253776</v>
      </c>
      <c r="D142" s="10">
        <f>PrincipalesVariables[[#This Row],[Base monetaria]]/1000000</f>
        <v>0.253776</v>
      </c>
      <c r="E142" s="10">
        <v>4.59</v>
      </c>
      <c r="F142" s="11">
        <v>46807</v>
      </c>
      <c r="H142" s="12">
        <f>(PrincipalesVariables[[#This Row],[Base monetaria]]-C141)/C141</f>
        <v>2.9680152235039215E-2</v>
      </c>
      <c r="I142" s="12">
        <f>(PrincipalesVariables[[#This Row],[Dólar  mayorista]]-E141)/E141</f>
        <v>2.1834061135370714E-3</v>
      </c>
      <c r="J142" s="12">
        <f>(PrincipalesVariables[[#This Row],[Reservas internacionales]]-F141)/F141</f>
        <v>-2.349523687470631E-4</v>
      </c>
    </row>
    <row r="143" spans="1:10" ht="15.75" thickBot="1" x14ac:dyDescent="0.3">
      <c r="A143" s="14">
        <v>41123</v>
      </c>
      <c r="B143" s="15">
        <v>41123</v>
      </c>
      <c r="C143" s="16">
        <v>256441</v>
      </c>
      <c r="D143" s="10">
        <f>PrincipalesVariables[[#This Row],[Base monetaria]]/1000000</f>
        <v>0.25644099999999997</v>
      </c>
      <c r="E143" s="10">
        <v>4.59</v>
      </c>
      <c r="F143" s="11">
        <v>46727</v>
      </c>
      <c r="H143" s="12">
        <f>(PrincipalesVariables[[#This Row],[Base monetaria]]-C142)/C142</f>
        <v>1.0501387049996848E-2</v>
      </c>
      <c r="I143" s="12">
        <f>(PrincipalesVariables[[#This Row],[Dólar  mayorista]]-E142)/E142</f>
        <v>0</v>
      </c>
      <c r="J143" s="12">
        <f>(PrincipalesVariables[[#This Row],[Reservas internacionales]]-F142)/F142</f>
        <v>-1.7091460678958276E-3</v>
      </c>
    </row>
    <row r="144" spans="1:10" ht="15.75" thickBot="1" x14ac:dyDescent="0.3">
      <c r="A144" s="14">
        <v>41124</v>
      </c>
      <c r="B144" s="15">
        <v>41124</v>
      </c>
      <c r="C144" s="16">
        <v>257816</v>
      </c>
      <c r="D144" s="10">
        <f>PrincipalesVariables[[#This Row],[Base monetaria]]/1000000</f>
        <v>0.25781599999999999</v>
      </c>
      <c r="E144" s="10">
        <v>4.59</v>
      </c>
      <c r="F144" s="11">
        <v>45009</v>
      </c>
      <c r="H144" s="12">
        <f>(PrincipalesVariables[[#This Row],[Base monetaria]]-C143)/C143</f>
        <v>5.3618571133321113E-3</v>
      </c>
      <c r="I144" s="12">
        <f>(PrincipalesVariables[[#This Row],[Dólar  mayorista]]-E143)/E143</f>
        <v>0</v>
      </c>
      <c r="J144" s="12">
        <f>(PrincipalesVariables[[#This Row],[Reservas internacionales]]-F143)/F143</f>
        <v>-3.6766751556915701E-2</v>
      </c>
    </row>
    <row r="145" spans="1:10" ht="15.75" thickBot="1" x14ac:dyDescent="0.3">
      <c r="A145" s="14">
        <v>41127</v>
      </c>
      <c r="B145" s="15">
        <v>41127</v>
      </c>
      <c r="C145" s="16">
        <v>258501</v>
      </c>
      <c r="D145" s="10">
        <f>PrincipalesVariables[[#This Row],[Base monetaria]]/1000000</f>
        <v>0.25850099999999998</v>
      </c>
      <c r="E145" s="10">
        <v>4.59</v>
      </c>
      <c r="F145" s="11">
        <v>45032</v>
      </c>
      <c r="H145" s="12">
        <f>(PrincipalesVariables[[#This Row],[Base monetaria]]-C144)/C144</f>
        <v>2.6569336270828806E-3</v>
      </c>
      <c r="I145" s="12">
        <f>(PrincipalesVariables[[#This Row],[Dólar  mayorista]]-E144)/E144</f>
        <v>0</v>
      </c>
      <c r="J145" s="12">
        <f>(PrincipalesVariables[[#This Row],[Reservas internacionales]]-F144)/F144</f>
        <v>5.1100890932924523E-4</v>
      </c>
    </row>
    <row r="146" spans="1:10" ht="15.75" thickBot="1" x14ac:dyDescent="0.3">
      <c r="A146" s="14">
        <v>41128</v>
      </c>
      <c r="B146" s="15">
        <v>41128</v>
      </c>
      <c r="C146" s="16">
        <v>257322</v>
      </c>
      <c r="D146" s="10">
        <f>PrincipalesVariables[[#This Row],[Base monetaria]]/1000000</f>
        <v>0.257322</v>
      </c>
      <c r="E146" s="10">
        <v>4.59</v>
      </c>
      <c r="F146" s="11">
        <v>45037</v>
      </c>
      <c r="H146" s="12">
        <f>(PrincipalesVariables[[#This Row],[Base monetaria]]-C145)/C145</f>
        <v>-4.5609107895133866E-3</v>
      </c>
      <c r="I146" s="12">
        <f>(PrincipalesVariables[[#This Row],[Dólar  mayorista]]-E145)/E145</f>
        <v>0</v>
      </c>
      <c r="J146" s="12">
        <f>(PrincipalesVariables[[#This Row],[Reservas internacionales]]-F145)/F145</f>
        <v>1.1103215491206254E-4</v>
      </c>
    </row>
    <row r="147" spans="1:10" ht="15.75" thickBot="1" x14ac:dyDescent="0.3">
      <c r="A147" s="14">
        <v>41129</v>
      </c>
      <c r="B147" s="15">
        <v>41129</v>
      </c>
      <c r="C147" s="16">
        <v>255758</v>
      </c>
      <c r="D147" s="10">
        <f>PrincipalesVariables[[#This Row],[Base monetaria]]/1000000</f>
        <v>0.25575799999999999</v>
      </c>
      <c r="E147" s="10">
        <v>4.5999999999999996</v>
      </c>
      <c r="F147" s="11">
        <v>45054</v>
      </c>
      <c r="H147" s="12">
        <f>(PrincipalesVariables[[#This Row],[Base monetaria]]-C146)/C146</f>
        <v>-6.0779878906583968E-3</v>
      </c>
      <c r="I147" s="12">
        <f>(PrincipalesVariables[[#This Row],[Dólar  mayorista]]-E146)/E146</f>
        <v>2.1786492374727207E-3</v>
      </c>
      <c r="J147" s="12">
        <f>(PrincipalesVariables[[#This Row],[Reservas internacionales]]-F146)/F146</f>
        <v>3.7746741568044052E-4</v>
      </c>
    </row>
    <row r="148" spans="1:10" ht="15.75" thickBot="1" x14ac:dyDescent="0.3">
      <c r="A148" s="14">
        <v>41130</v>
      </c>
      <c r="B148" s="15">
        <v>41130</v>
      </c>
      <c r="C148" s="16">
        <v>256948</v>
      </c>
      <c r="D148" s="10">
        <f>PrincipalesVariables[[#This Row],[Base monetaria]]/1000000</f>
        <v>0.25694800000000001</v>
      </c>
      <c r="E148" s="10">
        <v>4.5999999999999996</v>
      </c>
      <c r="F148" s="11">
        <v>45080</v>
      </c>
      <c r="H148" s="12">
        <f>(PrincipalesVariables[[#This Row],[Base monetaria]]-C147)/C147</f>
        <v>4.6528358839215194E-3</v>
      </c>
      <c r="I148" s="12">
        <f>(PrincipalesVariables[[#This Row],[Dólar  mayorista]]-E147)/E147</f>
        <v>0</v>
      </c>
      <c r="J148" s="12">
        <f>(PrincipalesVariables[[#This Row],[Reservas internacionales]]-F147)/F147</f>
        <v>5.7708527544724105E-4</v>
      </c>
    </row>
    <row r="149" spans="1:10" ht="15.75" thickBot="1" x14ac:dyDescent="0.3">
      <c r="A149" s="14">
        <v>41131</v>
      </c>
      <c r="B149" s="15">
        <v>41131</v>
      </c>
      <c r="C149" s="16">
        <v>256041</v>
      </c>
      <c r="D149" s="10">
        <f>PrincipalesVariables[[#This Row],[Base monetaria]]/1000000</f>
        <v>0.25604100000000002</v>
      </c>
      <c r="E149" s="10">
        <v>4.5999999999999996</v>
      </c>
      <c r="F149" s="11">
        <v>45131</v>
      </c>
      <c r="H149" s="12">
        <f>(PrincipalesVariables[[#This Row],[Base monetaria]]-C148)/C148</f>
        <v>-3.5298970998022946E-3</v>
      </c>
      <c r="I149" s="12">
        <f>(PrincipalesVariables[[#This Row],[Dólar  mayorista]]-E148)/E148</f>
        <v>0</v>
      </c>
      <c r="J149" s="12">
        <f>(PrincipalesVariables[[#This Row],[Reservas internacionales]]-F148)/F148</f>
        <v>1.1313220940550133E-3</v>
      </c>
    </row>
    <row r="150" spans="1:10" ht="15.75" thickBot="1" x14ac:dyDescent="0.3">
      <c r="A150" s="14">
        <v>41134</v>
      </c>
      <c r="B150" s="15">
        <v>41134</v>
      </c>
      <c r="C150" s="16">
        <v>257730</v>
      </c>
      <c r="D150" s="10">
        <f>PrincipalesVariables[[#This Row],[Base monetaria]]/1000000</f>
        <v>0.25773000000000001</v>
      </c>
      <c r="E150" s="10">
        <v>4.5999999999999996</v>
      </c>
      <c r="F150" s="11">
        <v>45133</v>
      </c>
      <c r="H150" s="12">
        <f>(PrincipalesVariables[[#This Row],[Base monetaria]]-C149)/C149</f>
        <v>6.596599763319156E-3</v>
      </c>
      <c r="I150" s="12">
        <f>(PrincipalesVariables[[#This Row],[Dólar  mayorista]]-E149)/E149</f>
        <v>0</v>
      </c>
      <c r="J150" s="12">
        <f>(PrincipalesVariables[[#This Row],[Reservas internacionales]]-F149)/F149</f>
        <v>4.4315437282577388E-5</v>
      </c>
    </row>
    <row r="151" spans="1:10" ht="15.75" thickBot="1" x14ac:dyDescent="0.3">
      <c r="A151" s="14">
        <v>41135</v>
      </c>
      <c r="B151" s="15">
        <v>41135</v>
      </c>
      <c r="C151" s="16">
        <v>258284</v>
      </c>
      <c r="D151" s="10">
        <f>PrincipalesVariables[[#This Row],[Base monetaria]]/1000000</f>
        <v>0.25828400000000001</v>
      </c>
      <c r="E151" s="10">
        <v>4.6100000000000003</v>
      </c>
      <c r="F151" s="11">
        <v>45072</v>
      </c>
      <c r="H151" s="12">
        <f>(PrincipalesVariables[[#This Row],[Base monetaria]]-C150)/C150</f>
        <v>2.1495363364761573E-3</v>
      </c>
      <c r="I151" s="12">
        <f>(PrincipalesVariables[[#This Row],[Dólar  mayorista]]-E150)/E150</f>
        <v>2.1739130434784079E-3</v>
      </c>
      <c r="J151" s="12">
        <f>(PrincipalesVariables[[#This Row],[Reservas internacionales]]-F150)/F150</f>
        <v>-1.3515609421044469E-3</v>
      </c>
    </row>
    <row r="152" spans="1:10" ht="15.75" thickBot="1" x14ac:dyDescent="0.3">
      <c r="A152" s="14">
        <v>41136</v>
      </c>
      <c r="B152" s="15">
        <v>41136</v>
      </c>
      <c r="C152" s="16">
        <v>259703</v>
      </c>
      <c r="D152" s="10">
        <f>PrincipalesVariables[[#This Row],[Base monetaria]]/1000000</f>
        <v>0.25970300000000002</v>
      </c>
      <c r="E152" s="10">
        <v>4.6100000000000003</v>
      </c>
      <c r="F152" s="11">
        <v>45059</v>
      </c>
      <c r="H152" s="12">
        <f>(PrincipalesVariables[[#This Row],[Base monetaria]]-C151)/C151</f>
        <v>5.4939523934893373E-3</v>
      </c>
      <c r="I152" s="12">
        <f>(PrincipalesVariables[[#This Row],[Dólar  mayorista]]-E151)/E151</f>
        <v>0</v>
      </c>
      <c r="J152" s="12">
        <f>(PrincipalesVariables[[#This Row],[Reservas internacionales]]-F151)/F151</f>
        <v>-2.8842740504082359E-4</v>
      </c>
    </row>
    <row r="153" spans="1:10" ht="15.75" thickBot="1" x14ac:dyDescent="0.3">
      <c r="A153" s="14">
        <v>41137</v>
      </c>
      <c r="B153" s="15">
        <v>41137</v>
      </c>
      <c r="C153" s="16">
        <v>258710</v>
      </c>
      <c r="D153" s="10">
        <f>PrincipalesVariables[[#This Row],[Base monetaria]]/1000000</f>
        <v>0.25871</v>
      </c>
      <c r="E153" s="10">
        <v>4.6100000000000003</v>
      </c>
      <c r="F153" s="11">
        <v>45099</v>
      </c>
      <c r="H153" s="12">
        <f>(PrincipalesVariables[[#This Row],[Base monetaria]]-C152)/C152</f>
        <v>-3.8235984952041369E-3</v>
      </c>
      <c r="I153" s="12">
        <f>(PrincipalesVariables[[#This Row],[Dólar  mayorista]]-E152)/E152</f>
        <v>0</v>
      </c>
      <c r="J153" s="12">
        <f>(PrincipalesVariables[[#This Row],[Reservas internacionales]]-F152)/F152</f>
        <v>8.8772498280032842E-4</v>
      </c>
    </row>
    <row r="154" spans="1:10" ht="15.75" thickBot="1" x14ac:dyDescent="0.3">
      <c r="A154" s="14">
        <v>41138</v>
      </c>
      <c r="B154" s="15">
        <v>41138</v>
      </c>
      <c r="C154" s="16">
        <v>254346</v>
      </c>
      <c r="D154" s="10">
        <f>PrincipalesVariables[[#This Row],[Base monetaria]]/1000000</f>
        <v>0.25434600000000002</v>
      </c>
      <c r="E154" s="10">
        <v>4.6100000000000003</v>
      </c>
      <c r="F154" s="11">
        <v>45100</v>
      </c>
      <c r="H154" s="12">
        <f>(PrincipalesVariables[[#This Row],[Base monetaria]]-C153)/C153</f>
        <v>-1.6868308144254184E-2</v>
      </c>
      <c r="I154" s="12">
        <f>(PrincipalesVariables[[#This Row],[Dólar  mayorista]]-E153)/E153</f>
        <v>0</v>
      </c>
      <c r="J154" s="12">
        <f>(PrincipalesVariables[[#This Row],[Reservas internacionales]]-F153)/F153</f>
        <v>2.2173440652786093E-5</v>
      </c>
    </row>
    <row r="155" spans="1:10" ht="15.75" thickBot="1" x14ac:dyDescent="0.3">
      <c r="A155" s="14">
        <v>41142</v>
      </c>
      <c r="B155" s="15">
        <v>41142</v>
      </c>
      <c r="C155" s="16">
        <v>256697</v>
      </c>
      <c r="D155" s="10">
        <f>PrincipalesVariables[[#This Row],[Base monetaria]]/1000000</f>
        <v>0.25669700000000001</v>
      </c>
      <c r="E155" s="10">
        <v>4.62</v>
      </c>
      <c r="F155" s="11">
        <v>45136</v>
      </c>
      <c r="H155" s="12">
        <f>(PrincipalesVariables[[#This Row],[Base monetaria]]-C154)/C154</f>
        <v>9.243314225503842E-3</v>
      </c>
      <c r="I155" s="12">
        <f>(PrincipalesVariables[[#This Row],[Dólar  mayorista]]-E154)/E154</f>
        <v>2.1691973969630773E-3</v>
      </c>
      <c r="J155" s="12">
        <f>(PrincipalesVariables[[#This Row],[Reservas internacionales]]-F154)/F154</f>
        <v>7.9822616407982262E-4</v>
      </c>
    </row>
    <row r="156" spans="1:10" ht="15.75" thickBot="1" x14ac:dyDescent="0.3">
      <c r="A156" s="14">
        <v>41143</v>
      </c>
      <c r="B156" s="15">
        <v>41143</v>
      </c>
      <c r="C156" s="16">
        <v>259479</v>
      </c>
      <c r="D156" s="10">
        <f>PrincipalesVariables[[#This Row],[Base monetaria]]/1000000</f>
        <v>0.25947900000000002</v>
      </c>
      <c r="E156" s="10">
        <v>4.62</v>
      </c>
      <c r="F156" s="11">
        <v>45118</v>
      </c>
      <c r="H156" s="12">
        <f>(PrincipalesVariables[[#This Row],[Base monetaria]]-C155)/C155</f>
        <v>1.0837680222207505E-2</v>
      </c>
      <c r="I156" s="12">
        <f>(PrincipalesVariables[[#This Row],[Dólar  mayorista]]-E155)/E155</f>
        <v>0</v>
      </c>
      <c r="J156" s="12">
        <f>(PrincipalesVariables[[#This Row],[Reservas internacionales]]-F155)/F155</f>
        <v>-3.9879475363346331E-4</v>
      </c>
    </row>
    <row r="157" spans="1:10" ht="15.75" thickBot="1" x14ac:dyDescent="0.3">
      <c r="A157" s="14">
        <v>41144</v>
      </c>
      <c r="B157" s="15">
        <v>41144</v>
      </c>
      <c r="C157" s="16">
        <v>260602</v>
      </c>
      <c r="D157" s="10">
        <f>PrincipalesVariables[[#This Row],[Base monetaria]]/1000000</f>
        <v>0.260602</v>
      </c>
      <c r="E157" s="10">
        <v>4.62</v>
      </c>
      <c r="F157" s="11">
        <v>45140</v>
      </c>
      <c r="H157" s="12">
        <f>(PrincipalesVariables[[#This Row],[Base monetaria]]-C156)/C156</f>
        <v>4.3279032214553004E-3</v>
      </c>
      <c r="I157" s="12">
        <f>(PrincipalesVariables[[#This Row],[Dólar  mayorista]]-E156)/E156</f>
        <v>0</v>
      </c>
      <c r="J157" s="12">
        <f>(PrincipalesVariables[[#This Row],[Reservas internacionales]]-F156)/F156</f>
        <v>4.8761026641251827E-4</v>
      </c>
    </row>
    <row r="158" spans="1:10" ht="15.75" thickBot="1" x14ac:dyDescent="0.3">
      <c r="A158" s="14">
        <v>41145</v>
      </c>
      <c r="B158" s="15">
        <v>41145</v>
      </c>
      <c r="C158" s="16">
        <v>260950</v>
      </c>
      <c r="D158" s="10">
        <f>PrincipalesVariables[[#This Row],[Base monetaria]]/1000000</f>
        <v>0.26095000000000002</v>
      </c>
      <c r="E158" s="10">
        <v>4.62</v>
      </c>
      <c r="F158" s="11">
        <v>45215</v>
      </c>
      <c r="H158" s="12">
        <f>(PrincipalesVariables[[#This Row],[Base monetaria]]-C157)/C157</f>
        <v>1.3353696441316643E-3</v>
      </c>
      <c r="I158" s="12">
        <f>(PrincipalesVariables[[#This Row],[Dólar  mayorista]]-E157)/E157</f>
        <v>0</v>
      </c>
      <c r="J158" s="12">
        <f>(PrincipalesVariables[[#This Row],[Reservas internacionales]]-F157)/F157</f>
        <v>1.6614975631369074E-3</v>
      </c>
    </row>
    <row r="159" spans="1:10" ht="15.75" thickBot="1" x14ac:dyDescent="0.3">
      <c r="A159" s="14">
        <v>41148</v>
      </c>
      <c r="B159" s="15">
        <v>41148</v>
      </c>
      <c r="C159" s="16">
        <v>259606</v>
      </c>
      <c r="D159" s="10">
        <f>PrincipalesVariables[[#This Row],[Base monetaria]]/1000000</f>
        <v>0.259606</v>
      </c>
      <c r="E159" s="10">
        <v>4.63</v>
      </c>
      <c r="F159" s="11">
        <v>45212</v>
      </c>
      <c r="H159" s="12">
        <f>(PrincipalesVariables[[#This Row],[Base monetaria]]-C158)/C158</f>
        <v>-5.15041195631347E-3</v>
      </c>
      <c r="I159" s="12">
        <f>(PrincipalesVariables[[#This Row],[Dólar  mayorista]]-E158)/E158</f>
        <v>2.1645021645021181E-3</v>
      </c>
      <c r="J159" s="12">
        <f>(PrincipalesVariables[[#This Row],[Reservas internacionales]]-F158)/F158</f>
        <v>-6.6349662722547831E-5</v>
      </c>
    </row>
    <row r="160" spans="1:10" ht="15.75" thickBot="1" x14ac:dyDescent="0.3">
      <c r="A160" s="14">
        <v>41149</v>
      </c>
      <c r="B160" s="15">
        <v>41149</v>
      </c>
      <c r="C160" s="16">
        <v>260975</v>
      </c>
      <c r="D160" s="10">
        <f>PrincipalesVariables[[#This Row],[Base monetaria]]/1000000</f>
        <v>0.26097500000000001</v>
      </c>
      <c r="E160" s="10">
        <v>4.63</v>
      </c>
      <c r="F160" s="11">
        <v>45202</v>
      </c>
      <c r="H160" s="12">
        <f>(PrincipalesVariables[[#This Row],[Base monetaria]]-C159)/C159</f>
        <v>5.2733758079551319E-3</v>
      </c>
      <c r="I160" s="12">
        <f>(PrincipalesVariables[[#This Row],[Dólar  mayorista]]-E159)/E159</f>
        <v>0</v>
      </c>
      <c r="J160" s="12">
        <f>(PrincipalesVariables[[#This Row],[Reservas internacionales]]-F159)/F159</f>
        <v>-2.2118021764133415E-4</v>
      </c>
    </row>
    <row r="161" spans="1:10" ht="15.75" thickBot="1" x14ac:dyDescent="0.3">
      <c r="A161" s="14">
        <v>41150</v>
      </c>
      <c r="B161" s="15">
        <v>41150</v>
      </c>
      <c r="C161" s="16">
        <v>257941</v>
      </c>
      <c r="D161" s="10">
        <f>PrincipalesVariables[[#This Row],[Base monetaria]]/1000000</f>
        <v>0.25794099999999998</v>
      </c>
      <c r="E161" s="10">
        <v>4.63</v>
      </c>
      <c r="F161" s="11">
        <v>45077</v>
      </c>
      <c r="H161" s="12">
        <f>(PrincipalesVariables[[#This Row],[Base monetaria]]-C160)/C160</f>
        <v>-1.162563463933327E-2</v>
      </c>
      <c r="I161" s="12">
        <f>(PrincipalesVariables[[#This Row],[Dólar  mayorista]]-E160)/E160</f>
        <v>0</v>
      </c>
      <c r="J161" s="12">
        <f>(PrincipalesVariables[[#This Row],[Reservas internacionales]]-F160)/F160</f>
        <v>-2.7653643644086545E-3</v>
      </c>
    </row>
    <row r="162" spans="1:10" ht="15.75" thickBot="1" x14ac:dyDescent="0.3">
      <c r="A162" s="14">
        <v>41151</v>
      </c>
      <c r="B162" s="15">
        <v>41151</v>
      </c>
      <c r="C162" s="16">
        <v>260352</v>
      </c>
      <c r="D162" s="10">
        <f>PrincipalesVariables[[#This Row],[Base monetaria]]/1000000</f>
        <v>0.26035199999999997</v>
      </c>
      <c r="E162" s="10">
        <v>4.63</v>
      </c>
      <c r="F162" s="11">
        <v>45054</v>
      </c>
      <c r="H162" s="12">
        <f>(PrincipalesVariables[[#This Row],[Base monetaria]]-C161)/C161</f>
        <v>9.34709875514168E-3</v>
      </c>
      <c r="I162" s="12">
        <f>(PrincipalesVariables[[#This Row],[Dólar  mayorista]]-E161)/E161</f>
        <v>0</v>
      </c>
      <c r="J162" s="12">
        <f>(PrincipalesVariables[[#This Row],[Reservas internacionales]]-F161)/F161</f>
        <v>-5.1023803713645536E-4</v>
      </c>
    </row>
    <row r="163" spans="1:10" ht="15.75" thickBot="1" x14ac:dyDescent="0.3">
      <c r="A163" s="14">
        <v>41152</v>
      </c>
      <c r="B163" s="15">
        <v>41152</v>
      </c>
      <c r="C163" s="16">
        <v>260758</v>
      </c>
      <c r="D163" s="10">
        <f>PrincipalesVariables[[#This Row],[Base monetaria]]/1000000</f>
        <v>0.26075799999999999</v>
      </c>
      <c r="E163" s="10">
        <v>4.63</v>
      </c>
      <c r="F163" s="11">
        <v>45152</v>
      </c>
      <c r="H163" s="12">
        <f>(PrincipalesVariables[[#This Row],[Base monetaria]]-C162)/C162</f>
        <v>1.5594272369714847E-3</v>
      </c>
      <c r="I163" s="12">
        <f>(PrincipalesVariables[[#This Row],[Dólar  mayorista]]-E162)/E162</f>
        <v>0</v>
      </c>
      <c r="J163" s="12">
        <f>(PrincipalesVariables[[#This Row],[Reservas internacionales]]-F162)/F162</f>
        <v>2.1751675766857547E-3</v>
      </c>
    </row>
    <row r="164" spans="1:10" ht="15.75" thickBot="1" x14ac:dyDescent="0.3">
      <c r="A164" s="14">
        <v>41155</v>
      </c>
      <c r="B164" s="15">
        <v>41155</v>
      </c>
      <c r="C164" s="16">
        <v>263314</v>
      </c>
      <c r="D164" s="10">
        <f>PrincipalesVariables[[#This Row],[Base monetaria]]/1000000</f>
        <v>0.26331399999999999</v>
      </c>
      <c r="E164" s="10">
        <v>4.6399999999999997</v>
      </c>
      <c r="F164" s="11">
        <v>45168</v>
      </c>
      <c r="H164" s="12">
        <f>(PrincipalesVariables[[#This Row],[Base monetaria]]-C163)/C163</f>
        <v>9.8021920708089485E-3</v>
      </c>
      <c r="I164" s="12">
        <f>(PrincipalesVariables[[#This Row],[Dólar  mayorista]]-E163)/E163</f>
        <v>2.1598272138228483E-3</v>
      </c>
      <c r="J164" s="12">
        <f>(PrincipalesVariables[[#This Row],[Reservas internacionales]]-F163)/F163</f>
        <v>3.5435861091424523E-4</v>
      </c>
    </row>
    <row r="165" spans="1:10" ht="15.75" thickBot="1" x14ac:dyDescent="0.3">
      <c r="A165" s="14">
        <v>41156</v>
      </c>
      <c r="B165" s="15">
        <v>41156</v>
      </c>
      <c r="C165" s="16">
        <v>263169</v>
      </c>
      <c r="D165" s="10">
        <f>PrincipalesVariables[[#This Row],[Base monetaria]]/1000000</f>
        <v>0.26316899999999999</v>
      </c>
      <c r="E165" s="10">
        <v>4.6399999999999997</v>
      </c>
      <c r="F165" s="11">
        <v>45152</v>
      </c>
      <c r="H165" s="12">
        <f>(PrincipalesVariables[[#This Row],[Base monetaria]]-C164)/C164</f>
        <v>-5.5067334057437134E-4</v>
      </c>
      <c r="I165" s="12">
        <f>(PrincipalesVariables[[#This Row],[Dólar  mayorista]]-E164)/E164</f>
        <v>0</v>
      </c>
      <c r="J165" s="12">
        <f>(PrincipalesVariables[[#This Row],[Reservas internacionales]]-F164)/F164</f>
        <v>-3.5423308537017357E-4</v>
      </c>
    </row>
    <row r="166" spans="1:10" ht="15.75" thickBot="1" x14ac:dyDescent="0.3">
      <c r="A166" s="14">
        <v>41157</v>
      </c>
      <c r="B166" s="15">
        <v>41157</v>
      </c>
      <c r="C166" s="16">
        <v>262778</v>
      </c>
      <c r="D166" s="10">
        <f>PrincipalesVariables[[#This Row],[Base monetaria]]/1000000</f>
        <v>0.26277800000000001</v>
      </c>
      <c r="E166" s="10">
        <v>4.6500000000000004</v>
      </c>
      <c r="F166" s="11">
        <v>45162</v>
      </c>
      <c r="H166" s="12">
        <f>(PrincipalesVariables[[#This Row],[Base monetaria]]-C165)/C165</f>
        <v>-1.4857373018858605E-3</v>
      </c>
      <c r="I166" s="12">
        <f>(PrincipalesVariables[[#This Row],[Dólar  mayorista]]-E165)/E165</f>
        <v>2.1551724137932491E-3</v>
      </c>
      <c r="J166" s="12">
        <f>(PrincipalesVariables[[#This Row],[Reservas internacionales]]-F165)/F165</f>
        <v>2.2147413182140325E-4</v>
      </c>
    </row>
    <row r="167" spans="1:10" ht="15.75" thickBot="1" x14ac:dyDescent="0.3">
      <c r="A167" s="14">
        <v>41158</v>
      </c>
      <c r="B167" s="15">
        <v>41158</v>
      </c>
      <c r="C167" s="16">
        <v>262918</v>
      </c>
      <c r="D167" s="10">
        <f>PrincipalesVariables[[#This Row],[Base monetaria]]/1000000</f>
        <v>0.26291799999999999</v>
      </c>
      <c r="E167" s="10">
        <v>4.6500000000000004</v>
      </c>
      <c r="F167" s="11">
        <v>45205</v>
      </c>
      <c r="H167" s="12">
        <f>(PrincipalesVariables[[#This Row],[Base monetaria]]-C166)/C166</f>
        <v>5.3276910548067193E-4</v>
      </c>
      <c r="I167" s="12">
        <f>(PrincipalesVariables[[#This Row],[Dólar  mayorista]]-E166)/E166</f>
        <v>0</v>
      </c>
      <c r="J167" s="12">
        <f>(PrincipalesVariables[[#This Row],[Reservas internacionales]]-F166)/F166</f>
        <v>9.5212789513307648E-4</v>
      </c>
    </row>
    <row r="168" spans="1:10" ht="15.75" thickBot="1" x14ac:dyDescent="0.3">
      <c r="A168" s="14">
        <v>41159</v>
      </c>
      <c r="B168" s="15">
        <v>41159</v>
      </c>
      <c r="C168" s="16">
        <v>261080</v>
      </c>
      <c r="D168" s="10">
        <f>PrincipalesVariables[[#This Row],[Base monetaria]]/1000000</f>
        <v>0.26107999999999998</v>
      </c>
      <c r="E168" s="10">
        <v>4.66</v>
      </c>
      <c r="F168" s="11">
        <v>45264</v>
      </c>
      <c r="H168" s="12">
        <f>(PrincipalesVariables[[#This Row],[Base monetaria]]-C167)/C167</f>
        <v>-6.9907727884739729E-3</v>
      </c>
      <c r="I168" s="12">
        <f>(PrincipalesVariables[[#This Row],[Dólar  mayorista]]-E167)/E167</f>
        <v>2.1505376344085562E-3</v>
      </c>
      <c r="J168" s="12">
        <f>(PrincipalesVariables[[#This Row],[Reservas internacionales]]-F167)/F167</f>
        <v>1.305165357814401E-3</v>
      </c>
    </row>
    <row r="169" spans="1:10" ht="15.75" thickBot="1" x14ac:dyDescent="0.3">
      <c r="A169" s="14">
        <v>41162</v>
      </c>
      <c r="B169" s="15">
        <v>41162</v>
      </c>
      <c r="C169" s="16">
        <v>261157</v>
      </c>
      <c r="D169" s="10">
        <f>PrincipalesVariables[[#This Row],[Base monetaria]]/1000000</f>
        <v>0.26115699999999997</v>
      </c>
      <c r="E169" s="10">
        <v>4.66</v>
      </c>
      <c r="F169" s="11">
        <v>45263</v>
      </c>
      <c r="H169" s="12">
        <f>(PrincipalesVariables[[#This Row],[Base monetaria]]-C168)/C168</f>
        <v>2.9492875746897504E-4</v>
      </c>
      <c r="I169" s="12">
        <f>(PrincipalesVariables[[#This Row],[Dólar  mayorista]]-E168)/E168</f>
        <v>0</v>
      </c>
      <c r="J169" s="12">
        <f>(PrincipalesVariables[[#This Row],[Reservas internacionales]]-F168)/F168</f>
        <v>-2.2092612230470132E-5</v>
      </c>
    </row>
    <row r="170" spans="1:10" ht="15.75" thickBot="1" x14ac:dyDescent="0.3">
      <c r="A170" s="14">
        <v>41163</v>
      </c>
      <c r="B170" s="15">
        <v>41163</v>
      </c>
      <c r="C170" s="16">
        <v>261404</v>
      </c>
      <c r="D170" s="10">
        <f>PrincipalesVariables[[#This Row],[Base monetaria]]/1000000</f>
        <v>0.26140400000000003</v>
      </c>
      <c r="E170" s="10">
        <v>4.66</v>
      </c>
      <c r="F170" s="11">
        <v>45271</v>
      </c>
      <c r="H170" s="12">
        <f>(PrincipalesVariables[[#This Row],[Base monetaria]]-C169)/C169</f>
        <v>9.4579122903081284E-4</v>
      </c>
      <c r="I170" s="12">
        <f>(PrincipalesVariables[[#This Row],[Dólar  mayorista]]-E169)/E169</f>
        <v>0</v>
      </c>
      <c r="J170" s="12">
        <f>(PrincipalesVariables[[#This Row],[Reservas internacionales]]-F169)/F169</f>
        <v>1.7674480259814859E-4</v>
      </c>
    </row>
    <row r="171" spans="1:10" ht="15.75" thickBot="1" x14ac:dyDescent="0.3">
      <c r="A171" s="14">
        <v>41164</v>
      </c>
      <c r="B171" s="15">
        <v>41164</v>
      </c>
      <c r="C171" s="16">
        <v>262748</v>
      </c>
      <c r="D171" s="10">
        <f>PrincipalesVariables[[#This Row],[Base monetaria]]/1000000</f>
        <v>0.26274799999999998</v>
      </c>
      <c r="E171" s="10">
        <v>4.66</v>
      </c>
      <c r="F171" s="11">
        <v>45274</v>
      </c>
      <c r="H171" s="12">
        <f>(PrincipalesVariables[[#This Row],[Base monetaria]]-C170)/C170</f>
        <v>5.1414668482502182E-3</v>
      </c>
      <c r="I171" s="12">
        <f>(PrincipalesVariables[[#This Row],[Dólar  mayorista]]-E170)/E170</f>
        <v>0</v>
      </c>
      <c r="J171" s="12">
        <f>(PrincipalesVariables[[#This Row],[Reservas internacionales]]-F170)/F170</f>
        <v>6.6267588522453665E-5</v>
      </c>
    </row>
    <row r="172" spans="1:10" ht="15.75" thickBot="1" x14ac:dyDescent="0.3">
      <c r="A172" s="14">
        <v>41165</v>
      </c>
      <c r="B172" s="15">
        <v>41165</v>
      </c>
      <c r="C172" s="16">
        <v>263168</v>
      </c>
      <c r="D172" s="10">
        <f>PrincipalesVariables[[#This Row],[Base monetaria]]/1000000</f>
        <v>0.26316800000000001</v>
      </c>
      <c r="E172" s="10">
        <v>4.66</v>
      </c>
      <c r="F172" s="11">
        <v>45306</v>
      </c>
      <c r="H172" s="12">
        <f>(PrincipalesVariables[[#This Row],[Base monetaria]]-C171)/C171</f>
        <v>1.5984898077245117E-3</v>
      </c>
      <c r="I172" s="12">
        <f>(PrincipalesVariables[[#This Row],[Dólar  mayorista]]-E171)/E171</f>
        <v>0</v>
      </c>
      <c r="J172" s="12">
        <f>(PrincipalesVariables[[#This Row],[Reservas internacionales]]-F171)/F171</f>
        <v>7.0680743914829699E-4</v>
      </c>
    </row>
    <row r="173" spans="1:10" ht="15.75" thickBot="1" x14ac:dyDescent="0.3">
      <c r="A173" s="14">
        <v>41166</v>
      </c>
      <c r="B173" s="15">
        <v>41166</v>
      </c>
      <c r="C173" s="16">
        <v>263128</v>
      </c>
      <c r="D173" s="10">
        <f>PrincipalesVariables[[#This Row],[Base monetaria]]/1000000</f>
        <v>0.26312799999999997</v>
      </c>
      <c r="E173" s="10">
        <v>4.67</v>
      </c>
      <c r="F173" s="11">
        <v>45362</v>
      </c>
      <c r="H173" s="12">
        <f>(PrincipalesVariables[[#This Row],[Base monetaria]]-C172)/C172</f>
        <v>-1.5199416342412452E-4</v>
      </c>
      <c r="I173" s="12">
        <f>(PrincipalesVariables[[#This Row],[Dólar  mayorista]]-E172)/E172</f>
        <v>2.1459227467810699E-3</v>
      </c>
      <c r="J173" s="12">
        <f>(PrincipalesVariables[[#This Row],[Reservas internacionales]]-F172)/F172</f>
        <v>1.2360393766830001E-3</v>
      </c>
    </row>
    <row r="174" spans="1:10" ht="15.75" thickBot="1" x14ac:dyDescent="0.3">
      <c r="A174" s="14">
        <v>41169</v>
      </c>
      <c r="B174" s="15">
        <v>41169</v>
      </c>
      <c r="C174" s="16">
        <v>262215</v>
      </c>
      <c r="D174" s="10">
        <f>PrincipalesVariables[[#This Row],[Base monetaria]]/1000000</f>
        <v>0.26221499999999998</v>
      </c>
      <c r="E174" s="10">
        <v>4.67</v>
      </c>
      <c r="F174" s="11">
        <v>45253</v>
      </c>
      <c r="H174" s="12">
        <f>(PrincipalesVariables[[#This Row],[Base monetaria]]-C173)/C173</f>
        <v>-3.4697941686175548E-3</v>
      </c>
      <c r="I174" s="12">
        <f>(PrincipalesVariables[[#This Row],[Dólar  mayorista]]-E173)/E173</f>
        <v>0</v>
      </c>
      <c r="J174" s="12">
        <f>(PrincipalesVariables[[#This Row],[Reservas internacionales]]-F173)/F173</f>
        <v>-2.4028922886997926E-3</v>
      </c>
    </row>
    <row r="175" spans="1:10" ht="15.75" thickBot="1" x14ac:dyDescent="0.3">
      <c r="A175" s="14">
        <v>41170</v>
      </c>
      <c r="B175" s="15">
        <v>41170</v>
      </c>
      <c r="C175" s="16">
        <v>261501</v>
      </c>
      <c r="D175" s="10">
        <f>PrincipalesVariables[[#This Row],[Base monetaria]]/1000000</f>
        <v>0.26150099999999998</v>
      </c>
      <c r="E175" s="10">
        <v>4.68</v>
      </c>
      <c r="F175" s="11">
        <v>45261</v>
      </c>
      <c r="H175" s="12">
        <f>(PrincipalesVariables[[#This Row],[Base monetaria]]-C174)/C174</f>
        <v>-2.7229563526114066E-3</v>
      </c>
      <c r="I175" s="12">
        <f>(PrincipalesVariables[[#This Row],[Dólar  mayorista]]-E174)/E174</f>
        <v>2.1413276231262929E-3</v>
      </c>
      <c r="J175" s="12">
        <f>(PrincipalesVariables[[#This Row],[Reservas internacionales]]-F174)/F174</f>
        <v>1.7678385963361545E-4</v>
      </c>
    </row>
    <row r="176" spans="1:10" ht="15.75" thickBot="1" x14ac:dyDescent="0.3">
      <c r="A176" s="14">
        <v>41171</v>
      </c>
      <c r="B176" s="15">
        <v>41171</v>
      </c>
      <c r="C176" s="16">
        <v>261283</v>
      </c>
      <c r="D176" s="10">
        <f>PrincipalesVariables[[#This Row],[Base monetaria]]/1000000</f>
        <v>0.26128299999999999</v>
      </c>
      <c r="E176" s="10">
        <v>4.68</v>
      </c>
      <c r="F176" s="11">
        <v>45250</v>
      </c>
      <c r="H176" s="12">
        <f>(PrincipalesVariables[[#This Row],[Base monetaria]]-C175)/C175</f>
        <v>-8.3364881969858623E-4</v>
      </c>
      <c r="I176" s="12">
        <f>(PrincipalesVariables[[#This Row],[Dólar  mayorista]]-E175)/E175</f>
        <v>0</v>
      </c>
      <c r="J176" s="12">
        <f>(PrincipalesVariables[[#This Row],[Reservas internacionales]]-F175)/F175</f>
        <v>-2.4303484235876362E-4</v>
      </c>
    </row>
    <row r="177" spans="1:10" ht="15.75" thickBot="1" x14ac:dyDescent="0.3">
      <c r="A177" s="14">
        <v>41172</v>
      </c>
      <c r="B177" s="15">
        <v>41172</v>
      </c>
      <c r="C177" s="16">
        <v>261059</v>
      </c>
      <c r="D177" s="10">
        <f>PrincipalesVariables[[#This Row],[Base monetaria]]/1000000</f>
        <v>0.26105899999999999</v>
      </c>
      <c r="E177" s="10">
        <v>4.68</v>
      </c>
      <c r="F177" s="11">
        <v>45239</v>
      </c>
      <c r="H177" s="12">
        <f>(PrincipalesVariables[[#This Row],[Base monetaria]]-C176)/C176</f>
        <v>-8.5730797640872153E-4</v>
      </c>
      <c r="I177" s="12">
        <f>(PrincipalesVariables[[#This Row],[Dólar  mayorista]]-E176)/E176</f>
        <v>0</v>
      </c>
      <c r="J177" s="12">
        <f>(PrincipalesVariables[[#This Row],[Reservas internacionales]]-F176)/F176</f>
        <v>-2.4309392265193369E-4</v>
      </c>
    </row>
    <row r="178" spans="1:10" ht="15.75" thickBot="1" x14ac:dyDescent="0.3">
      <c r="A178" s="14">
        <v>41173</v>
      </c>
      <c r="B178" s="15">
        <v>41173</v>
      </c>
      <c r="C178" s="16">
        <v>257485</v>
      </c>
      <c r="D178" s="10">
        <f>PrincipalesVariables[[#This Row],[Base monetaria]]/1000000</f>
        <v>0.25748500000000002</v>
      </c>
      <c r="E178" s="10">
        <v>4.68</v>
      </c>
      <c r="F178" s="11">
        <v>45311</v>
      </c>
      <c r="H178" s="12">
        <f>(PrincipalesVariables[[#This Row],[Base monetaria]]-C177)/C177</f>
        <v>-1.3690391827134862E-2</v>
      </c>
      <c r="I178" s="12">
        <f>(PrincipalesVariables[[#This Row],[Dólar  mayorista]]-E177)/E177</f>
        <v>0</v>
      </c>
      <c r="J178" s="12">
        <f>(PrincipalesVariables[[#This Row],[Reservas internacionales]]-F177)/F177</f>
        <v>1.5915471164260925E-3</v>
      </c>
    </row>
    <row r="179" spans="1:10" ht="15.75" thickBot="1" x14ac:dyDescent="0.3">
      <c r="A179" s="14">
        <v>41177</v>
      </c>
      <c r="B179" s="15">
        <v>41177</v>
      </c>
      <c r="C179" s="16">
        <v>259088</v>
      </c>
      <c r="D179" s="10">
        <f>PrincipalesVariables[[#This Row],[Base monetaria]]/1000000</f>
        <v>0.25908799999999998</v>
      </c>
      <c r="E179" s="10">
        <v>4.6900000000000004</v>
      </c>
      <c r="F179" s="11">
        <v>45244</v>
      </c>
      <c r="H179" s="12">
        <f>(PrincipalesVariables[[#This Row],[Base monetaria]]-C178)/C178</f>
        <v>6.2256053750703927E-3</v>
      </c>
      <c r="I179" s="12">
        <f>(PrincipalesVariables[[#This Row],[Dólar  mayorista]]-E178)/E178</f>
        <v>2.1367521367522809E-3</v>
      </c>
      <c r="J179" s="12">
        <f>(PrincipalesVariables[[#This Row],[Reservas internacionales]]-F178)/F178</f>
        <v>-1.4786696387190748E-3</v>
      </c>
    </row>
    <row r="180" spans="1:10" ht="15.75" thickBot="1" x14ac:dyDescent="0.3">
      <c r="A180" s="14">
        <v>41178</v>
      </c>
      <c r="B180" s="15">
        <v>41178</v>
      </c>
      <c r="C180" s="16">
        <v>258915</v>
      </c>
      <c r="D180" s="10">
        <f>PrincipalesVariables[[#This Row],[Base monetaria]]/1000000</f>
        <v>0.25891500000000001</v>
      </c>
      <c r="E180" s="10">
        <v>4.6900000000000004</v>
      </c>
      <c r="F180" s="11">
        <v>45161</v>
      </c>
      <c r="H180" s="12">
        <f>(PrincipalesVariables[[#This Row],[Base monetaria]]-C179)/C179</f>
        <v>-6.6772679552893222E-4</v>
      </c>
      <c r="I180" s="12">
        <f>(PrincipalesVariables[[#This Row],[Dólar  mayorista]]-E179)/E179</f>
        <v>0</v>
      </c>
      <c r="J180" s="12">
        <f>(PrincipalesVariables[[#This Row],[Reservas internacionales]]-F179)/F179</f>
        <v>-1.8344973919193705E-3</v>
      </c>
    </row>
    <row r="181" spans="1:10" ht="15.75" thickBot="1" x14ac:dyDescent="0.3">
      <c r="A181" s="14">
        <v>41179</v>
      </c>
      <c r="B181" s="15">
        <v>41179</v>
      </c>
      <c r="C181" s="16">
        <v>264362</v>
      </c>
      <c r="D181" s="10">
        <f>PrincipalesVariables[[#This Row],[Base monetaria]]/1000000</f>
        <v>0.26436199999999999</v>
      </c>
      <c r="E181" s="10">
        <v>4.6900000000000004</v>
      </c>
      <c r="F181" s="11">
        <v>45176</v>
      </c>
      <c r="H181" s="12">
        <f>(PrincipalesVariables[[#This Row],[Base monetaria]]-C180)/C180</f>
        <v>2.1037792325666726E-2</v>
      </c>
      <c r="I181" s="12">
        <f>(PrincipalesVariables[[#This Row],[Dólar  mayorista]]-E180)/E180</f>
        <v>0</v>
      </c>
      <c r="J181" s="12">
        <f>(PrincipalesVariables[[#This Row],[Reservas internacionales]]-F180)/F180</f>
        <v>3.321449923606652E-4</v>
      </c>
    </row>
    <row r="182" spans="1:10" ht="15.75" thickBot="1" x14ac:dyDescent="0.3">
      <c r="A182" s="14">
        <v>41180</v>
      </c>
      <c r="B182" s="15">
        <v>41180</v>
      </c>
      <c r="C182" s="16">
        <v>265189</v>
      </c>
      <c r="D182" s="10">
        <f>PrincipalesVariables[[#This Row],[Base monetaria]]/1000000</f>
        <v>0.26518900000000001</v>
      </c>
      <c r="E182" s="10">
        <v>4.6900000000000004</v>
      </c>
      <c r="F182" s="11">
        <v>45010</v>
      </c>
      <c r="H182" s="12">
        <f>(PrincipalesVariables[[#This Row],[Base monetaria]]-C181)/C181</f>
        <v>3.1282862136010471E-3</v>
      </c>
      <c r="I182" s="12">
        <f>(PrincipalesVariables[[#This Row],[Dólar  mayorista]]-E181)/E181</f>
        <v>0</v>
      </c>
      <c r="J182" s="12">
        <f>(PrincipalesVariables[[#This Row],[Reservas internacionales]]-F181)/F181</f>
        <v>-3.6745174428900302E-3</v>
      </c>
    </row>
    <row r="183" spans="1:10" ht="15.75" thickBot="1" x14ac:dyDescent="0.3">
      <c r="A183" s="14">
        <v>41183</v>
      </c>
      <c r="B183" s="15">
        <v>41183</v>
      </c>
      <c r="C183" s="16">
        <v>269906</v>
      </c>
      <c r="D183" s="10">
        <f>PrincipalesVariables[[#This Row],[Base monetaria]]/1000000</f>
        <v>0.26990599999999998</v>
      </c>
      <c r="E183" s="10">
        <v>4.7</v>
      </c>
      <c r="F183" s="11">
        <v>45089</v>
      </c>
      <c r="H183" s="12">
        <f>(PrincipalesVariables[[#This Row],[Base monetaria]]-C182)/C182</f>
        <v>1.7787313953444524E-2</v>
      </c>
      <c r="I183" s="12">
        <f>(PrincipalesVariables[[#This Row],[Dólar  mayorista]]-E182)/E182</f>
        <v>2.1321961620468627E-3</v>
      </c>
      <c r="J183" s="12">
        <f>(PrincipalesVariables[[#This Row],[Reservas internacionales]]-F182)/F182</f>
        <v>1.7551655187736058E-3</v>
      </c>
    </row>
    <row r="184" spans="1:10" ht="15.75" thickBot="1" x14ac:dyDescent="0.3">
      <c r="A184" s="14">
        <v>41184</v>
      </c>
      <c r="B184" s="15">
        <v>41184</v>
      </c>
      <c r="C184" s="16">
        <v>269365</v>
      </c>
      <c r="D184" s="10">
        <f>PrincipalesVariables[[#This Row],[Base monetaria]]/1000000</f>
        <v>0.26936500000000002</v>
      </c>
      <c r="E184" s="10">
        <v>4.7</v>
      </c>
      <c r="F184" s="11">
        <v>45107</v>
      </c>
      <c r="H184" s="12">
        <f>(PrincipalesVariables[[#This Row],[Base monetaria]]-C183)/C183</f>
        <v>-2.0044015323853492E-3</v>
      </c>
      <c r="I184" s="12">
        <f>(PrincipalesVariables[[#This Row],[Dólar  mayorista]]-E183)/E183</f>
        <v>0</v>
      </c>
      <c r="J184" s="12">
        <f>(PrincipalesVariables[[#This Row],[Reservas internacionales]]-F183)/F183</f>
        <v>3.9921045044245823E-4</v>
      </c>
    </row>
    <row r="185" spans="1:10" ht="15.75" thickBot="1" x14ac:dyDescent="0.3">
      <c r="A185" s="14">
        <v>41185</v>
      </c>
      <c r="B185" s="15">
        <v>41185</v>
      </c>
      <c r="C185" s="16">
        <v>269069</v>
      </c>
      <c r="D185" s="10">
        <f>PrincipalesVariables[[#This Row],[Base monetaria]]/1000000</f>
        <v>0.269069</v>
      </c>
      <c r="E185" s="10">
        <v>4.7</v>
      </c>
      <c r="F185" s="11">
        <v>44975</v>
      </c>
      <c r="H185" s="12">
        <f>(PrincipalesVariables[[#This Row],[Base monetaria]]-C184)/C184</f>
        <v>-1.0988807009076904E-3</v>
      </c>
      <c r="I185" s="12">
        <f>(PrincipalesVariables[[#This Row],[Dólar  mayorista]]-E184)/E184</f>
        <v>0</v>
      </c>
      <c r="J185" s="12">
        <f>(PrincipalesVariables[[#This Row],[Reservas internacionales]]-F184)/F184</f>
        <v>-2.9263750637373359E-3</v>
      </c>
    </row>
    <row r="186" spans="1:10" ht="15.75" thickBot="1" x14ac:dyDescent="0.3">
      <c r="A186" s="14">
        <v>41186</v>
      </c>
      <c r="B186" s="15">
        <v>41186</v>
      </c>
      <c r="C186" s="16">
        <v>268131</v>
      </c>
      <c r="D186" s="10">
        <f>PrincipalesVariables[[#This Row],[Base monetaria]]/1000000</f>
        <v>0.26813100000000001</v>
      </c>
      <c r="E186" s="10">
        <v>4.7</v>
      </c>
      <c r="F186" s="11">
        <v>45020</v>
      </c>
      <c r="H186" s="12">
        <f>(PrincipalesVariables[[#This Row],[Base monetaria]]-C185)/C185</f>
        <v>-3.4860946448680452E-3</v>
      </c>
      <c r="I186" s="12">
        <f>(PrincipalesVariables[[#This Row],[Dólar  mayorista]]-E185)/E185</f>
        <v>0</v>
      </c>
      <c r="J186" s="12">
        <f>(PrincipalesVariables[[#This Row],[Reservas internacionales]]-F185)/F185</f>
        <v>1.0005558643690939E-3</v>
      </c>
    </row>
    <row r="187" spans="1:10" ht="15.75" thickBot="1" x14ac:dyDescent="0.3">
      <c r="A187" s="14">
        <v>41187</v>
      </c>
      <c r="B187" s="15">
        <v>41187</v>
      </c>
      <c r="C187" s="16">
        <v>267785</v>
      </c>
      <c r="D187" s="10">
        <f>PrincipalesVariables[[#This Row],[Base monetaria]]/1000000</f>
        <v>0.267785</v>
      </c>
      <c r="E187" s="10">
        <v>4.71</v>
      </c>
      <c r="F187" s="11">
        <v>45130</v>
      </c>
      <c r="H187" s="12">
        <f>(PrincipalesVariables[[#This Row],[Base monetaria]]-C186)/C186</f>
        <v>-1.2904140140453733E-3</v>
      </c>
      <c r="I187" s="12">
        <f>(PrincipalesVariables[[#This Row],[Dólar  mayorista]]-E186)/E186</f>
        <v>2.1276595744680396E-3</v>
      </c>
      <c r="J187" s="12">
        <f>(PrincipalesVariables[[#This Row],[Reservas internacionales]]-F186)/F186</f>
        <v>2.4433585073300756E-3</v>
      </c>
    </row>
    <row r="188" spans="1:10" ht="15.75" thickBot="1" x14ac:dyDescent="0.3">
      <c r="A188" s="14">
        <v>41191</v>
      </c>
      <c r="B188" s="15">
        <v>41191</v>
      </c>
      <c r="C188" s="16">
        <v>265049</v>
      </c>
      <c r="D188" s="10">
        <f>PrincipalesVariables[[#This Row],[Base monetaria]]/1000000</f>
        <v>0.26504899999999998</v>
      </c>
      <c r="E188" s="10">
        <v>4.71</v>
      </c>
      <c r="F188" s="11">
        <v>45125</v>
      </c>
      <c r="H188" s="12">
        <f>(PrincipalesVariables[[#This Row],[Base monetaria]]-C187)/C187</f>
        <v>-1.0217151819556734E-2</v>
      </c>
      <c r="I188" s="12">
        <f>(PrincipalesVariables[[#This Row],[Dólar  mayorista]]-E187)/E187</f>
        <v>0</v>
      </c>
      <c r="J188" s="12">
        <f>(PrincipalesVariables[[#This Row],[Reservas internacionales]]-F187)/F187</f>
        <v>-1.1079104808331487E-4</v>
      </c>
    </row>
    <row r="189" spans="1:10" ht="15.75" thickBot="1" x14ac:dyDescent="0.3">
      <c r="A189" s="14">
        <v>41192</v>
      </c>
      <c r="B189" s="15">
        <v>41192</v>
      </c>
      <c r="C189" s="16">
        <v>263172</v>
      </c>
      <c r="D189" s="10">
        <f>PrincipalesVariables[[#This Row],[Base monetaria]]/1000000</f>
        <v>0.26317200000000002</v>
      </c>
      <c r="E189" s="10">
        <v>4.71</v>
      </c>
      <c r="F189" s="11">
        <v>45142</v>
      </c>
      <c r="H189" s="12">
        <f>(PrincipalesVariables[[#This Row],[Base monetaria]]-C188)/C188</f>
        <v>-7.0817094197676653E-3</v>
      </c>
      <c r="I189" s="12">
        <f>(PrincipalesVariables[[#This Row],[Dólar  mayorista]]-E188)/E188</f>
        <v>0</v>
      </c>
      <c r="J189" s="12">
        <f>(PrincipalesVariables[[#This Row],[Reservas internacionales]]-F188)/F188</f>
        <v>3.7673130193905817E-4</v>
      </c>
    </row>
    <row r="190" spans="1:10" ht="15.75" thickBot="1" x14ac:dyDescent="0.3">
      <c r="A190" s="14">
        <v>41193</v>
      </c>
      <c r="B190" s="15">
        <v>41193</v>
      </c>
      <c r="C190" s="16">
        <v>263383</v>
      </c>
      <c r="D190" s="10">
        <f>PrincipalesVariables[[#This Row],[Base monetaria]]/1000000</f>
        <v>0.26338299999999998</v>
      </c>
      <c r="E190" s="10">
        <v>4.72</v>
      </c>
      <c r="F190" s="11">
        <v>45162</v>
      </c>
      <c r="H190" s="12">
        <f>(PrincipalesVariables[[#This Row],[Base monetaria]]-C189)/C189</f>
        <v>8.0175702582341584E-4</v>
      </c>
      <c r="I190" s="12">
        <f>(PrincipalesVariables[[#This Row],[Dólar  mayorista]]-E189)/E189</f>
        <v>2.1231422505307404E-3</v>
      </c>
      <c r="J190" s="12">
        <f>(PrincipalesVariables[[#This Row],[Reservas internacionales]]-F189)/F189</f>
        <v>4.4304638695671439E-4</v>
      </c>
    </row>
    <row r="191" spans="1:10" ht="15.75" thickBot="1" x14ac:dyDescent="0.3">
      <c r="A191" s="14">
        <v>41194</v>
      </c>
      <c r="B191" s="15">
        <v>41194</v>
      </c>
      <c r="C191" s="16">
        <v>263697</v>
      </c>
      <c r="D191" s="10">
        <f>PrincipalesVariables[[#This Row],[Base monetaria]]/1000000</f>
        <v>0.26369700000000001</v>
      </c>
      <c r="E191" s="10">
        <v>4.72</v>
      </c>
      <c r="F191" s="11">
        <v>45109</v>
      </c>
      <c r="H191" s="12">
        <f>(PrincipalesVariables[[#This Row],[Base monetaria]]-C190)/C190</f>
        <v>1.1921802090491794E-3</v>
      </c>
      <c r="I191" s="12">
        <f>(PrincipalesVariables[[#This Row],[Dólar  mayorista]]-E190)/E190</f>
        <v>0</v>
      </c>
      <c r="J191" s="12">
        <f>(PrincipalesVariables[[#This Row],[Reservas internacionales]]-F190)/F190</f>
        <v>-1.1735529870244897E-3</v>
      </c>
    </row>
    <row r="192" spans="1:10" ht="15.75" thickBot="1" x14ac:dyDescent="0.3">
      <c r="A192" s="14">
        <v>41197</v>
      </c>
      <c r="B192" s="15">
        <v>41197</v>
      </c>
      <c r="C192" s="16">
        <v>265352</v>
      </c>
      <c r="D192" s="10">
        <f>PrincipalesVariables[[#This Row],[Base monetaria]]/1000000</f>
        <v>0.26535199999999998</v>
      </c>
      <c r="E192" s="10">
        <v>4.7300000000000004</v>
      </c>
      <c r="F192" s="11">
        <v>44979</v>
      </c>
      <c r="H192" s="12">
        <f>(PrincipalesVariables[[#This Row],[Base monetaria]]-C191)/C191</f>
        <v>6.2761426940769142E-3</v>
      </c>
      <c r="I192" s="12">
        <f>(PrincipalesVariables[[#This Row],[Dólar  mayorista]]-E191)/E191</f>
        <v>2.1186440677967533E-3</v>
      </c>
      <c r="J192" s="12">
        <f>(PrincipalesVariables[[#This Row],[Reservas internacionales]]-F191)/F191</f>
        <v>-2.88190826664302E-3</v>
      </c>
    </row>
    <row r="193" spans="1:10" ht="15.75" thickBot="1" x14ac:dyDescent="0.3">
      <c r="A193" s="14">
        <v>41198</v>
      </c>
      <c r="B193" s="15">
        <v>41198</v>
      </c>
      <c r="C193" s="16">
        <v>264999</v>
      </c>
      <c r="D193" s="10">
        <f>PrincipalesVariables[[#This Row],[Base monetaria]]/1000000</f>
        <v>0.26499899999999998</v>
      </c>
      <c r="E193" s="10">
        <v>4.7300000000000004</v>
      </c>
      <c r="F193" s="11">
        <v>44974</v>
      </c>
      <c r="H193" s="12">
        <f>(PrincipalesVariables[[#This Row],[Base monetaria]]-C192)/C192</f>
        <v>-1.3303084205131296E-3</v>
      </c>
      <c r="I193" s="12">
        <f>(PrincipalesVariables[[#This Row],[Dólar  mayorista]]-E192)/E192</f>
        <v>0</v>
      </c>
      <c r="J193" s="12">
        <f>(PrincipalesVariables[[#This Row],[Reservas internacionales]]-F192)/F192</f>
        <v>-1.1116298717179128E-4</v>
      </c>
    </row>
    <row r="194" spans="1:10" ht="15.75" thickBot="1" x14ac:dyDescent="0.3">
      <c r="A194" s="14">
        <v>41199</v>
      </c>
      <c r="B194" s="15">
        <v>41199</v>
      </c>
      <c r="C194" s="16">
        <v>266089</v>
      </c>
      <c r="D194" s="10">
        <f>PrincipalesVariables[[#This Row],[Base monetaria]]/1000000</f>
        <v>0.26608900000000002</v>
      </c>
      <c r="E194" s="10">
        <v>4.7300000000000004</v>
      </c>
      <c r="F194" s="11">
        <v>44924</v>
      </c>
      <c r="H194" s="12">
        <f>(PrincipalesVariables[[#This Row],[Base monetaria]]-C193)/C193</f>
        <v>4.1132230687662974E-3</v>
      </c>
      <c r="I194" s="12">
        <f>(PrincipalesVariables[[#This Row],[Dólar  mayorista]]-E193)/E193</f>
        <v>0</v>
      </c>
      <c r="J194" s="12">
        <f>(PrincipalesVariables[[#This Row],[Reservas internacionales]]-F193)/F193</f>
        <v>-1.1117534575532529E-3</v>
      </c>
    </row>
    <row r="195" spans="1:10" ht="15.75" thickBot="1" x14ac:dyDescent="0.3">
      <c r="A195" s="14">
        <v>41200</v>
      </c>
      <c r="B195" s="15">
        <v>41200</v>
      </c>
      <c r="C195" s="16">
        <v>266041</v>
      </c>
      <c r="D195" s="10">
        <f>PrincipalesVariables[[#This Row],[Base monetaria]]/1000000</f>
        <v>0.26604100000000003</v>
      </c>
      <c r="E195" s="10">
        <v>4.7300000000000004</v>
      </c>
      <c r="F195" s="11">
        <v>44922</v>
      </c>
      <c r="H195" s="12">
        <f>(PrincipalesVariables[[#This Row],[Base monetaria]]-C194)/C194</f>
        <v>-1.8039077150878091E-4</v>
      </c>
      <c r="I195" s="12">
        <f>(PrincipalesVariables[[#This Row],[Dólar  mayorista]]-E194)/E194</f>
        <v>0</v>
      </c>
      <c r="J195" s="12">
        <f>(PrincipalesVariables[[#This Row],[Reservas internacionales]]-F194)/F194</f>
        <v>-4.4519633158222776E-5</v>
      </c>
    </row>
    <row r="196" spans="1:10" ht="15.75" thickBot="1" x14ac:dyDescent="0.3">
      <c r="A196" s="14">
        <v>41201</v>
      </c>
      <c r="B196" s="15">
        <v>41201</v>
      </c>
      <c r="C196" s="16">
        <v>266060</v>
      </c>
      <c r="D196" s="10">
        <f>PrincipalesVariables[[#This Row],[Base monetaria]]/1000000</f>
        <v>0.26606000000000002</v>
      </c>
      <c r="E196" s="10">
        <v>4.74</v>
      </c>
      <c r="F196" s="11">
        <v>44935</v>
      </c>
      <c r="H196" s="12">
        <f>(PrincipalesVariables[[#This Row],[Base monetaria]]-C195)/C195</f>
        <v>7.1417563458263958E-5</v>
      </c>
      <c r="I196" s="12">
        <f>(PrincipalesVariables[[#This Row],[Dólar  mayorista]]-E195)/E195</f>
        <v>2.1141649048625338E-3</v>
      </c>
      <c r="J196" s="12">
        <f>(PrincipalesVariables[[#This Row],[Reservas internacionales]]-F195)/F195</f>
        <v>2.893904990873069E-4</v>
      </c>
    </row>
    <row r="197" spans="1:10" ht="15.75" thickBot="1" x14ac:dyDescent="0.3">
      <c r="A197" s="14">
        <v>41204</v>
      </c>
      <c r="B197" s="15">
        <v>41204</v>
      </c>
      <c r="C197" s="16">
        <v>262226</v>
      </c>
      <c r="D197" s="10">
        <f>PrincipalesVariables[[#This Row],[Base monetaria]]/1000000</f>
        <v>0.26222600000000001</v>
      </c>
      <c r="E197" s="10">
        <v>4.74</v>
      </c>
      <c r="F197" s="11">
        <v>44893</v>
      </c>
      <c r="H197" s="12">
        <f>(PrincipalesVariables[[#This Row],[Base monetaria]]-C196)/C196</f>
        <v>-1.4410283394722995E-2</v>
      </c>
      <c r="I197" s="12">
        <f>(PrincipalesVariables[[#This Row],[Dólar  mayorista]]-E196)/E196</f>
        <v>0</v>
      </c>
      <c r="J197" s="12">
        <f>(PrincipalesVariables[[#This Row],[Reservas internacionales]]-F196)/F196</f>
        <v>-9.3468343162345612E-4</v>
      </c>
    </row>
    <row r="198" spans="1:10" ht="15.75" thickBot="1" x14ac:dyDescent="0.3">
      <c r="A198" s="14">
        <v>41205</v>
      </c>
      <c r="B198" s="15">
        <v>41205</v>
      </c>
      <c r="C198" s="16">
        <v>259802</v>
      </c>
      <c r="D198" s="10">
        <f>PrincipalesVariables[[#This Row],[Base monetaria]]/1000000</f>
        <v>0.25980199999999998</v>
      </c>
      <c r="E198" s="10">
        <v>4.74</v>
      </c>
      <c r="F198" s="11">
        <v>44854</v>
      </c>
      <c r="H198" s="12">
        <f>(PrincipalesVariables[[#This Row],[Base monetaria]]-C197)/C197</f>
        <v>-9.2439346212808797E-3</v>
      </c>
      <c r="I198" s="12">
        <f>(PrincipalesVariables[[#This Row],[Dólar  mayorista]]-E197)/E197</f>
        <v>0</v>
      </c>
      <c r="J198" s="12">
        <f>(PrincipalesVariables[[#This Row],[Reservas internacionales]]-F197)/F197</f>
        <v>-8.6873231906978816E-4</v>
      </c>
    </row>
    <row r="199" spans="1:10" ht="15.75" thickBot="1" x14ac:dyDescent="0.3">
      <c r="A199" s="14">
        <v>41206</v>
      </c>
      <c r="B199" s="15">
        <v>41206</v>
      </c>
      <c r="C199" s="16">
        <v>262370</v>
      </c>
      <c r="D199" s="10">
        <f>PrincipalesVariables[[#This Row],[Base monetaria]]/1000000</f>
        <v>0.26236999999999999</v>
      </c>
      <c r="E199" s="10">
        <v>4.75</v>
      </c>
      <c r="F199" s="11">
        <v>44792</v>
      </c>
      <c r="H199" s="12">
        <f>(PrincipalesVariables[[#This Row],[Base monetaria]]-C198)/C198</f>
        <v>9.884450466124203E-3</v>
      </c>
      <c r="I199" s="12">
        <f>(PrincipalesVariables[[#This Row],[Dólar  mayorista]]-E198)/E198</f>
        <v>2.1097046413501657E-3</v>
      </c>
      <c r="J199" s="12">
        <f>(PrincipalesVariables[[#This Row],[Reservas internacionales]]-F198)/F198</f>
        <v>-1.3822624515093414E-3</v>
      </c>
    </row>
    <row r="200" spans="1:10" ht="15.75" thickBot="1" x14ac:dyDescent="0.3">
      <c r="A200" s="14">
        <v>41207</v>
      </c>
      <c r="B200" s="15">
        <v>41207</v>
      </c>
      <c r="C200" s="16">
        <v>264965</v>
      </c>
      <c r="D200" s="10">
        <f>PrincipalesVariables[[#This Row],[Base monetaria]]/1000000</f>
        <v>0.26496500000000001</v>
      </c>
      <c r="E200" s="10">
        <v>4.75</v>
      </c>
      <c r="F200" s="11">
        <v>45313</v>
      </c>
      <c r="H200" s="12">
        <f>(PrincipalesVariables[[#This Row],[Base monetaria]]-C199)/C199</f>
        <v>9.8906124938064558E-3</v>
      </c>
      <c r="I200" s="12">
        <f>(PrincipalesVariables[[#This Row],[Dólar  mayorista]]-E199)/E199</f>
        <v>0</v>
      </c>
      <c r="J200" s="12">
        <f>(PrincipalesVariables[[#This Row],[Reservas internacionales]]-F199)/F199</f>
        <v>1.1631541346669048E-2</v>
      </c>
    </row>
    <row r="201" spans="1:10" ht="15.75" thickBot="1" x14ac:dyDescent="0.3">
      <c r="A201" s="14">
        <v>41208</v>
      </c>
      <c r="B201" s="15">
        <v>41208</v>
      </c>
      <c r="C201" s="16">
        <v>262998</v>
      </c>
      <c r="D201" s="10">
        <f>PrincipalesVariables[[#This Row],[Base monetaria]]/1000000</f>
        <v>0.26299800000000001</v>
      </c>
      <c r="E201" s="10">
        <v>4.75</v>
      </c>
      <c r="F201" s="11">
        <v>45253</v>
      </c>
      <c r="H201" s="12">
        <f>(PrincipalesVariables[[#This Row],[Base monetaria]]-C200)/C200</f>
        <v>-7.4236219878097108E-3</v>
      </c>
      <c r="I201" s="12">
        <f>(PrincipalesVariables[[#This Row],[Dólar  mayorista]]-E200)/E200</f>
        <v>0</v>
      </c>
      <c r="J201" s="12">
        <f>(PrincipalesVariables[[#This Row],[Reservas internacionales]]-F200)/F200</f>
        <v>-1.3241233200185377E-3</v>
      </c>
    </row>
    <row r="202" spans="1:10" ht="15.75" thickBot="1" x14ac:dyDescent="0.3">
      <c r="A202" s="14">
        <v>41211</v>
      </c>
      <c r="B202" s="15">
        <v>41211</v>
      </c>
      <c r="C202" s="16">
        <v>264328</v>
      </c>
      <c r="D202" s="10">
        <f>PrincipalesVariables[[#This Row],[Base monetaria]]/1000000</f>
        <v>0.26432800000000001</v>
      </c>
      <c r="E202" s="10">
        <v>4.76</v>
      </c>
      <c r="F202" s="11">
        <v>45269</v>
      </c>
      <c r="H202" s="12">
        <f>(PrincipalesVariables[[#This Row],[Base monetaria]]-C201)/C201</f>
        <v>5.057072677358763E-3</v>
      </c>
      <c r="I202" s="12">
        <f>(PrincipalesVariables[[#This Row],[Dólar  mayorista]]-E201)/E201</f>
        <v>2.1052631578946921E-3</v>
      </c>
      <c r="J202" s="12">
        <f>(PrincipalesVariables[[#This Row],[Reservas internacionales]]-F201)/F201</f>
        <v>3.535677192672309E-4</v>
      </c>
    </row>
    <row r="203" spans="1:10" ht="15.75" thickBot="1" x14ac:dyDescent="0.3">
      <c r="A203" s="14">
        <v>41212</v>
      </c>
      <c r="B203" s="15">
        <v>41212</v>
      </c>
      <c r="C203" s="16">
        <v>262866</v>
      </c>
      <c r="D203" s="10">
        <f>PrincipalesVariables[[#This Row],[Base monetaria]]/1000000</f>
        <v>0.26286599999999999</v>
      </c>
      <c r="E203" s="10">
        <v>4.76</v>
      </c>
      <c r="F203" s="11">
        <v>45128</v>
      </c>
      <c r="H203" s="12">
        <f>(PrincipalesVariables[[#This Row],[Base monetaria]]-C202)/C202</f>
        <v>-5.531006930782967E-3</v>
      </c>
      <c r="I203" s="12">
        <f>(PrincipalesVariables[[#This Row],[Dólar  mayorista]]-E202)/E202</f>
        <v>0</v>
      </c>
      <c r="J203" s="12">
        <f>(PrincipalesVariables[[#This Row],[Reservas internacionales]]-F202)/F202</f>
        <v>-3.1147142636241136E-3</v>
      </c>
    </row>
    <row r="204" spans="1:10" ht="15.75" thickBot="1" x14ac:dyDescent="0.3">
      <c r="A204" s="14">
        <v>41213</v>
      </c>
      <c r="B204" s="15">
        <v>41213</v>
      </c>
      <c r="C204" s="16">
        <v>265116</v>
      </c>
      <c r="D204" s="10">
        <f>PrincipalesVariables[[#This Row],[Base monetaria]]/1000000</f>
        <v>0.26511600000000002</v>
      </c>
      <c r="E204" s="10">
        <v>4.7699999999999996</v>
      </c>
      <c r="F204" s="11">
        <v>45274</v>
      </c>
      <c r="H204" s="12">
        <f>(PrincipalesVariables[[#This Row],[Base monetaria]]-C203)/C203</f>
        <v>8.559494190956609E-3</v>
      </c>
      <c r="I204" s="12">
        <f>(PrincipalesVariables[[#This Row],[Dólar  mayorista]]-E203)/E203</f>
        <v>2.100840336134409E-3</v>
      </c>
      <c r="J204" s="12">
        <f>(PrincipalesVariables[[#This Row],[Reservas internacionales]]-F203)/F203</f>
        <v>3.2352419783726288E-3</v>
      </c>
    </row>
    <row r="205" spans="1:10" ht="15.75" thickBot="1" x14ac:dyDescent="0.3">
      <c r="A205" s="14">
        <v>41214</v>
      </c>
      <c r="B205" s="15">
        <v>41214</v>
      </c>
      <c r="C205" s="16">
        <v>274720</v>
      </c>
      <c r="D205" s="10">
        <f>PrincipalesVariables[[#This Row],[Base monetaria]]/1000000</f>
        <v>0.27472000000000002</v>
      </c>
      <c r="E205" s="10">
        <v>4.7699999999999996</v>
      </c>
      <c r="F205" s="11">
        <v>45270</v>
      </c>
      <c r="H205" s="12">
        <f>(PrincipalesVariables[[#This Row],[Base monetaria]]-C204)/C204</f>
        <v>3.6225652167353156E-2</v>
      </c>
      <c r="I205" s="12">
        <f>(PrincipalesVariables[[#This Row],[Dólar  mayorista]]-E204)/E204</f>
        <v>0</v>
      </c>
      <c r="J205" s="12">
        <f>(PrincipalesVariables[[#This Row],[Reservas internacionales]]-F204)/F204</f>
        <v>-8.8350929893537124E-5</v>
      </c>
    </row>
    <row r="206" spans="1:10" ht="15.75" thickBot="1" x14ac:dyDescent="0.3">
      <c r="A206" s="14">
        <v>41215</v>
      </c>
      <c r="B206" s="15">
        <v>41215</v>
      </c>
      <c r="C206" s="16">
        <v>273947</v>
      </c>
      <c r="D206" s="10">
        <f>PrincipalesVariables[[#This Row],[Base monetaria]]/1000000</f>
        <v>0.273947</v>
      </c>
      <c r="E206" s="10">
        <v>4.7699999999999996</v>
      </c>
      <c r="F206" s="11">
        <v>45219</v>
      </c>
      <c r="H206" s="12">
        <f>(PrincipalesVariables[[#This Row],[Base monetaria]]-C205)/C205</f>
        <v>-2.8137740244612696E-3</v>
      </c>
      <c r="I206" s="12">
        <f>(PrincipalesVariables[[#This Row],[Dólar  mayorista]]-E205)/E205</f>
        <v>0</v>
      </c>
      <c r="J206" s="12">
        <f>(PrincipalesVariables[[#This Row],[Reservas internacionales]]-F205)/F205</f>
        <v>-1.1265738899933731E-3</v>
      </c>
    </row>
    <row r="207" spans="1:10" ht="15.75" thickBot="1" x14ac:dyDescent="0.3">
      <c r="A207" s="14">
        <v>41218</v>
      </c>
      <c r="B207" s="15">
        <v>41218</v>
      </c>
      <c r="C207" s="16">
        <v>274126</v>
      </c>
      <c r="D207" s="10">
        <f>PrincipalesVariables[[#This Row],[Base monetaria]]/1000000</f>
        <v>0.27412599999999998</v>
      </c>
      <c r="E207" s="10">
        <v>4.7699999999999996</v>
      </c>
      <c r="F207" s="11">
        <v>45273</v>
      </c>
      <c r="H207" s="12">
        <f>(PrincipalesVariables[[#This Row],[Base monetaria]]-C206)/C206</f>
        <v>6.5341106126367513E-4</v>
      </c>
      <c r="I207" s="12">
        <f>(PrincipalesVariables[[#This Row],[Dólar  mayorista]]-E206)/E206</f>
        <v>0</v>
      </c>
      <c r="J207" s="12">
        <f>(PrincipalesVariables[[#This Row],[Reservas internacionales]]-F206)/F206</f>
        <v>1.1941882836860611E-3</v>
      </c>
    </row>
    <row r="208" spans="1:10" ht="15.75" thickBot="1" x14ac:dyDescent="0.3">
      <c r="A208" s="14">
        <v>41220</v>
      </c>
      <c r="B208" s="15">
        <v>41220</v>
      </c>
      <c r="C208" s="16">
        <v>273057</v>
      </c>
      <c r="D208" s="10">
        <f>PrincipalesVariables[[#This Row],[Base monetaria]]/1000000</f>
        <v>0.27305699999999999</v>
      </c>
      <c r="E208" s="10">
        <v>4.7699999999999996</v>
      </c>
      <c r="F208" s="11">
        <v>45388</v>
      </c>
      <c r="H208" s="12">
        <f>(PrincipalesVariables[[#This Row],[Base monetaria]]-C207)/C207</f>
        <v>-3.8996665766837147E-3</v>
      </c>
      <c r="I208" s="12">
        <f>(PrincipalesVariables[[#This Row],[Dólar  mayorista]]-E207)/E207</f>
        <v>0</v>
      </c>
      <c r="J208" s="12">
        <f>(PrincipalesVariables[[#This Row],[Reservas internacionales]]-F207)/F207</f>
        <v>2.5401453404899168E-3</v>
      </c>
    </row>
    <row r="209" spans="1:10" ht="15.75" thickBot="1" x14ac:dyDescent="0.3">
      <c r="A209" s="14">
        <v>41221</v>
      </c>
      <c r="B209" s="15">
        <v>41221</v>
      </c>
      <c r="C209" s="16">
        <v>272009</v>
      </c>
      <c r="D209" s="10">
        <f>PrincipalesVariables[[#This Row],[Base monetaria]]/1000000</f>
        <v>0.272009</v>
      </c>
      <c r="E209" s="10">
        <v>4.7699999999999996</v>
      </c>
      <c r="F209" s="11">
        <v>45402</v>
      </c>
      <c r="H209" s="12">
        <f>(PrincipalesVariables[[#This Row],[Base monetaria]]-C208)/C208</f>
        <v>-3.8380264926370683E-3</v>
      </c>
      <c r="I209" s="12">
        <f>(PrincipalesVariables[[#This Row],[Dólar  mayorista]]-E208)/E208</f>
        <v>0</v>
      </c>
      <c r="J209" s="12">
        <f>(PrincipalesVariables[[#This Row],[Reservas internacionales]]-F208)/F208</f>
        <v>3.0845157310302283E-4</v>
      </c>
    </row>
    <row r="210" spans="1:10" ht="15.75" thickBot="1" x14ac:dyDescent="0.3">
      <c r="A210" s="14">
        <v>41222</v>
      </c>
      <c r="B210" s="15">
        <v>41222</v>
      </c>
      <c r="C210" s="16">
        <v>273292</v>
      </c>
      <c r="D210" s="10">
        <f>PrincipalesVariables[[#This Row],[Base monetaria]]/1000000</f>
        <v>0.27329199999999998</v>
      </c>
      <c r="E210" s="10">
        <v>4.78</v>
      </c>
      <c r="F210" s="11">
        <v>45444</v>
      </c>
      <c r="H210" s="12">
        <f>(PrincipalesVariables[[#This Row],[Base monetaria]]-C209)/C209</f>
        <v>4.7167556955836024E-3</v>
      </c>
      <c r="I210" s="12">
        <f>(PrincipalesVariables[[#This Row],[Dólar  mayorista]]-E209)/E209</f>
        <v>2.0964360587003511E-3</v>
      </c>
      <c r="J210" s="12">
        <f>(PrincipalesVariables[[#This Row],[Reservas internacionales]]-F209)/F209</f>
        <v>9.2506938020351531E-4</v>
      </c>
    </row>
    <row r="211" spans="1:10" ht="15.75" thickBot="1" x14ac:dyDescent="0.3">
      <c r="A211" s="14">
        <v>41225</v>
      </c>
      <c r="B211" s="15">
        <v>41225</v>
      </c>
      <c r="C211" s="16">
        <v>270115</v>
      </c>
      <c r="D211" s="10">
        <f>PrincipalesVariables[[#This Row],[Base monetaria]]/1000000</f>
        <v>0.27011499999999999</v>
      </c>
      <c r="E211" s="10">
        <v>4.78</v>
      </c>
      <c r="F211" s="11">
        <v>45429</v>
      </c>
      <c r="H211" s="12">
        <f>(PrincipalesVariables[[#This Row],[Base monetaria]]-C210)/C210</f>
        <v>-1.1624928647746733E-2</v>
      </c>
      <c r="I211" s="12">
        <f>(PrincipalesVariables[[#This Row],[Dólar  mayorista]]-E210)/E210</f>
        <v>0</v>
      </c>
      <c r="J211" s="12">
        <f>(PrincipalesVariables[[#This Row],[Reservas internacionales]]-F210)/F210</f>
        <v>-3.3007657776604172E-4</v>
      </c>
    </row>
    <row r="212" spans="1:10" ht="15.75" thickBot="1" x14ac:dyDescent="0.3">
      <c r="A212" s="14">
        <v>41226</v>
      </c>
      <c r="B212" s="15">
        <v>41226</v>
      </c>
      <c r="C212" s="16">
        <v>269249</v>
      </c>
      <c r="D212" s="10">
        <f>PrincipalesVariables[[#This Row],[Base monetaria]]/1000000</f>
        <v>0.26924900000000002</v>
      </c>
      <c r="E212" s="10">
        <v>4.78</v>
      </c>
      <c r="F212" s="11">
        <v>45417</v>
      </c>
      <c r="H212" s="12">
        <f>(PrincipalesVariables[[#This Row],[Base monetaria]]-C211)/C211</f>
        <v>-3.2060418710549211E-3</v>
      </c>
      <c r="I212" s="12">
        <f>(PrincipalesVariables[[#This Row],[Dólar  mayorista]]-E211)/E211</f>
        <v>0</v>
      </c>
      <c r="J212" s="12">
        <f>(PrincipalesVariables[[#This Row],[Reservas internacionales]]-F211)/F211</f>
        <v>-2.6414845142970348E-4</v>
      </c>
    </row>
    <row r="213" spans="1:10" ht="15.75" thickBot="1" x14ac:dyDescent="0.3">
      <c r="A213" s="14">
        <v>41227</v>
      </c>
      <c r="B213" s="15">
        <v>41227</v>
      </c>
      <c r="C213" s="16">
        <v>271115</v>
      </c>
      <c r="D213" s="10">
        <f>PrincipalesVariables[[#This Row],[Base monetaria]]/1000000</f>
        <v>0.27111499999999999</v>
      </c>
      <c r="E213" s="10">
        <v>4.79</v>
      </c>
      <c r="F213" s="11">
        <v>45438</v>
      </c>
      <c r="H213" s="12">
        <f>(PrincipalesVariables[[#This Row],[Base monetaria]]-C212)/C212</f>
        <v>6.9303878565937106E-3</v>
      </c>
      <c r="I213" s="12">
        <f>(PrincipalesVariables[[#This Row],[Dólar  mayorista]]-E212)/E212</f>
        <v>2.0920502092049761E-3</v>
      </c>
      <c r="J213" s="12">
        <f>(PrincipalesVariables[[#This Row],[Reservas internacionales]]-F212)/F212</f>
        <v>4.6238192747209196E-4</v>
      </c>
    </row>
    <row r="214" spans="1:10" ht="15.75" thickBot="1" x14ac:dyDescent="0.3">
      <c r="A214" s="14">
        <v>41228</v>
      </c>
      <c r="B214" s="15">
        <v>41228</v>
      </c>
      <c r="C214" s="16">
        <v>274068</v>
      </c>
      <c r="D214" s="10">
        <f>PrincipalesVariables[[#This Row],[Base monetaria]]/1000000</f>
        <v>0.27406799999999998</v>
      </c>
      <c r="E214" s="10">
        <v>4.79</v>
      </c>
      <c r="F214" s="11">
        <v>45356</v>
      </c>
      <c r="H214" s="12">
        <f>(PrincipalesVariables[[#This Row],[Base monetaria]]-C213)/C213</f>
        <v>1.0892056876233333E-2</v>
      </c>
      <c r="I214" s="12">
        <f>(PrincipalesVariables[[#This Row],[Dólar  mayorista]]-E213)/E213</f>
        <v>0</v>
      </c>
      <c r="J214" s="12">
        <f>(PrincipalesVariables[[#This Row],[Reservas internacionales]]-F213)/F213</f>
        <v>-1.80465689510982E-3</v>
      </c>
    </row>
    <row r="215" spans="1:10" ht="15.75" thickBot="1" x14ac:dyDescent="0.3">
      <c r="A215" s="14">
        <v>41229</v>
      </c>
      <c r="B215" s="15">
        <v>41229</v>
      </c>
      <c r="C215" s="16">
        <v>272403</v>
      </c>
      <c r="D215" s="10">
        <f>PrincipalesVariables[[#This Row],[Base monetaria]]/1000000</f>
        <v>0.27240300000000001</v>
      </c>
      <c r="E215" s="10">
        <v>4.8</v>
      </c>
      <c r="F215" s="11">
        <v>45364</v>
      </c>
      <c r="H215" s="12">
        <f>(PrincipalesVariables[[#This Row],[Base monetaria]]-C214)/C214</f>
        <v>-6.0751346381190067E-3</v>
      </c>
      <c r="I215" s="12">
        <f>(PrincipalesVariables[[#This Row],[Dólar  mayorista]]-E214)/E214</f>
        <v>2.087682672233776E-3</v>
      </c>
      <c r="J215" s="12">
        <f>(PrincipalesVariables[[#This Row],[Reservas internacionales]]-F214)/F214</f>
        <v>1.7638239703677574E-4</v>
      </c>
    </row>
    <row r="216" spans="1:10" ht="15.75" thickBot="1" x14ac:dyDescent="0.3">
      <c r="A216" s="14">
        <v>41232</v>
      </c>
      <c r="B216" s="15">
        <v>41232</v>
      </c>
      <c r="C216" s="16">
        <v>272285</v>
      </c>
      <c r="D216" s="10">
        <f>PrincipalesVariables[[#This Row],[Base monetaria]]/1000000</f>
        <v>0.272285</v>
      </c>
      <c r="E216" s="10">
        <v>4.8</v>
      </c>
      <c r="F216" s="11">
        <v>45344</v>
      </c>
      <c r="H216" s="12">
        <f>(PrincipalesVariables[[#This Row],[Base monetaria]]-C215)/C215</f>
        <v>-4.3318171973142733E-4</v>
      </c>
      <c r="I216" s="12">
        <f>(PrincipalesVariables[[#This Row],[Dólar  mayorista]]-E215)/E215</f>
        <v>0</v>
      </c>
      <c r="J216" s="12">
        <f>(PrincipalesVariables[[#This Row],[Reservas internacionales]]-F215)/F215</f>
        <v>-4.4087822943303059E-4</v>
      </c>
    </row>
    <row r="217" spans="1:10" ht="15.75" thickBot="1" x14ac:dyDescent="0.3">
      <c r="A217" s="14">
        <v>41233</v>
      </c>
      <c r="B217" s="15">
        <v>41233</v>
      </c>
      <c r="C217" s="16">
        <v>269428</v>
      </c>
      <c r="D217" s="10">
        <f>PrincipalesVariables[[#This Row],[Base monetaria]]/1000000</f>
        <v>0.269428</v>
      </c>
      <c r="E217" s="10">
        <v>4.8099999999999996</v>
      </c>
      <c r="F217" s="11">
        <v>45292</v>
      </c>
      <c r="H217" s="12">
        <f>(PrincipalesVariables[[#This Row],[Base monetaria]]-C216)/C216</f>
        <v>-1.049268229979617E-2</v>
      </c>
      <c r="I217" s="12">
        <f>(PrincipalesVariables[[#This Row],[Dólar  mayorista]]-E216)/E216</f>
        <v>2.0833333333332891E-3</v>
      </c>
      <c r="J217" s="12">
        <f>(PrincipalesVariables[[#This Row],[Reservas internacionales]]-F216)/F216</f>
        <v>-1.1467889908256881E-3</v>
      </c>
    </row>
    <row r="218" spans="1:10" ht="15.75" thickBot="1" x14ac:dyDescent="0.3">
      <c r="A218" s="14">
        <v>41234</v>
      </c>
      <c r="B218" s="15">
        <v>41234</v>
      </c>
      <c r="C218" s="16">
        <v>272556</v>
      </c>
      <c r="D218" s="10">
        <f>PrincipalesVariables[[#This Row],[Base monetaria]]/1000000</f>
        <v>0.27255600000000002</v>
      </c>
      <c r="E218" s="10">
        <v>4.8099999999999996</v>
      </c>
      <c r="F218" s="11">
        <v>45295</v>
      </c>
      <c r="H218" s="12">
        <f>(PrincipalesVariables[[#This Row],[Base monetaria]]-C217)/C217</f>
        <v>1.1609780720637796E-2</v>
      </c>
      <c r="I218" s="12">
        <f>(PrincipalesVariables[[#This Row],[Dólar  mayorista]]-E217)/E217</f>
        <v>0</v>
      </c>
      <c r="J218" s="12">
        <f>(PrincipalesVariables[[#This Row],[Reservas internacionales]]-F217)/F217</f>
        <v>6.6236863022167274E-5</v>
      </c>
    </row>
    <row r="219" spans="1:10" ht="15.75" thickBot="1" x14ac:dyDescent="0.3">
      <c r="A219" s="14">
        <v>41235</v>
      </c>
      <c r="B219" s="15">
        <v>41235</v>
      </c>
      <c r="C219" s="16">
        <v>275548</v>
      </c>
      <c r="D219" s="10">
        <f>PrincipalesVariables[[#This Row],[Base monetaria]]/1000000</f>
        <v>0.27554800000000002</v>
      </c>
      <c r="E219" s="10">
        <v>4.82</v>
      </c>
      <c r="F219" s="11">
        <v>45286</v>
      </c>
      <c r="H219" s="12">
        <f>(PrincipalesVariables[[#This Row],[Base monetaria]]-C218)/C218</f>
        <v>1.0977560574707583E-2</v>
      </c>
      <c r="I219" s="12">
        <f>(PrincipalesVariables[[#This Row],[Dólar  mayorista]]-E218)/E218</f>
        <v>2.0790020790022196E-3</v>
      </c>
      <c r="J219" s="12">
        <f>(PrincipalesVariables[[#This Row],[Reservas internacionales]]-F218)/F218</f>
        <v>-1.9869742797218236E-4</v>
      </c>
    </row>
    <row r="220" spans="1:10" ht="15.75" thickBot="1" x14ac:dyDescent="0.3">
      <c r="A220" s="14">
        <v>41236</v>
      </c>
      <c r="B220" s="15">
        <v>41236</v>
      </c>
      <c r="C220" s="16">
        <v>270969</v>
      </c>
      <c r="D220" s="10">
        <f>PrincipalesVariables[[#This Row],[Base monetaria]]/1000000</f>
        <v>0.27096900000000002</v>
      </c>
      <c r="E220" s="10">
        <v>4.82</v>
      </c>
      <c r="F220" s="11">
        <v>45285</v>
      </c>
      <c r="H220" s="12">
        <f>(PrincipalesVariables[[#This Row],[Base monetaria]]-C219)/C219</f>
        <v>-1.6617794358877582E-2</v>
      </c>
      <c r="I220" s="12">
        <f>(PrincipalesVariables[[#This Row],[Dólar  mayorista]]-E219)/E219</f>
        <v>0</v>
      </c>
      <c r="J220" s="12">
        <f>(PrincipalesVariables[[#This Row],[Reservas internacionales]]-F219)/F219</f>
        <v>-2.2081879609592369E-5</v>
      </c>
    </row>
    <row r="221" spans="1:10" ht="15.75" thickBot="1" x14ac:dyDescent="0.3">
      <c r="A221" s="14">
        <v>41240</v>
      </c>
      <c r="B221" s="15">
        <v>41240</v>
      </c>
      <c r="C221" s="16">
        <v>269815</v>
      </c>
      <c r="D221" s="10">
        <f>PrincipalesVariables[[#This Row],[Base monetaria]]/1000000</f>
        <v>0.26981500000000003</v>
      </c>
      <c r="E221" s="10">
        <v>4.82</v>
      </c>
      <c r="F221" s="11">
        <v>45267</v>
      </c>
      <c r="H221" s="12">
        <f>(PrincipalesVariables[[#This Row],[Base monetaria]]-C220)/C220</f>
        <v>-4.2587897508571089E-3</v>
      </c>
      <c r="I221" s="12">
        <f>(PrincipalesVariables[[#This Row],[Dólar  mayorista]]-E220)/E220</f>
        <v>0</v>
      </c>
      <c r="J221" s="12">
        <f>(PrincipalesVariables[[#This Row],[Reservas internacionales]]-F220)/F220</f>
        <v>-3.9748261013580657E-4</v>
      </c>
    </row>
    <row r="222" spans="1:10" ht="15.75" thickBot="1" x14ac:dyDescent="0.3">
      <c r="A222" s="14">
        <v>41241</v>
      </c>
      <c r="B222" s="15">
        <v>41241</v>
      </c>
      <c r="C222" s="16">
        <v>267864</v>
      </c>
      <c r="D222" s="10">
        <f>PrincipalesVariables[[#This Row],[Base monetaria]]/1000000</f>
        <v>0.26786399999999999</v>
      </c>
      <c r="E222" s="10">
        <v>4.83</v>
      </c>
      <c r="F222" s="11">
        <v>45169</v>
      </c>
      <c r="H222" s="12">
        <f>(PrincipalesVariables[[#This Row],[Base monetaria]]-C221)/C221</f>
        <v>-7.2308804180642294E-3</v>
      </c>
      <c r="I222" s="12">
        <f>(PrincipalesVariables[[#This Row],[Dólar  mayorista]]-E221)/E221</f>
        <v>2.0746887966804537E-3</v>
      </c>
      <c r="J222" s="12">
        <f>(PrincipalesVariables[[#This Row],[Reservas internacionales]]-F221)/F221</f>
        <v>-2.1649325115426247E-3</v>
      </c>
    </row>
    <row r="223" spans="1:10" ht="15.75" thickBot="1" x14ac:dyDescent="0.3">
      <c r="A223" s="14">
        <v>41242</v>
      </c>
      <c r="B223" s="15">
        <v>41242</v>
      </c>
      <c r="C223" s="16">
        <v>267299</v>
      </c>
      <c r="D223" s="10">
        <f>PrincipalesVariables[[#This Row],[Base monetaria]]/1000000</f>
        <v>0.26729900000000001</v>
      </c>
      <c r="E223" s="10">
        <v>4.83</v>
      </c>
      <c r="F223" s="11">
        <v>45122</v>
      </c>
      <c r="H223" s="12">
        <f>(PrincipalesVariables[[#This Row],[Base monetaria]]-C222)/C222</f>
        <v>-2.1092793357823372E-3</v>
      </c>
      <c r="I223" s="12">
        <f>(PrincipalesVariables[[#This Row],[Dólar  mayorista]]-E222)/E222</f>
        <v>0</v>
      </c>
      <c r="J223" s="12">
        <f>(PrincipalesVariables[[#This Row],[Reservas internacionales]]-F222)/F222</f>
        <v>-1.0405366512431092E-3</v>
      </c>
    </row>
    <row r="224" spans="1:10" ht="15.75" thickBot="1" x14ac:dyDescent="0.3">
      <c r="A224" s="14">
        <v>41243</v>
      </c>
      <c r="B224" s="15">
        <v>41243</v>
      </c>
      <c r="C224" s="16">
        <v>268659</v>
      </c>
      <c r="D224" s="10">
        <f>PrincipalesVariables[[#This Row],[Base monetaria]]/1000000</f>
        <v>0.26865899999999998</v>
      </c>
      <c r="E224" s="10">
        <v>4.83</v>
      </c>
      <c r="F224" s="11">
        <v>45238</v>
      </c>
      <c r="H224" s="12">
        <f>(PrincipalesVariables[[#This Row],[Base monetaria]]-C223)/C223</f>
        <v>5.0879352335773797E-3</v>
      </c>
      <c r="I224" s="12">
        <f>(PrincipalesVariables[[#This Row],[Dólar  mayorista]]-E223)/E223</f>
        <v>0</v>
      </c>
      <c r="J224" s="12">
        <f>(PrincipalesVariables[[#This Row],[Reservas internacionales]]-F223)/F223</f>
        <v>2.5708080315588848E-3</v>
      </c>
    </row>
    <row r="225" spans="1:10" ht="15.75" thickBot="1" x14ac:dyDescent="0.3">
      <c r="A225" s="14">
        <v>41246</v>
      </c>
      <c r="B225" s="15">
        <v>41246</v>
      </c>
      <c r="C225" s="16">
        <v>288373</v>
      </c>
      <c r="D225" s="10">
        <f>PrincipalesVariables[[#This Row],[Base monetaria]]/1000000</f>
        <v>0.28837299999999999</v>
      </c>
      <c r="E225" s="10">
        <v>4.84</v>
      </c>
      <c r="F225" s="11">
        <v>45293</v>
      </c>
      <c r="H225" s="12">
        <f>(PrincipalesVariables[[#This Row],[Base monetaria]]-C224)/C224</f>
        <v>7.3379265165134988E-2</v>
      </c>
      <c r="I225" s="12">
        <f>(PrincipalesVariables[[#This Row],[Dólar  mayorista]]-E224)/E224</f>
        <v>2.0703933747411567E-3</v>
      </c>
      <c r="J225" s="12">
        <f>(PrincipalesVariables[[#This Row],[Reservas internacionales]]-F224)/F224</f>
        <v>1.2157920332463857E-3</v>
      </c>
    </row>
    <row r="226" spans="1:10" ht="15.75" thickBot="1" x14ac:dyDescent="0.3">
      <c r="A226" s="14">
        <v>41247</v>
      </c>
      <c r="B226" s="15">
        <v>41247</v>
      </c>
      <c r="C226" s="16">
        <v>288737</v>
      </c>
      <c r="D226" s="10">
        <f>PrincipalesVariables[[#This Row],[Base monetaria]]/1000000</f>
        <v>0.28873700000000002</v>
      </c>
      <c r="E226" s="10">
        <v>4.84</v>
      </c>
      <c r="F226" s="11">
        <v>45315</v>
      </c>
      <c r="H226" s="12">
        <f>(PrincipalesVariables[[#This Row],[Base monetaria]]-C225)/C225</f>
        <v>1.2622540945234123E-3</v>
      </c>
      <c r="I226" s="12">
        <f>(PrincipalesVariables[[#This Row],[Dólar  mayorista]]-E225)/E225</f>
        <v>0</v>
      </c>
      <c r="J226" s="12">
        <f>(PrincipalesVariables[[#This Row],[Reservas internacionales]]-F225)/F225</f>
        <v>4.8572627116773011E-4</v>
      </c>
    </row>
    <row r="227" spans="1:10" ht="15.75" thickBot="1" x14ac:dyDescent="0.3">
      <c r="A227" s="14">
        <v>41248</v>
      </c>
      <c r="B227" s="15">
        <v>41248</v>
      </c>
      <c r="C227" s="16">
        <v>289559</v>
      </c>
      <c r="D227" s="10">
        <f>PrincipalesVariables[[#This Row],[Base monetaria]]/1000000</f>
        <v>0.28955900000000001</v>
      </c>
      <c r="E227" s="10">
        <v>4.8499999999999996</v>
      </c>
      <c r="F227" s="11">
        <v>45289</v>
      </c>
      <c r="H227" s="12">
        <f>(PrincipalesVariables[[#This Row],[Base monetaria]]-C226)/C226</f>
        <v>2.8468814180378685E-3</v>
      </c>
      <c r="I227" s="12">
        <f>(PrincipalesVariables[[#This Row],[Dólar  mayorista]]-E226)/E226</f>
        <v>2.0661157024792947E-3</v>
      </c>
      <c r="J227" s="12">
        <f>(PrincipalesVariables[[#This Row],[Reservas internacionales]]-F226)/F226</f>
        <v>-5.737614476442679E-4</v>
      </c>
    </row>
    <row r="228" spans="1:10" ht="15.75" thickBot="1" x14ac:dyDescent="0.3">
      <c r="A228" s="14">
        <v>41249</v>
      </c>
      <c r="B228" s="15">
        <v>41249</v>
      </c>
      <c r="C228" s="16">
        <v>289225</v>
      </c>
      <c r="D228" s="10">
        <f>PrincipalesVariables[[#This Row],[Base monetaria]]/1000000</f>
        <v>0.28922500000000001</v>
      </c>
      <c r="E228" s="10">
        <v>4.8499999999999996</v>
      </c>
      <c r="F228" s="11">
        <v>45291</v>
      </c>
      <c r="H228" s="12">
        <f>(PrincipalesVariables[[#This Row],[Base monetaria]]-C227)/C227</f>
        <v>-1.1534782203281543E-3</v>
      </c>
      <c r="I228" s="12">
        <f>(PrincipalesVariables[[#This Row],[Dólar  mayorista]]-E227)/E227</f>
        <v>0</v>
      </c>
      <c r="J228" s="12">
        <f>(PrincipalesVariables[[#This Row],[Reservas internacionales]]-F227)/F227</f>
        <v>4.4160833756541323E-5</v>
      </c>
    </row>
    <row r="229" spans="1:10" ht="15.75" thickBot="1" x14ac:dyDescent="0.3">
      <c r="A229" s="14">
        <v>41250</v>
      </c>
      <c r="B229" s="15">
        <v>41250</v>
      </c>
      <c r="C229" s="16">
        <v>291370</v>
      </c>
      <c r="D229" s="10">
        <f>PrincipalesVariables[[#This Row],[Base monetaria]]/1000000</f>
        <v>0.29137000000000002</v>
      </c>
      <c r="E229" s="10">
        <v>4.8600000000000003</v>
      </c>
      <c r="F229" s="11">
        <v>45397</v>
      </c>
      <c r="H229" s="12">
        <f>(PrincipalesVariables[[#This Row],[Base monetaria]]-C228)/C228</f>
        <v>7.4163713371942263E-3</v>
      </c>
      <c r="I229" s="12">
        <f>(PrincipalesVariables[[#This Row],[Dólar  mayorista]]-E228)/E228</f>
        <v>2.061855670103232E-3</v>
      </c>
      <c r="J229" s="12">
        <f>(PrincipalesVariables[[#This Row],[Reservas internacionales]]-F228)/F228</f>
        <v>2.3404208341613122E-3</v>
      </c>
    </row>
    <row r="230" spans="1:10" ht="15.75" thickBot="1" x14ac:dyDescent="0.3">
      <c r="A230" s="14">
        <v>41253</v>
      </c>
      <c r="B230" s="15">
        <v>41253</v>
      </c>
      <c r="C230" s="16">
        <v>288881</v>
      </c>
      <c r="D230" s="10">
        <f>PrincipalesVariables[[#This Row],[Base monetaria]]/1000000</f>
        <v>0.288881</v>
      </c>
      <c r="E230" s="10">
        <v>4.8600000000000003</v>
      </c>
      <c r="F230" s="11">
        <v>45491</v>
      </c>
      <c r="H230" s="12">
        <f>(PrincipalesVariables[[#This Row],[Base monetaria]]-C229)/C229</f>
        <v>-8.5424031300408414E-3</v>
      </c>
      <c r="I230" s="12">
        <f>(PrincipalesVariables[[#This Row],[Dólar  mayorista]]-E229)/E229</f>
        <v>0</v>
      </c>
      <c r="J230" s="12">
        <f>(PrincipalesVariables[[#This Row],[Reservas internacionales]]-F229)/F229</f>
        <v>2.0706214067008834E-3</v>
      </c>
    </row>
    <row r="231" spans="1:10" ht="15.75" thickBot="1" x14ac:dyDescent="0.3">
      <c r="A231" s="14">
        <v>41254</v>
      </c>
      <c r="B231" s="15">
        <v>41254</v>
      </c>
      <c r="C231" s="16">
        <v>282983</v>
      </c>
      <c r="D231" s="10">
        <f>PrincipalesVariables[[#This Row],[Base monetaria]]/1000000</f>
        <v>0.28298299999999998</v>
      </c>
      <c r="E231" s="10">
        <v>4.87</v>
      </c>
      <c r="F231" s="11">
        <v>45617</v>
      </c>
      <c r="H231" s="12">
        <f>(PrincipalesVariables[[#This Row],[Base monetaria]]-C230)/C230</f>
        <v>-2.041671137942613E-2</v>
      </c>
      <c r="I231" s="12">
        <f>(PrincipalesVariables[[#This Row],[Dólar  mayorista]]-E230)/E230</f>
        <v>2.0576131687242358E-3</v>
      </c>
      <c r="J231" s="12">
        <f>(PrincipalesVariables[[#This Row],[Reservas internacionales]]-F230)/F230</f>
        <v>2.7697786375326986E-3</v>
      </c>
    </row>
    <row r="232" spans="1:10" ht="15.75" thickBot="1" x14ac:dyDescent="0.3">
      <c r="A232" s="14">
        <v>41255</v>
      </c>
      <c r="B232" s="15">
        <v>41255</v>
      </c>
      <c r="C232" s="16">
        <v>284572</v>
      </c>
      <c r="D232" s="10">
        <f>PrincipalesVariables[[#This Row],[Base monetaria]]/1000000</f>
        <v>0.28457199999999999</v>
      </c>
      <c r="E232" s="10">
        <v>4.87</v>
      </c>
      <c r="F232" s="11">
        <v>45678</v>
      </c>
      <c r="H232" s="12">
        <f>(PrincipalesVariables[[#This Row],[Base monetaria]]-C231)/C231</f>
        <v>5.6151782969294977E-3</v>
      </c>
      <c r="I232" s="12">
        <f>(PrincipalesVariables[[#This Row],[Dólar  mayorista]]-E231)/E231</f>
        <v>0</v>
      </c>
      <c r="J232" s="12">
        <f>(PrincipalesVariables[[#This Row],[Reservas internacionales]]-F231)/F231</f>
        <v>1.3372207729574501E-3</v>
      </c>
    </row>
    <row r="233" spans="1:10" ht="15.75" thickBot="1" x14ac:dyDescent="0.3">
      <c r="A233" s="14">
        <v>41256</v>
      </c>
      <c r="B233" s="15">
        <v>41256</v>
      </c>
      <c r="C233" s="16">
        <v>292163</v>
      </c>
      <c r="D233" s="10">
        <f>PrincipalesVariables[[#This Row],[Base monetaria]]/1000000</f>
        <v>0.29216300000000001</v>
      </c>
      <c r="E233" s="10">
        <v>4.87</v>
      </c>
      <c r="F233" s="11">
        <v>45684</v>
      </c>
      <c r="H233" s="12">
        <f>(PrincipalesVariables[[#This Row],[Base monetaria]]-C232)/C232</f>
        <v>2.6675147238660164E-2</v>
      </c>
      <c r="I233" s="12">
        <f>(PrincipalesVariables[[#This Row],[Dólar  mayorista]]-E232)/E232</f>
        <v>0</v>
      </c>
      <c r="J233" s="12">
        <f>(PrincipalesVariables[[#This Row],[Reservas internacionales]]-F232)/F232</f>
        <v>1.3135426244581636E-4</v>
      </c>
    </row>
    <row r="234" spans="1:10" ht="15.75" thickBot="1" x14ac:dyDescent="0.3">
      <c r="A234" s="14">
        <v>41257</v>
      </c>
      <c r="B234" s="15">
        <v>41257</v>
      </c>
      <c r="C234" s="16">
        <v>292063</v>
      </c>
      <c r="D234" s="10">
        <f>PrincipalesVariables[[#This Row],[Base monetaria]]/1000000</f>
        <v>0.29206300000000002</v>
      </c>
      <c r="E234" s="10">
        <v>4.88</v>
      </c>
      <c r="F234" s="11">
        <v>43070</v>
      </c>
      <c r="H234" s="12">
        <f>(PrincipalesVariables[[#This Row],[Base monetaria]]-C233)/C233</f>
        <v>-3.4227468912901362E-4</v>
      </c>
      <c r="I234" s="12">
        <f>(PrincipalesVariables[[#This Row],[Dólar  mayorista]]-E233)/E233</f>
        <v>2.0533880903490323E-3</v>
      </c>
      <c r="J234" s="12">
        <f>(PrincipalesVariables[[#This Row],[Reservas internacionales]]-F233)/F233</f>
        <v>-5.7219157691970932E-2</v>
      </c>
    </row>
    <row r="235" spans="1:10" ht="15.75" thickBot="1" x14ac:dyDescent="0.3">
      <c r="A235" s="14">
        <v>41260</v>
      </c>
      <c r="B235" s="15">
        <v>41260</v>
      </c>
      <c r="C235" s="16">
        <v>288264</v>
      </c>
      <c r="D235" s="10">
        <f>PrincipalesVariables[[#This Row],[Base monetaria]]/1000000</f>
        <v>0.28826400000000002</v>
      </c>
      <c r="E235" s="10">
        <v>4.88</v>
      </c>
      <c r="F235" s="11">
        <v>43043</v>
      </c>
      <c r="H235" s="12">
        <f>(PrincipalesVariables[[#This Row],[Base monetaria]]-C234)/C234</f>
        <v>-1.3007467566929052E-2</v>
      </c>
      <c r="I235" s="12">
        <f>(PrincipalesVariables[[#This Row],[Dólar  mayorista]]-E234)/E234</f>
        <v>0</v>
      </c>
      <c r="J235" s="12">
        <f>(PrincipalesVariables[[#This Row],[Reservas internacionales]]-F234)/F234</f>
        <v>-6.2688646389598326E-4</v>
      </c>
    </row>
    <row r="236" spans="1:10" ht="15.75" thickBot="1" x14ac:dyDescent="0.3">
      <c r="A236" s="14">
        <v>41261</v>
      </c>
      <c r="B236" s="15">
        <v>41261</v>
      </c>
      <c r="C236" s="16">
        <v>288889</v>
      </c>
      <c r="D236" s="10">
        <f>PrincipalesVariables[[#This Row],[Base monetaria]]/1000000</f>
        <v>0.28888900000000001</v>
      </c>
      <c r="E236" s="10">
        <v>4.8899999999999997</v>
      </c>
      <c r="F236" s="11">
        <v>43110</v>
      </c>
      <c r="H236" s="12">
        <f>(PrincipalesVariables[[#This Row],[Base monetaria]]-C235)/C235</f>
        <v>2.1681514167568618E-3</v>
      </c>
      <c r="I236" s="12">
        <f>(PrincipalesVariables[[#This Row],[Dólar  mayorista]]-E235)/E235</f>
        <v>2.0491803278688088E-3</v>
      </c>
      <c r="J236" s="12">
        <f>(PrincipalesVariables[[#This Row],[Reservas internacionales]]-F235)/F235</f>
        <v>1.5565829519317892E-3</v>
      </c>
    </row>
    <row r="237" spans="1:10" ht="15.75" thickBot="1" x14ac:dyDescent="0.3">
      <c r="A237" s="14">
        <v>41262</v>
      </c>
      <c r="B237" s="15">
        <v>41262</v>
      </c>
      <c r="C237" s="16">
        <v>300775</v>
      </c>
      <c r="D237" s="10">
        <f>PrincipalesVariables[[#This Row],[Base monetaria]]/1000000</f>
        <v>0.30077500000000001</v>
      </c>
      <c r="E237" s="10">
        <v>4.8899999999999997</v>
      </c>
      <c r="F237" s="11">
        <v>43131</v>
      </c>
      <c r="H237" s="12">
        <f>(PrincipalesVariables[[#This Row],[Base monetaria]]-C236)/C236</f>
        <v>4.1143830329296027E-2</v>
      </c>
      <c r="I237" s="12">
        <f>(PrincipalesVariables[[#This Row],[Dólar  mayorista]]-E236)/E236</f>
        <v>0</v>
      </c>
      <c r="J237" s="12">
        <f>(PrincipalesVariables[[#This Row],[Reservas internacionales]]-F236)/F236</f>
        <v>4.8712595685455808E-4</v>
      </c>
    </row>
    <row r="238" spans="1:10" ht="15.75" thickBot="1" x14ac:dyDescent="0.3">
      <c r="A238" s="14">
        <v>41263</v>
      </c>
      <c r="B238" s="15">
        <v>41263</v>
      </c>
      <c r="C238" s="16">
        <v>290587</v>
      </c>
      <c r="D238" s="10">
        <f>PrincipalesVariables[[#This Row],[Base monetaria]]/1000000</f>
        <v>0.29058699999999998</v>
      </c>
      <c r="E238" s="10">
        <v>4.9000000000000004</v>
      </c>
      <c r="F238" s="11">
        <v>43162</v>
      </c>
      <c r="H238" s="12">
        <f>(PrincipalesVariables[[#This Row],[Base monetaria]]-C237)/C237</f>
        <v>-3.3872496051866013E-2</v>
      </c>
      <c r="I238" s="12">
        <f>(PrincipalesVariables[[#This Row],[Dólar  mayorista]]-E237)/E237</f>
        <v>2.0449897750512628E-3</v>
      </c>
      <c r="J238" s="12">
        <f>(PrincipalesVariables[[#This Row],[Reservas internacionales]]-F237)/F237</f>
        <v>7.1874058102061166E-4</v>
      </c>
    </row>
    <row r="239" spans="1:10" ht="15.75" thickBot="1" x14ac:dyDescent="0.3">
      <c r="A239" s="14">
        <v>41264</v>
      </c>
      <c r="B239" s="15">
        <v>41264</v>
      </c>
      <c r="C239" s="16">
        <v>291530</v>
      </c>
      <c r="D239" s="10">
        <f>PrincipalesVariables[[#This Row],[Base monetaria]]/1000000</f>
        <v>0.29153000000000001</v>
      </c>
      <c r="E239" s="10">
        <v>4.9000000000000004</v>
      </c>
      <c r="F239" s="11">
        <v>43292</v>
      </c>
      <c r="H239" s="12">
        <f>(PrincipalesVariables[[#This Row],[Base monetaria]]-C238)/C238</f>
        <v>3.2451554956002848E-3</v>
      </c>
      <c r="I239" s="12">
        <f>(PrincipalesVariables[[#This Row],[Dólar  mayorista]]-E238)/E238</f>
        <v>0</v>
      </c>
      <c r="J239" s="12">
        <f>(PrincipalesVariables[[#This Row],[Reservas internacionales]]-F238)/F238</f>
        <v>3.0119086233260737E-3</v>
      </c>
    </row>
    <row r="240" spans="1:10" ht="15.75" thickBot="1" x14ac:dyDescent="0.3">
      <c r="A240" s="14">
        <v>41269</v>
      </c>
      <c r="B240" s="15">
        <v>41269</v>
      </c>
      <c r="C240" s="16">
        <v>300752</v>
      </c>
      <c r="D240" s="10">
        <f>PrincipalesVariables[[#This Row],[Base monetaria]]/1000000</f>
        <v>0.30075200000000002</v>
      </c>
      <c r="E240" s="10">
        <v>4.91</v>
      </c>
      <c r="F240" s="11">
        <v>43390</v>
      </c>
      <c r="H240" s="12">
        <f>(PrincipalesVariables[[#This Row],[Base monetaria]]-C239)/C239</f>
        <v>3.1633108084931222E-2</v>
      </c>
      <c r="I240" s="12">
        <f>(PrincipalesVariables[[#This Row],[Dólar  mayorista]]-E239)/E239</f>
        <v>2.0408163265305686E-3</v>
      </c>
      <c r="J240" s="12">
        <f>(PrincipalesVariables[[#This Row],[Reservas internacionales]]-F239)/F239</f>
        <v>2.2636976808648249E-3</v>
      </c>
    </row>
    <row r="241" spans="1:10" ht="15.75" thickBot="1" x14ac:dyDescent="0.3">
      <c r="A241" s="14">
        <v>41270</v>
      </c>
      <c r="B241" s="15">
        <v>41270</v>
      </c>
      <c r="C241" s="16">
        <v>304317</v>
      </c>
      <c r="D241" s="10">
        <f>PrincipalesVariables[[#This Row],[Base monetaria]]/1000000</f>
        <v>0.304317</v>
      </c>
      <c r="E241" s="10">
        <v>4.91</v>
      </c>
      <c r="F241" s="11">
        <v>43451</v>
      </c>
      <c r="H241" s="12">
        <f>(PrincipalesVariables[[#This Row],[Base monetaria]]-C240)/C240</f>
        <v>1.1853620258551897E-2</v>
      </c>
      <c r="I241" s="12">
        <f>(PrincipalesVariables[[#This Row],[Dólar  mayorista]]-E240)/E240</f>
        <v>0</v>
      </c>
      <c r="J241" s="12">
        <f>(PrincipalesVariables[[#This Row],[Reservas internacionales]]-F240)/F240</f>
        <v>1.4058538833832681E-3</v>
      </c>
    </row>
    <row r="242" spans="1:10" ht="15.75" thickBot="1" x14ac:dyDescent="0.3">
      <c r="A242" s="14">
        <v>41271</v>
      </c>
      <c r="B242" s="15">
        <v>41271</v>
      </c>
      <c r="C242" s="16">
        <v>308524</v>
      </c>
      <c r="D242" s="10">
        <f>PrincipalesVariables[[#This Row],[Base monetaria]]/1000000</f>
        <v>0.30852400000000002</v>
      </c>
      <c r="E242" s="10">
        <v>4.91</v>
      </c>
      <c r="F242" s="11">
        <v>43194</v>
      </c>
      <c r="H242" s="12">
        <f>(PrincipalesVariables[[#This Row],[Base monetaria]]-C241)/C241</f>
        <v>1.3824400214250273E-2</v>
      </c>
      <c r="I242" s="12">
        <f>(PrincipalesVariables[[#This Row],[Dólar  mayorista]]-E241)/E241</f>
        <v>0</v>
      </c>
      <c r="J242" s="12">
        <f>(PrincipalesVariables[[#This Row],[Reservas internacionales]]-F241)/F241</f>
        <v>-5.9147085222434467E-3</v>
      </c>
    </row>
    <row r="243" spans="1:10" ht="15.75" thickBot="1" x14ac:dyDescent="0.3">
      <c r="A243" s="14">
        <v>41274</v>
      </c>
      <c r="B243" s="15">
        <v>41274</v>
      </c>
      <c r="C243" s="16">
        <v>307352</v>
      </c>
      <c r="D243" s="10">
        <f>PrincipalesVariables[[#This Row],[Base monetaria]]/1000000</f>
        <v>0.30735200000000001</v>
      </c>
      <c r="E243" s="10">
        <v>4.92</v>
      </c>
      <c r="F243" s="11">
        <v>43290</v>
      </c>
      <c r="H243" s="12">
        <f>(PrincipalesVariables[[#This Row],[Base monetaria]]-C242)/C242</f>
        <v>-3.7987320273301269E-3</v>
      </c>
      <c r="I243" s="12">
        <f>(PrincipalesVariables[[#This Row],[Dólar  mayorista]]-E242)/E242</f>
        <v>2.0366598778003638E-3</v>
      </c>
      <c r="J243" s="12">
        <f>(PrincipalesVariables[[#This Row],[Reservas internacionales]]-F242)/F242</f>
        <v>2.2225309070704265E-3</v>
      </c>
    </row>
    <row r="244" spans="1:10" ht="15.75" thickBot="1" x14ac:dyDescent="0.3">
      <c r="A244" s="14">
        <v>41276</v>
      </c>
      <c r="B244" s="15">
        <v>41276</v>
      </c>
      <c r="C244" s="16">
        <v>305407</v>
      </c>
      <c r="D244" s="10">
        <f>PrincipalesVariables[[#This Row],[Base monetaria]]/1000000</f>
        <v>0.30540699999999998</v>
      </c>
      <c r="E244" s="10">
        <v>4.92</v>
      </c>
      <c r="F244" s="11">
        <v>43232</v>
      </c>
      <c r="H244" s="12">
        <f>(PrincipalesVariables[[#This Row],[Base monetaria]]-C243)/C243</f>
        <v>-6.328249043442047E-3</v>
      </c>
      <c r="I244" s="12">
        <f>(PrincipalesVariables[[#This Row],[Dólar  mayorista]]-E243)/E243</f>
        <v>0</v>
      </c>
      <c r="J244" s="12">
        <f>(PrincipalesVariables[[#This Row],[Reservas internacionales]]-F243)/F243</f>
        <v>-1.3398013398013399E-3</v>
      </c>
    </row>
    <row r="245" spans="1:10" ht="15.75" thickBot="1" x14ac:dyDescent="0.3">
      <c r="A245" s="14">
        <v>41277</v>
      </c>
      <c r="B245" s="15">
        <v>41277</v>
      </c>
      <c r="C245" s="16">
        <v>305685</v>
      </c>
      <c r="D245" s="10">
        <f>PrincipalesVariables[[#This Row],[Base monetaria]]/1000000</f>
        <v>0.30568499999999998</v>
      </c>
      <c r="E245" s="10">
        <v>4.93</v>
      </c>
      <c r="F245" s="11">
        <v>43196</v>
      </c>
      <c r="H245" s="12">
        <f>(PrincipalesVariables[[#This Row],[Base monetaria]]-C244)/C244</f>
        <v>9.1026073403687542E-4</v>
      </c>
      <c r="I245" s="12">
        <f>(PrincipalesVariables[[#This Row],[Dólar  mayorista]]-E244)/E244</f>
        <v>2.0325203252032089E-3</v>
      </c>
      <c r="J245" s="12">
        <f>(PrincipalesVariables[[#This Row],[Reservas internacionales]]-F244)/F244</f>
        <v>-8.3271650629163584E-4</v>
      </c>
    </row>
    <row r="246" spans="1:10" ht="15.75" thickBot="1" x14ac:dyDescent="0.3">
      <c r="A246" s="14">
        <v>41278</v>
      </c>
      <c r="B246" s="15">
        <v>41278</v>
      </c>
      <c r="C246" s="16">
        <v>302573</v>
      </c>
      <c r="D246" s="10">
        <f>PrincipalesVariables[[#This Row],[Base monetaria]]/1000000</f>
        <v>0.30257299999999998</v>
      </c>
      <c r="E246" s="10">
        <v>4.93</v>
      </c>
      <c r="F246" s="11">
        <v>43047</v>
      </c>
      <c r="H246" s="12">
        <f>(PrincipalesVariables[[#This Row],[Base monetaria]]-C245)/C245</f>
        <v>-1.0180414478957097E-2</v>
      </c>
      <c r="I246" s="12">
        <f>(PrincipalesVariables[[#This Row],[Dólar  mayorista]]-E245)/E245</f>
        <v>0</v>
      </c>
      <c r="J246" s="12">
        <f>(PrincipalesVariables[[#This Row],[Reservas internacionales]]-F245)/F245</f>
        <v>-3.4493934623576255E-3</v>
      </c>
    </row>
    <row r="247" spans="1:10" ht="15.75" thickBot="1" x14ac:dyDescent="0.3">
      <c r="A247" s="14">
        <v>41281</v>
      </c>
      <c r="B247" s="15">
        <v>41281</v>
      </c>
      <c r="C247" s="16">
        <v>301269</v>
      </c>
      <c r="D247" s="10">
        <f>PrincipalesVariables[[#This Row],[Base monetaria]]/1000000</f>
        <v>0.30126900000000001</v>
      </c>
      <c r="E247" s="10">
        <v>4.93</v>
      </c>
      <c r="F247" s="11">
        <v>43046</v>
      </c>
      <c r="H247" s="12">
        <f>(PrincipalesVariables[[#This Row],[Base monetaria]]-C246)/C246</f>
        <v>-4.309703773965291E-3</v>
      </c>
      <c r="I247" s="12">
        <f>(PrincipalesVariables[[#This Row],[Dólar  mayorista]]-E246)/E246</f>
        <v>0</v>
      </c>
      <c r="J247" s="12">
        <f>(PrincipalesVariables[[#This Row],[Reservas internacionales]]-F246)/F246</f>
        <v>-2.3230422561386391E-5</v>
      </c>
    </row>
    <row r="248" spans="1:10" ht="15.75" thickBot="1" x14ac:dyDescent="0.3">
      <c r="A248" s="14">
        <v>41282</v>
      </c>
      <c r="B248" s="15">
        <v>41282</v>
      </c>
      <c r="C248" s="16">
        <v>301215</v>
      </c>
      <c r="D248" s="10">
        <f>PrincipalesVariables[[#This Row],[Base monetaria]]/1000000</f>
        <v>0.30121500000000001</v>
      </c>
      <c r="E248" s="10">
        <v>4.93</v>
      </c>
      <c r="F248" s="11">
        <v>42971</v>
      </c>
      <c r="H248" s="12">
        <f>(PrincipalesVariables[[#This Row],[Base monetaria]]-C247)/C247</f>
        <v>-1.7924180715573126E-4</v>
      </c>
      <c r="I248" s="12">
        <f>(PrincipalesVariables[[#This Row],[Dólar  mayorista]]-E247)/E247</f>
        <v>0</v>
      </c>
      <c r="J248" s="12">
        <f>(PrincipalesVariables[[#This Row],[Reservas internacionales]]-F247)/F247</f>
        <v>-1.7423221669841565E-3</v>
      </c>
    </row>
    <row r="249" spans="1:10" ht="15.75" thickBot="1" x14ac:dyDescent="0.3">
      <c r="A249" s="14">
        <v>41283</v>
      </c>
      <c r="B249" s="15">
        <v>41283</v>
      </c>
      <c r="C249" s="16">
        <v>298528</v>
      </c>
      <c r="D249" s="10">
        <f>PrincipalesVariables[[#This Row],[Base monetaria]]/1000000</f>
        <v>0.29852800000000002</v>
      </c>
      <c r="E249" s="10">
        <v>4.9400000000000004</v>
      </c>
      <c r="F249" s="11">
        <v>42950</v>
      </c>
      <c r="H249" s="12">
        <f>(PrincipalesVariables[[#This Row],[Base monetaria]]-C248)/C248</f>
        <v>-8.9205384857991808E-3</v>
      </c>
      <c r="I249" s="12">
        <f>(PrincipalesVariables[[#This Row],[Dólar  mayorista]]-E248)/E248</f>
        <v>2.0283975659230579E-3</v>
      </c>
      <c r="J249" s="12">
        <f>(PrincipalesVariables[[#This Row],[Reservas internacionales]]-F248)/F248</f>
        <v>-4.8870168253007838E-4</v>
      </c>
    </row>
    <row r="250" spans="1:10" ht="15.75" thickBot="1" x14ac:dyDescent="0.3">
      <c r="A250" s="14">
        <v>41284</v>
      </c>
      <c r="B250" s="15">
        <v>41284</v>
      </c>
      <c r="C250" s="16">
        <v>300103</v>
      </c>
      <c r="D250" s="10">
        <f>PrincipalesVariables[[#This Row],[Base monetaria]]/1000000</f>
        <v>0.30010300000000001</v>
      </c>
      <c r="E250" s="10">
        <v>4.9400000000000004</v>
      </c>
      <c r="F250" s="11">
        <v>43004</v>
      </c>
      <c r="H250" s="12">
        <f>(PrincipalesVariables[[#This Row],[Base monetaria]]-C249)/C249</f>
        <v>5.2758870189730947E-3</v>
      </c>
      <c r="I250" s="12">
        <f>(PrincipalesVariables[[#This Row],[Dólar  mayorista]]-E249)/E249</f>
        <v>0</v>
      </c>
      <c r="J250" s="12">
        <f>(PrincipalesVariables[[#This Row],[Reservas internacionales]]-F249)/F249</f>
        <v>1.2572759022118742E-3</v>
      </c>
    </row>
    <row r="251" spans="1:10" ht="15.75" thickBot="1" x14ac:dyDescent="0.3">
      <c r="A251" s="14">
        <v>41285</v>
      </c>
      <c r="B251" s="15">
        <v>41285</v>
      </c>
      <c r="C251" s="16">
        <v>301781</v>
      </c>
      <c r="D251" s="10">
        <f>PrincipalesVariables[[#This Row],[Base monetaria]]/1000000</f>
        <v>0.30178100000000002</v>
      </c>
      <c r="E251" s="10">
        <v>4.9400000000000004</v>
      </c>
      <c r="F251" s="11">
        <v>42980</v>
      </c>
      <c r="H251" s="12">
        <f>(PrincipalesVariables[[#This Row],[Base monetaria]]-C250)/C250</f>
        <v>5.5914136146589669E-3</v>
      </c>
      <c r="I251" s="12">
        <f>(PrincipalesVariables[[#This Row],[Dólar  mayorista]]-E250)/E250</f>
        <v>0</v>
      </c>
      <c r="J251" s="12">
        <f>(PrincipalesVariables[[#This Row],[Reservas internacionales]]-F250)/F250</f>
        <v>-5.580876197563017E-4</v>
      </c>
    </row>
    <row r="252" spans="1:10" ht="15.75" thickBot="1" x14ac:dyDescent="0.3">
      <c r="A252" s="14">
        <v>41288</v>
      </c>
      <c r="B252" s="15">
        <v>41288</v>
      </c>
      <c r="C252" s="16">
        <v>300562</v>
      </c>
      <c r="D252" s="10">
        <f>PrincipalesVariables[[#This Row],[Base monetaria]]/1000000</f>
        <v>0.300562</v>
      </c>
      <c r="E252" s="10">
        <v>4.95</v>
      </c>
      <c r="F252" s="11">
        <v>43009</v>
      </c>
      <c r="H252" s="12">
        <f>(PrincipalesVariables[[#This Row],[Base monetaria]]-C251)/C251</f>
        <v>-4.039353040781229E-3</v>
      </c>
      <c r="I252" s="12">
        <f>(PrincipalesVariables[[#This Row],[Dólar  mayorista]]-E251)/E251</f>
        <v>2.0242914979756652E-3</v>
      </c>
      <c r="J252" s="12">
        <f>(PrincipalesVariables[[#This Row],[Reservas internacionales]]-F251)/F251</f>
        <v>6.7473243369008844E-4</v>
      </c>
    </row>
    <row r="253" spans="1:10" ht="15.75" thickBot="1" x14ac:dyDescent="0.3">
      <c r="A253" s="14">
        <v>41289</v>
      </c>
      <c r="B253" s="15">
        <v>41289</v>
      </c>
      <c r="C253" s="16">
        <v>301854</v>
      </c>
      <c r="D253" s="10">
        <f>PrincipalesVariables[[#This Row],[Base monetaria]]/1000000</f>
        <v>0.30185400000000001</v>
      </c>
      <c r="E253" s="10">
        <v>4.95</v>
      </c>
      <c r="F253" s="11">
        <v>43004</v>
      </c>
      <c r="H253" s="12">
        <f>(PrincipalesVariables[[#This Row],[Base monetaria]]-C252)/C252</f>
        <v>4.2986139299046452E-3</v>
      </c>
      <c r="I253" s="12">
        <f>(PrincipalesVariables[[#This Row],[Dólar  mayorista]]-E252)/E252</f>
        <v>0</v>
      </c>
      <c r="J253" s="12">
        <f>(PrincipalesVariables[[#This Row],[Reservas internacionales]]-F252)/F252</f>
        <v>-1.1625473738054825E-4</v>
      </c>
    </row>
    <row r="254" spans="1:10" ht="15.75" thickBot="1" x14ac:dyDescent="0.3">
      <c r="A254" s="14">
        <v>41290</v>
      </c>
      <c r="B254" s="15">
        <v>41290</v>
      </c>
      <c r="C254" s="16">
        <v>299502</v>
      </c>
      <c r="D254" s="10">
        <f>PrincipalesVariables[[#This Row],[Base monetaria]]/1000000</f>
        <v>0.29950199999999999</v>
      </c>
      <c r="E254" s="10">
        <v>4.95</v>
      </c>
      <c r="F254" s="11">
        <v>43032</v>
      </c>
      <c r="H254" s="12">
        <f>(PrincipalesVariables[[#This Row],[Base monetaria]]-C253)/C253</f>
        <v>-7.7918463893140392E-3</v>
      </c>
      <c r="I254" s="12">
        <f>(PrincipalesVariables[[#This Row],[Dólar  mayorista]]-E253)/E253</f>
        <v>0</v>
      </c>
      <c r="J254" s="12">
        <f>(PrincipalesVariables[[#This Row],[Reservas internacionales]]-F253)/F253</f>
        <v>6.5110222304901868E-4</v>
      </c>
    </row>
    <row r="255" spans="1:10" ht="15.75" thickBot="1" x14ac:dyDescent="0.3">
      <c r="A255" s="14">
        <v>41291</v>
      </c>
      <c r="B255" s="15">
        <v>41291</v>
      </c>
      <c r="C255" s="16">
        <v>298855</v>
      </c>
      <c r="D255" s="10">
        <f>PrincipalesVariables[[#This Row],[Base monetaria]]/1000000</f>
        <v>0.29885499999999998</v>
      </c>
      <c r="E255" s="10">
        <v>4.95</v>
      </c>
      <c r="F255" s="11">
        <v>43084</v>
      </c>
      <c r="H255" s="12">
        <f>(PrincipalesVariables[[#This Row],[Base monetaria]]-C254)/C254</f>
        <v>-2.1602526861256351E-3</v>
      </c>
      <c r="I255" s="12">
        <f>(PrincipalesVariables[[#This Row],[Dólar  mayorista]]-E254)/E254</f>
        <v>0</v>
      </c>
      <c r="J255" s="12">
        <f>(PrincipalesVariables[[#This Row],[Reservas internacionales]]-F254)/F254</f>
        <v>1.2084030488938465E-3</v>
      </c>
    </row>
    <row r="256" spans="1:10" ht="15.75" thickBot="1" x14ac:dyDescent="0.3">
      <c r="A256" s="14">
        <v>41292</v>
      </c>
      <c r="B256" s="15">
        <v>41292</v>
      </c>
      <c r="C256" s="16">
        <v>297834</v>
      </c>
      <c r="D256" s="10">
        <f>PrincipalesVariables[[#This Row],[Base monetaria]]/1000000</f>
        <v>0.29783399999999999</v>
      </c>
      <c r="E256" s="10">
        <v>4.95</v>
      </c>
      <c r="F256" s="11">
        <v>43058</v>
      </c>
      <c r="H256" s="12">
        <f>(PrincipalesVariables[[#This Row],[Base monetaria]]-C255)/C255</f>
        <v>-3.4163724883304611E-3</v>
      </c>
      <c r="I256" s="12">
        <f>(PrincipalesVariables[[#This Row],[Dólar  mayorista]]-E255)/E255</f>
        <v>0</v>
      </c>
      <c r="J256" s="12">
        <f>(PrincipalesVariables[[#This Row],[Reservas internacionales]]-F255)/F255</f>
        <v>-6.0347228669575717E-4</v>
      </c>
    </row>
    <row r="257" spans="1:10" ht="15.75" thickBot="1" x14ac:dyDescent="0.3">
      <c r="A257" s="14">
        <v>41295</v>
      </c>
      <c r="B257" s="15">
        <v>41295</v>
      </c>
      <c r="C257" s="16">
        <v>298979</v>
      </c>
      <c r="D257" s="10">
        <f>PrincipalesVariables[[#This Row],[Base monetaria]]/1000000</f>
        <v>0.29897899999999999</v>
      </c>
      <c r="E257" s="10">
        <v>4.96</v>
      </c>
      <c r="F257" s="11">
        <v>43055</v>
      </c>
      <c r="H257" s="12">
        <f>(PrincipalesVariables[[#This Row],[Base monetaria]]-C256)/C256</f>
        <v>3.8444234036409545E-3</v>
      </c>
      <c r="I257" s="12">
        <f>(PrincipalesVariables[[#This Row],[Dólar  mayorista]]-E256)/E256</f>
        <v>2.0202020202019773E-3</v>
      </c>
      <c r="J257" s="12">
        <f>(PrincipalesVariables[[#This Row],[Reservas internacionales]]-F256)/F256</f>
        <v>-6.9673463700125411E-5</v>
      </c>
    </row>
    <row r="258" spans="1:10" ht="15.75" thickBot="1" x14ac:dyDescent="0.3">
      <c r="A258" s="14">
        <v>41296</v>
      </c>
      <c r="B258" s="15">
        <v>41296</v>
      </c>
      <c r="C258" s="16">
        <v>299273</v>
      </c>
      <c r="D258" s="10">
        <f>PrincipalesVariables[[#This Row],[Base monetaria]]/1000000</f>
        <v>0.29927300000000001</v>
      </c>
      <c r="E258" s="10">
        <v>4.96</v>
      </c>
      <c r="F258" s="11">
        <v>43015</v>
      </c>
      <c r="H258" s="12">
        <f>(PrincipalesVariables[[#This Row],[Base monetaria]]-C257)/C257</f>
        <v>9.8334665645413233E-4</v>
      </c>
      <c r="I258" s="12">
        <f>(PrincipalesVariables[[#This Row],[Dólar  mayorista]]-E257)/E257</f>
        <v>0</v>
      </c>
      <c r="J258" s="12">
        <f>(PrincipalesVariables[[#This Row],[Reservas internacionales]]-F257)/F257</f>
        <v>-9.29044245732203E-4</v>
      </c>
    </row>
    <row r="259" spans="1:10" ht="15.75" thickBot="1" x14ac:dyDescent="0.3">
      <c r="A259" s="14">
        <v>41297</v>
      </c>
      <c r="B259" s="15">
        <v>41297</v>
      </c>
      <c r="C259" s="16">
        <v>294252</v>
      </c>
      <c r="D259" s="10">
        <f>PrincipalesVariables[[#This Row],[Base monetaria]]/1000000</f>
        <v>0.29425200000000001</v>
      </c>
      <c r="E259" s="10">
        <v>4.96</v>
      </c>
      <c r="F259" s="11">
        <v>42940</v>
      </c>
      <c r="H259" s="12">
        <f>(PrincipalesVariables[[#This Row],[Base monetaria]]-C258)/C258</f>
        <v>-1.6777323714468061E-2</v>
      </c>
      <c r="I259" s="12">
        <f>(PrincipalesVariables[[#This Row],[Dólar  mayorista]]-E258)/E258</f>
        <v>0</v>
      </c>
      <c r="J259" s="12">
        <f>(PrincipalesVariables[[#This Row],[Reservas internacionales]]-F258)/F258</f>
        <v>-1.7435778216901082E-3</v>
      </c>
    </row>
    <row r="260" spans="1:10" ht="15.75" thickBot="1" x14ac:dyDescent="0.3">
      <c r="A260" s="14">
        <v>41298</v>
      </c>
      <c r="B260" s="15">
        <v>41298</v>
      </c>
      <c r="C260" s="16">
        <v>293916</v>
      </c>
      <c r="D260" s="10">
        <f>PrincipalesVariables[[#This Row],[Base monetaria]]/1000000</f>
        <v>0.29391600000000001</v>
      </c>
      <c r="E260" s="10">
        <v>4.96</v>
      </c>
      <c r="F260" s="11">
        <v>42832</v>
      </c>
      <c r="H260" s="12">
        <f>(PrincipalesVariables[[#This Row],[Base monetaria]]-C259)/C259</f>
        <v>-1.1418783899514702E-3</v>
      </c>
      <c r="I260" s="12">
        <f>(PrincipalesVariables[[#This Row],[Dólar  mayorista]]-E259)/E259</f>
        <v>0</v>
      </c>
      <c r="J260" s="12">
        <f>(PrincipalesVariables[[#This Row],[Reservas internacionales]]-F259)/F259</f>
        <v>-2.5151374010246854E-3</v>
      </c>
    </row>
    <row r="261" spans="1:10" ht="15.75" thickBot="1" x14ac:dyDescent="0.3">
      <c r="A261" s="14">
        <v>41299</v>
      </c>
      <c r="B261" s="15">
        <v>41299</v>
      </c>
      <c r="C261" s="16">
        <v>292640</v>
      </c>
      <c r="D261" s="10">
        <f>PrincipalesVariables[[#This Row],[Base monetaria]]/1000000</f>
        <v>0.29264000000000001</v>
      </c>
      <c r="E261" s="10">
        <v>4.96</v>
      </c>
      <c r="F261" s="11">
        <v>42766</v>
      </c>
      <c r="H261" s="12">
        <f>(PrincipalesVariables[[#This Row],[Base monetaria]]-C260)/C260</f>
        <v>-4.3413764476925376E-3</v>
      </c>
      <c r="I261" s="12">
        <f>(PrincipalesVariables[[#This Row],[Dólar  mayorista]]-E260)/E260</f>
        <v>0</v>
      </c>
      <c r="J261" s="12">
        <f>(PrincipalesVariables[[#This Row],[Reservas internacionales]]-F260)/F260</f>
        <v>-1.5409039970115802E-3</v>
      </c>
    </row>
    <row r="262" spans="1:10" ht="15.75" thickBot="1" x14ac:dyDescent="0.3">
      <c r="A262" s="14">
        <v>41302</v>
      </c>
      <c r="B262" s="15">
        <v>41302</v>
      </c>
      <c r="C262" s="16">
        <v>290421</v>
      </c>
      <c r="D262" s="10">
        <f>PrincipalesVariables[[#This Row],[Base monetaria]]/1000000</f>
        <v>0.29042099999999998</v>
      </c>
      <c r="E262" s="10">
        <v>4.97</v>
      </c>
      <c r="F262" s="11">
        <v>42707</v>
      </c>
      <c r="H262" s="12">
        <f>(PrincipalesVariables[[#This Row],[Base monetaria]]-C261)/C261</f>
        <v>-7.5826954620010932E-3</v>
      </c>
      <c r="I262" s="12">
        <f>(PrincipalesVariables[[#This Row],[Dólar  mayorista]]-E261)/E261</f>
        <v>2.0161290322580215E-3</v>
      </c>
      <c r="J262" s="12">
        <f>(PrincipalesVariables[[#This Row],[Reservas internacionales]]-F261)/F261</f>
        <v>-1.3796006173128186E-3</v>
      </c>
    </row>
    <row r="263" spans="1:10" ht="15.75" thickBot="1" x14ac:dyDescent="0.3">
      <c r="A263" s="14">
        <v>41303</v>
      </c>
      <c r="B263" s="15">
        <v>41303</v>
      </c>
      <c r="C263" s="16">
        <v>289981</v>
      </c>
      <c r="D263" s="10">
        <f>PrincipalesVariables[[#This Row],[Base monetaria]]/1000000</f>
        <v>0.28998099999999999</v>
      </c>
      <c r="E263" s="10">
        <v>4.97</v>
      </c>
      <c r="F263" s="11">
        <v>42590</v>
      </c>
      <c r="H263" s="12">
        <f>(PrincipalesVariables[[#This Row],[Base monetaria]]-C262)/C262</f>
        <v>-1.515041956332359E-3</v>
      </c>
      <c r="I263" s="12">
        <f>(PrincipalesVariables[[#This Row],[Dólar  mayorista]]-E262)/E262</f>
        <v>0</v>
      </c>
      <c r="J263" s="12">
        <f>(PrincipalesVariables[[#This Row],[Reservas internacionales]]-F262)/F262</f>
        <v>-2.7395977240265061E-3</v>
      </c>
    </row>
    <row r="264" spans="1:10" ht="15.75" thickBot="1" x14ac:dyDescent="0.3">
      <c r="A264" s="14">
        <v>41304</v>
      </c>
      <c r="B264" s="15">
        <v>41304</v>
      </c>
      <c r="C264" s="16">
        <v>287546</v>
      </c>
      <c r="D264" s="10">
        <f>PrincipalesVariables[[#This Row],[Base monetaria]]/1000000</f>
        <v>0.28754600000000002</v>
      </c>
      <c r="E264" s="10">
        <v>4.9800000000000004</v>
      </c>
      <c r="F264" s="11">
        <v>42531</v>
      </c>
      <c r="H264" s="12">
        <f>(PrincipalesVariables[[#This Row],[Base monetaria]]-C263)/C263</f>
        <v>-8.3971018790886306E-3</v>
      </c>
      <c r="I264" s="12">
        <f>(PrincipalesVariables[[#This Row],[Dólar  mayorista]]-E263)/E263</f>
        <v>2.0120724346077818E-3</v>
      </c>
      <c r="J264" s="12">
        <f>(PrincipalesVariables[[#This Row],[Reservas internacionales]]-F263)/F263</f>
        <v>-1.385301714017375E-3</v>
      </c>
    </row>
    <row r="265" spans="1:10" ht="15.75" thickBot="1" x14ac:dyDescent="0.3">
      <c r="A265" s="14">
        <v>41306</v>
      </c>
      <c r="B265" s="15">
        <v>41306</v>
      </c>
      <c r="C265" s="16">
        <v>289527</v>
      </c>
      <c r="D265" s="10">
        <f>PrincipalesVariables[[#This Row],[Base monetaria]]/1000000</f>
        <v>0.28952699999999998</v>
      </c>
      <c r="E265" s="10">
        <v>4.9800000000000004</v>
      </c>
      <c r="F265" s="11">
        <v>42648</v>
      </c>
      <c r="H265" s="12">
        <f>(PrincipalesVariables[[#This Row],[Base monetaria]]-C264)/C264</f>
        <v>6.8893324894103896E-3</v>
      </c>
      <c r="I265" s="12">
        <f>(PrincipalesVariables[[#This Row],[Dólar  mayorista]]-E264)/E264</f>
        <v>0</v>
      </c>
      <c r="J265" s="12">
        <f>(PrincipalesVariables[[#This Row],[Reservas internacionales]]-F264)/F264</f>
        <v>2.750934612400367E-3</v>
      </c>
    </row>
    <row r="266" spans="1:10" ht="15.75" thickBot="1" x14ac:dyDescent="0.3">
      <c r="A266" s="14">
        <v>41309</v>
      </c>
      <c r="B266" s="15">
        <v>41309</v>
      </c>
      <c r="C266" s="16">
        <v>288820</v>
      </c>
      <c r="D266" s="10">
        <f>PrincipalesVariables[[#This Row],[Base monetaria]]/1000000</f>
        <v>0.28882000000000002</v>
      </c>
      <c r="E266" s="10">
        <v>4.9800000000000004</v>
      </c>
      <c r="F266" s="11">
        <v>42657</v>
      </c>
      <c r="H266" s="12">
        <f>(PrincipalesVariables[[#This Row],[Base monetaria]]-C265)/C265</f>
        <v>-2.4419138802253331E-3</v>
      </c>
      <c r="I266" s="12">
        <f>(PrincipalesVariables[[#This Row],[Dólar  mayorista]]-E265)/E265</f>
        <v>0</v>
      </c>
      <c r="J266" s="12">
        <f>(PrincipalesVariables[[#This Row],[Reservas internacionales]]-F265)/F265</f>
        <v>2.1102982554867754E-4</v>
      </c>
    </row>
    <row r="267" spans="1:10" ht="15.75" thickBot="1" x14ac:dyDescent="0.3">
      <c r="A267" s="14">
        <v>41310</v>
      </c>
      <c r="B267" s="15">
        <v>41310</v>
      </c>
      <c r="C267" s="16">
        <v>288350</v>
      </c>
      <c r="D267" s="10">
        <f>PrincipalesVariables[[#This Row],[Base monetaria]]/1000000</f>
        <v>0.28835</v>
      </c>
      <c r="E267" s="10">
        <v>4.9800000000000004</v>
      </c>
      <c r="F267" s="11">
        <v>42673</v>
      </c>
      <c r="H267" s="12">
        <f>(PrincipalesVariables[[#This Row],[Base monetaria]]-C266)/C266</f>
        <v>-1.6273111280382245E-3</v>
      </c>
      <c r="I267" s="12">
        <f>(PrincipalesVariables[[#This Row],[Dólar  mayorista]]-E266)/E266</f>
        <v>0</v>
      </c>
      <c r="J267" s="12">
        <f>(PrincipalesVariables[[#This Row],[Reservas internacionales]]-F266)/F266</f>
        <v>3.7508498019082448E-4</v>
      </c>
    </row>
    <row r="268" spans="1:10" ht="15.75" thickBot="1" x14ac:dyDescent="0.3">
      <c r="A268" s="14">
        <v>41311</v>
      </c>
      <c r="B268" s="15">
        <v>41311</v>
      </c>
      <c r="C268" s="16">
        <v>288756</v>
      </c>
      <c r="D268" s="10">
        <f>PrincipalesVariables[[#This Row],[Base monetaria]]/1000000</f>
        <v>0.28875600000000001</v>
      </c>
      <c r="E268" s="10">
        <v>4.99</v>
      </c>
      <c r="F268" s="11">
        <v>42568</v>
      </c>
      <c r="H268" s="12">
        <f>(PrincipalesVariables[[#This Row],[Base monetaria]]-C267)/C267</f>
        <v>1.4080110976244149E-3</v>
      </c>
      <c r="I268" s="12">
        <f>(PrincipalesVariables[[#This Row],[Dólar  mayorista]]-E267)/E267</f>
        <v>2.0080321285140131E-3</v>
      </c>
      <c r="J268" s="12">
        <f>(PrincipalesVariables[[#This Row],[Reservas internacionales]]-F267)/F267</f>
        <v>-2.4605722588053338E-3</v>
      </c>
    </row>
    <row r="269" spans="1:10" ht="15.75" thickBot="1" x14ac:dyDescent="0.3">
      <c r="A269" s="14">
        <v>41312</v>
      </c>
      <c r="B269" s="15">
        <v>41312</v>
      </c>
      <c r="C269" s="16">
        <v>289170</v>
      </c>
      <c r="D269" s="10">
        <f>PrincipalesVariables[[#This Row],[Base monetaria]]/1000000</f>
        <v>0.28916999999999998</v>
      </c>
      <c r="E269" s="10">
        <v>4.99</v>
      </c>
      <c r="F269" s="11">
        <v>42405</v>
      </c>
      <c r="H269" s="12">
        <f>(PrincipalesVariables[[#This Row],[Base monetaria]]-C268)/C268</f>
        <v>1.4337364418401696E-3</v>
      </c>
      <c r="I269" s="12">
        <f>(PrincipalesVariables[[#This Row],[Dólar  mayorista]]-E268)/E268</f>
        <v>0</v>
      </c>
      <c r="J269" s="12">
        <f>(PrincipalesVariables[[#This Row],[Reservas internacionales]]-F268)/F268</f>
        <v>-3.8291674497274949E-3</v>
      </c>
    </row>
    <row r="270" spans="1:10" ht="15.75" thickBot="1" x14ac:dyDescent="0.3">
      <c r="A270" s="14">
        <v>41313</v>
      </c>
      <c r="B270" s="15">
        <v>41313</v>
      </c>
      <c r="C270" s="16">
        <v>291376</v>
      </c>
      <c r="D270" s="10">
        <f>PrincipalesVariables[[#This Row],[Base monetaria]]/1000000</f>
        <v>0.29137600000000002</v>
      </c>
      <c r="E270" s="10">
        <v>5</v>
      </c>
      <c r="F270" s="11">
        <v>42301</v>
      </c>
      <c r="H270" s="12">
        <f>(PrincipalesVariables[[#This Row],[Base monetaria]]-C269)/C269</f>
        <v>7.6287305045474978E-3</v>
      </c>
      <c r="I270" s="12">
        <f>(PrincipalesVariables[[#This Row],[Dólar  mayorista]]-E269)/E269</f>
        <v>2.0040080160320215E-3</v>
      </c>
      <c r="J270" s="12">
        <f>(PrincipalesVariables[[#This Row],[Reservas internacionales]]-F269)/F269</f>
        <v>-2.4525409739417523E-3</v>
      </c>
    </row>
    <row r="271" spans="1:10" ht="15.75" thickBot="1" x14ac:dyDescent="0.3">
      <c r="A271" s="14">
        <v>41318</v>
      </c>
      <c r="B271" s="15">
        <v>41318</v>
      </c>
      <c r="C271" s="16">
        <v>296321</v>
      </c>
      <c r="D271" s="10">
        <f>PrincipalesVariables[[#This Row],[Base monetaria]]/1000000</f>
        <v>0.296321</v>
      </c>
      <c r="E271" s="10">
        <v>5</v>
      </c>
      <c r="F271" s="11">
        <v>42295</v>
      </c>
      <c r="H271" s="12">
        <f>(PrincipalesVariables[[#This Row],[Base monetaria]]-C270)/C270</f>
        <v>1.69711987260447E-2</v>
      </c>
      <c r="I271" s="12">
        <f>(PrincipalesVariables[[#This Row],[Dólar  mayorista]]-E270)/E270</f>
        <v>0</v>
      </c>
      <c r="J271" s="12">
        <f>(PrincipalesVariables[[#This Row],[Reservas internacionales]]-F270)/F270</f>
        <v>-1.4184061842509633E-4</v>
      </c>
    </row>
    <row r="272" spans="1:10" ht="15.75" thickBot="1" x14ac:dyDescent="0.3">
      <c r="A272" s="14">
        <v>41319</v>
      </c>
      <c r="B272" s="15">
        <v>41319</v>
      </c>
      <c r="C272" s="16">
        <v>297929</v>
      </c>
      <c r="D272" s="10">
        <f>PrincipalesVariables[[#This Row],[Base monetaria]]/1000000</f>
        <v>0.297929</v>
      </c>
      <c r="E272" s="10">
        <v>5</v>
      </c>
      <c r="F272" s="11">
        <v>42195</v>
      </c>
      <c r="H272" s="12">
        <f>(PrincipalesVariables[[#This Row],[Base monetaria]]-C271)/C271</f>
        <v>5.4265475615970522E-3</v>
      </c>
      <c r="I272" s="12">
        <f>(PrincipalesVariables[[#This Row],[Dólar  mayorista]]-E271)/E271</f>
        <v>0</v>
      </c>
      <c r="J272" s="12">
        <f>(PrincipalesVariables[[#This Row],[Reservas internacionales]]-F271)/F271</f>
        <v>-2.3643456673365648E-3</v>
      </c>
    </row>
    <row r="273" spans="1:10" ht="15.75" thickBot="1" x14ac:dyDescent="0.3">
      <c r="A273" s="14">
        <v>41320</v>
      </c>
      <c r="B273" s="15">
        <v>41320</v>
      </c>
      <c r="C273" s="16">
        <v>300186</v>
      </c>
      <c r="D273" s="10">
        <f>PrincipalesVariables[[#This Row],[Base monetaria]]/1000000</f>
        <v>0.30018600000000001</v>
      </c>
      <c r="E273" s="10">
        <v>5.01</v>
      </c>
      <c r="F273" s="11">
        <v>42171</v>
      </c>
      <c r="H273" s="12">
        <f>(PrincipalesVariables[[#This Row],[Base monetaria]]-C272)/C272</f>
        <v>7.5756304354393164E-3</v>
      </c>
      <c r="I273" s="12">
        <f>(PrincipalesVariables[[#This Row],[Dólar  mayorista]]-E272)/E272</f>
        <v>1.9999999999999575E-3</v>
      </c>
      <c r="J273" s="12">
        <f>(PrincipalesVariables[[#This Row],[Reservas internacionales]]-F272)/F272</f>
        <v>-5.6878777106292213E-4</v>
      </c>
    </row>
    <row r="274" spans="1:10" ht="15.75" thickBot="1" x14ac:dyDescent="0.3">
      <c r="A274" s="14">
        <v>41323</v>
      </c>
      <c r="B274" s="15">
        <v>41323</v>
      </c>
      <c r="C274" s="16">
        <v>295588</v>
      </c>
      <c r="D274" s="10">
        <f>PrincipalesVariables[[#This Row],[Base monetaria]]/1000000</f>
        <v>0.29558800000000002</v>
      </c>
      <c r="E274" s="10">
        <v>5.0199999999999996</v>
      </c>
      <c r="F274" s="11">
        <v>42175</v>
      </c>
      <c r="H274" s="12">
        <f>(PrincipalesVariables[[#This Row],[Base monetaria]]-C273)/C273</f>
        <v>-1.531717002125349E-2</v>
      </c>
      <c r="I274" s="12">
        <f>(PrincipalesVariables[[#This Row],[Dólar  mayorista]]-E273)/E273</f>
        <v>1.9960079840318935E-3</v>
      </c>
      <c r="J274" s="12">
        <f>(PrincipalesVariables[[#This Row],[Reservas internacionales]]-F273)/F273</f>
        <v>9.485191245168481E-5</v>
      </c>
    </row>
    <row r="275" spans="1:10" ht="15.75" thickBot="1" x14ac:dyDescent="0.3">
      <c r="A275" s="14">
        <v>41324</v>
      </c>
      <c r="B275" s="15">
        <v>41324</v>
      </c>
      <c r="C275" s="16">
        <v>292587</v>
      </c>
      <c r="D275" s="10">
        <f>PrincipalesVariables[[#This Row],[Base monetaria]]/1000000</f>
        <v>0.29258699999999999</v>
      </c>
      <c r="E275" s="10">
        <v>5.0199999999999996</v>
      </c>
      <c r="F275" s="11">
        <v>42017</v>
      </c>
      <c r="H275" s="12">
        <f>(PrincipalesVariables[[#This Row],[Base monetaria]]-C274)/C274</f>
        <v>-1.015264489762778E-2</v>
      </c>
      <c r="I275" s="12">
        <f>(PrincipalesVariables[[#This Row],[Dólar  mayorista]]-E274)/E274</f>
        <v>0</v>
      </c>
      <c r="J275" s="12">
        <f>(PrincipalesVariables[[#This Row],[Reservas internacionales]]-F274)/F274</f>
        <v>-3.7462951985773561E-3</v>
      </c>
    </row>
    <row r="276" spans="1:10" ht="15.75" thickBot="1" x14ac:dyDescent="0.3">
      <c r="A276" s="14">
        <v>41326</v>
      </c>
      <c r="B276" s="15">
        <v>41326</v>
      </c>
      <c r="C276" s="16">
        <v>292666</v>
      </c>
      <c r="D276" s="10">
        <f>PrincipalesVariables[[#This Row],[Base monetaria]]/1000000</f>
        <v>0.29266599999999998</v>
      </c>
      <c r="E276" s="10">
        <v>5.03</v>
      </c>
      <c r="F276" s="11">
        <v>41877</v>
      </c>
      <c r="H276" s="12">
        <f>(PrincipalesVariables[[#This Row],[Base monetaria]]-C275)/C275</f>
        <v>2.7000516085813793E-4</v>
      </c>
      <c r="I276" s="12">
        <f>(PrincipalesVariables[[#This Row],[Dólar  mayorista]]-E275)/E275</f>
        <v>1.992031872510095E-3</v>
      </c>
      <c r="J276" s="12">
        <f>(PrincipalesVariables[[#This Row],[Reservas internacionales]]-F275)/F275</f>
        <v>-3.3319846728705046E-3</v>
      </c>
    </row>
    <row r="277" spans="1:10" ht="15.75" thickBot="1" x14ac:dyDescent="0.3">
      <c r="A277" s="14">
        <v>41327</v>
      </c>
      <c r="B277" s="15">
        <v>41327</v>
      </c>
      <c r="C277" s="16">
        <v>291707</v>
      </c>
      <c r="D277" s="10">
        <f>PrincipalesVariables[[#This Row],[Base monetaria]]/1000000</f>
        <v>0.29170699999999999</v>
      </c>
      <c r="E277" s="10">
        <v>5.03</v>
      </c>
      <c r="F277" s="11">
        <v>41803</v>
      </c>
      <c r="H277" s="12">
        <f>(PrincipalesVariables[[#This Row],[Base monetaria]]-C276)/C276</f>
        <v>-3.2767728400292483E-3</v>
      </c>
      <c r="I277" s="12">
        <f>(PrincipalesVariables[[#This Row],[Dólar  mayorista]]-E276)/E276</f>
        <v>0</v>
      </c>
      <c r="J277" s="12">
        <f>(PrincipalesVariables[[#This Row],[Reservas internacionales]]-F276)/F276</f>
        <v>-1.7670797812641785E-3</v>
      </c>
    </row>
    <row r="278" spans="1:10" ht="15.75" thickBot="1" x14ac:dyDescent="0.3">
      <c r="A278" s="14">
        <v>41330</v>
      </c>
      <c r="B278" s="15">
        <v>41330</v>
      </c>
      <c r="C278" s="16">
        <v>291094</v>
      </c>
      <c r="D278" s="10">
        <f>PrincipalesVariables[[#This Row],[Base monetaria]]/1000000</f>
        <v>0.29109400000000002</v>
      </c>
      <c r="E278" s="10">
        <v>5.03</v>
      </c>
      <c r="F278" s="11">
        <v>41844</v>
      </c>
      <c r="H278" s="12">
        <f>(PrincipalesVariables[[#This Row],[Base monetaria]]-C277)/C277</f>
        <v>-2.1014236888384579E-3</v>
      </c>
      <c r="I278" s="12">
        <f>(PrincipalesVariables[[#This Row],[Dólar  mayorista]]-E277)/E277</f>
        <v>0</v>
      </c>
      <c r="J278" s="12">
        <f>(PrincipalesVariables[[#This Row],[Reservas internacionales]]-F277)/F277</f>
        <v>9.8079085233117248E-4</v>
      </c>
    </row>
    <row r="279" spans="1:10" ht="15.75" thickBot="1" x14ac:dyDescent="0.3">
      <c r="A279" s="14">
        <v>41331</v>
      </c>
      <c r="B279" s="15">
        <v>41331</v>
      </c>
      <c r="C279" s="16">
        <v>290962</v>
      </c>
      <c r="D279" s="10">
        <f>PrincipalesVariables[[#This Row],[Base monetaria]]/1000000</f>
        <v>0.290962</v>
      </c>
      <c r="E279" s="10">
        <v>5.04</v>
      </c>
      <c r="F279" s="11">
        <v>41821</v>
      </c>
      <c r="H279" s="12">
        <f>(PrincipalesVariables[[#This Row],[Base monetaria]]-C278)/C278</f>
        <v>-4.5346176836348395E-4</v>
      </c>
      <c r="I279" s="12">
        <f>(PrincipalesVariables[[#This Row],[Dólar  mayorista]]-E278)/E278</f>
        <v>1.9880715705764985E-3</v>
      </c>
      <c r="J279" s="12">
        <f>(PrincipalesVariables[[#This Row],[Reservas internacionales]]-F278)/F278</f>
        <v>-5.496606442978683E-4</v>
      </c>
    </row>
    <row r="280" spans="1:10" ht="15.75" thickBot="1" x14ac:dyDescent="0.3">
      <c r="A280" s="14">
        <v>41332</v>
      </c>
      <c r="B280" s="15">
        <v>41332</v>
      </c>
      <c r="C280" s="16">
        <v>289812</v>
      </c>
      <c r="D280" s="10">
        <f>PrincipalesVariables[[#This Row],[Base monetaria]]/1000000</f>
        <v>0.28981200000000001</v>
      </c>
      <c r="E280" s="10">
        <v>5.04</v>
      </c>
      <c r="F280" s="11">
        <v>41540</v>
      </c>
      <c r="H280" s="12">
        <f>(PrincipalesVariables[[#This Row],[Base monetaria]]-C279)/C279</f>
        <v>-3.9524061561303538E-3</v>
      </c>
      <c r="I280" s="12">
        <f>(PrincipalesVariables[[#This Row],[Dólar  mayorista]]-E279)/E279</f>
        <v>0</v>
      </c>
      <c r="J280" s="12">
        <f>(PrincipalesVariables[[#This Row],[Reservas internacionales]]-F279)/F279</f>
        <v>-6.7191124076420939E-3</v>
      </c>
    </row>
    <row r="281" spans="1:10" ht="15.75" thickBot="1" x14ac:dyDescent="0.3">
      <c r="A281" s="14">
        <v>41333</v>
      </c>
      <c r="B281" s="15">
        <v>41333</v>
      </c>
      <c r="C281" s="16">
        <v>291151</v>
      </c>
      <c r="D281" s="10">
        <f>PrincipalesVariables[[#This Row],[Base monetaria]]/1000000</f>
        <v>0.29115099999999999</v>
      </c>
      <c r="E281" s="10">
        <v>5.04</v>
      </c>
      <c r="F281" s="11">
        <v>41609</v>
      </c>
      <c r="H281" s="12">
        <f>(PrincipalesVariables[[#This Row],[Base monetaria]]-C280)/C280</f>
        <v>4.6202365671538792E-3</v>
      </c>
      <c r="I281" s="12">
        <f>(PrincipalesVariables[[#This Row],[Dólar  mayorista]]-E280)/E280</f>
        <v>0</v>
      </c>
      <c r="J281" s="12">
        <f>(PrincipalesVariables[[#This Row],[Reservas internacionales]]-F280)/F280</f>
        <v>1.6610495907558979E-3</v>
      </c>
    </row>
    <row r="282" spans="1:10" ht="15.75" thickBot="1" x14ac:dyDescent="0.3">
      <c r="A282" s="14">
        <v>41334</v>
      </c>
      <c r="B282" s="15">
        <v>41334</v>
      </c>
      <c r="C282" s="16">
        <v>300266</v>
      </c>
      <c r="D282" s="10">
        <f>PrincipalesVariables[[#This Row],[Base monetaria]]/1000000</f>
        <v>0.30026599999999998</v>
      </c>
      <c r="E282" s="10">
        <v>5.05</v>
      </c>
      <c r="F282" s="11">
        <v>41576</v>
      </c>
      <c r="H282" s="12">
        <f>(PrincipalesVariables[[#This Row],[Base monetaria]]-C281)/C281</f>
        <v>3.1306778956623885E-2</v>
      </c>
      <c r="I282" s="12">
        <f>(PrincipalesVariables[[#This Row],[Dólar  mayorista]]-E281)/E281</f>
        <v>1.9841269841269419E-3</v>
      </c>
      <c r="J282" s="12">
        <f>(PrincipalesVariables[[#This Row],[Reservas internacionales]]-F281)/F281</f>
        <v>-7.9309764714364682E-4</v>
      </c>
    </row>
    <row r="283" spans="1:10" ht="15.75" thickBot="1" x14ac:dyDescent="0.3">
      <c r="A283" s="14">
        <v>41337</v>
      </c>
      <c r="B283" s="15">
        <v>41337</v>
      </c>
      <c r="C283" s="16">
        <v>300562</v>
      </c>
      <c r="D283" s="10">
        <f>PrincipalesVariables[[#This Row],[Base monetaria]]/1000000</f>
        <v>0.300562</v>
      </c>
      <c r="E283" s="10">
        <v>5.05</v>
      </c>
      <c r="F283" s="11">
        <v>41518</v>
      </c>
      <c r="H283" s="12">
        <f>(PrincipalesVariables[[#This Row],[Base monetaria]]-C282)/C282</f>
        <v>9.8579259723045572E-4</v>
      </c>
      <c r="I283" s="12">
        <f>(PrincipalesVariables[[#This Row],[Dólar  mayorista]]-E282)/E282</f>
        <v>0</v>
      </c>
      <c r="J283" s="12">
        <f>(PrincipalesVariables[[#This Row],[Reservas internacionales]]-F282)/F282</f>
        <v>-1.3950355974600732E-3</v>
      </c>
    </row>
    <row r="284" spans="1:10" ht="15.75" thickBot="1" x14ac:dyDescent="0.3">
      <c r="A284" s="14">
        <v>41338</v>
      </c>
      <c r="B284" s="15">
        <v>41338</v>
      </c>
      <c r="C284" s="16">
        <v>300361</v>
      </c>
      <c r="D284" s="10">
        <f>PrincipalesVariables[[#This Row],[Base monetaria]]/1000000</f>
        <v>0.30036099999999999</v>
      </c>
      <c r="E284" s="10">
        <v>5.0599999999999996</v>
      </c>
      <c r="F284" s="11">
        <v>41502</v>
      </c>
      <c r="H284" s="12">
        <f>(PrincipalesVariables[[#This Row],[Base monetaria]]-C283)/C283</f>
        <v>-6.6874721355327687E-4</v>
      </c>
      <c r="I284" s="12">
        <f>(PrincipalesVariables[[#This Row],[Dólar  mayorista]]-E283)/E283</f>
        <v>1.9801980198019382E-3</v>
      </c>
      <c r="J284" s="12">
        <f>(PrincipalesVariables[[#This Row],[Reservas internacionales]]-F283)/F283</f>
        <v>-3.8537501806445399E-4</v>
      </c>
    </row>
    <row r="285" spans="1:10" ht="15.75" thickBot="1" x14ac:dyDescent="0.3">
      <c r="A285" s="14">
        <v>41339</v>
      </c>
      <c r="B285" s="15">
        <v>41339</v>
      </c>
      <c r="C285" s="16">
        <v>298337</v>
      </c>
      <c r="D285" s="10">
        <f>PrincipalesVariables[[#This Row],[Base monetaria]]/1000000</f>
        <v>0.29833700000000002</v>
      </c>
      <c r="E285" s="10">
        <v>5.0599999999999996</v>
      </c>
      <c r="F285" s="11">
        <v>41492</v>
      </c>
      <c r="H285" s="12">
        <f>(PrincipalesVariables[[#This Row],[Base monetaria]]-C284)/C284</f>
        <v>-6.7385579352845408E-3</v>
      </c>
      <c r="I285" s="12">
        <f>(PrincipalesVariables[[#This Row],[Dólar  mayorista]]-E284)/E284</f>
        <v>0</v>
      </c>
      <c r="J285" s="12">
        <f>(PrincipalesVariables[[#This Row],[Reservas internacionales]]-F284)/F284</f>
        <v>-2.4095224326538481E-4</v>
      </c>
    </row>
    <row r="286" spans="1:10" ht="15.75" thickBot="1" x14ac:dyDescent="0.3">
      <c r="A286" s="14">
        <v>41340</v>
      </c>
      <c r="B286" s="15">
        <v>41340</v>
      </c>
      <c r="C286" s="16">
        <v>298108</v>
      </c>
      <c r="D286" s="10">
        <f>PrincipalesVariables[[#This Row],[Base monetaria]]/1000000</f>
        <v>0.29810799999999998</v>
      </c>
      <c r="E286" s="10">
        <v>5.0599999999999996</v>
      </c>
      <c r="F286" s="11">
        <v>41456</v>
      </c>
      <c r="H286" s="12">
        <f>(PrincipalesVariables[[#This Row],[Base monetaria]]-C285)/C285</f>
        <v>-7.6758833131659833E-4</v>
      </c>
      <c r="I286" s="12">
        <f>(PrincipalesVariables[[#This Row],[Dólar  mayorista]]-E285)/E285</f>
        <v>0</v>
      </c>
      <c r="J286" s="12">
        <f>(PrincipalesVariables[[#This Row],[Reservas internacionales]]-F285)/F285</f>
        <v>-8.6763713486937238E-4</v>
      </c>
    </row>
    <row r="287" spans="1:10" ht="15.75" thickBot="1" x14ac:dyDescent="0.3">
      <c r="A287" s="14">
        <v>41341</v>
      </c>
      <c r="B287" s="15">
        <v>41341</v>
      </c>
      <c r="C287" s="16">
        <v>298457</v>
      </c>
      <c r="D287" s="10">
        <f>PrincipalesVariables[[#This Row],[Base monetaria]]/1000000</f>
        <v>0.29845699999999997</v>
      </c>
      <c r="E287" s="10">
        <v>5.0599999999999996</v>
      </c>
      <c r="F287" s="11">
        <v>41528</v>
      </c>
      <c r="H287" s="12">
        <f>(PrincipalesVariables[[#This Row],[Base monetaria]]-C286)/C286</f>
        <v>1.1707166530250781E-3</v>
      </c>
      <c r="I287" s="12">
        <f>(PrincipalesVariables[[#This Row],[Dólar  mayorista]]-E286)/E286</f>
        <v>0</v>
      </c>
      <c r="J287" s="12">
        <f>(PrincipalesVariables[[#This Row],[Reservas internacionales]]-F286)/F286</f>
        <v>1.7367811655731378E-3</v>
      </c>
    </row>
    <row r="288" spans="1:10" ht="15.75" thickBot="1" x14ac:dyDescent="0.3">
      <c r="A288" s="14">
        <v>41344</v>
      </c>
      <c r="B288" s="15">
        <v>41344</v>
      </c>
      <c r="C288" s="16">
        <v>298069</v>
      </c>
      <c r="D288" s="10">
        <f>PrincipalesVariables[[#This Row],[Base monetaria]]/1000000</f>
        <v>0.29806899999999997</v>
      </c>
      <c r="E288" s="10">
        <v>5.07</v>
      </c>
      <c r="F288" s="11">
        <v>41497</v>
      </c>
      <c r="H288" s="12">
        <f>(PrincipalesVariables[[#This Row],[Base monetaria]]-C287)/C287</f>
        <v>-1.3000197683418382E-3</v>
      </c>
      <c r="I288" s="12">
        <f>(PrincipalesVariables[[#This Row],[Dólar  mayorista]]-E287)/E287</f>
        <v>1.9762845849803706E-3</v>
      </c>
      <c r="J288" s="12">
        <f>(PrincipalesVariables[[#This Row],[Reservas internacionales]]-F287)/F287</f>
        <v>-7.4648429974956659E-4</v>
      </c>
    </row>
    <row r="289" spans="1:10" ht="15.75" thickBot="1" x14ac:dyDescent="0.3">
      <c r="A289" s="14">
        <v>41345</v>
      </c>
      <c r="B289" s="15">
        <v>41345</v>
      </c>
      <c r="C289" s="16">
        <v>297738</v>
      </c>
      <c r="D289" s="10">
        <f>PrincipalesVariables[[#This Row],[Base monetaria]]/1000000</f>
        <v>0.297738</v>
      </c>
      <c r="E289" s="10">
        <v>5.08</v>
      </c>
      <c r="F289" s="11">
        <v>41406</v>
      </c>
      <c r="H289" s="12">
        <f>(PrincipalesVariables[[#This Row],[Base monetaria]]-C288)/C288</f>
        <v>-1.1104811302081062E-3</v>
      </c>
      <c r="I289" s="12">
        <f>(PrincipalesVariables[[#This Row],[Dólar  mayorista]]-E288)/E288</f>
        <v>1.9723865877711612E-3</v>
      </c>
      <c r="J289" s="12">
        <f>(PrincipalesVariables[[#This Row],[Reservas internacionales]]-F288)/F288</f>
        <v>-2.192929609369352E-3</v>
      </c>
    </row>
    <row r="290" spans="1:10" ht="15.75" thickBot="1" x14ac:dyDescent="0.3">
      <c r="A290" s="14">
        <v>41346</v>
      </c>
      <c r="B290" s="15">
        <v>41346</v>
      </c>
      <c r="C290" s="16">
        <v>296379</v>
      </c>
      <c r="D290" s="10">
        <f>PrincipalesVariables[[#This Row],[Base monetaria]]/1000000</f>
        <v>0.296379</v>
      </c>
      <c r="E290" s="10">
        <v>5.08</v>
      </c>
      <c r="F290" s="11">
        <v>41377</v>
      </c>
      <c r="H290" s="12">
        <f>(PrincipalesVariables[[#This Row],[Base monetaria]]-C289)/C289</f>
        <v>-4.5644156943352877E-3</v>
      </c>
      <c r="I290" s="12">
        <f>(PrincipalesVariables[[#This Row],[Dólar  mayorista]]-E289)/E289</f>
        <v>0</v>
      </c>
      <c r="J290" s="12">
        <f>(PrincipalesVariables[[#This Row],[Reservas internacionales]]-F289)/F289</f>
        <v>-7.0038158720958318E-4</v>
      </c>
    </row>
    <row r="291" spans="1:10" ht="15.75" thickBot="1" x14ac:dyDescent="0.3">
      <c r="A291" s="14">
        <v>41347</v>
      </c>
      <c r="B291" s="15">
        <v>41347</v>
      </c>
      <c r="C291" s="16">
        <v>296918</v>
      </c>
      <c r="D291" s="10">
        <f>PrincipalesVariables[[#This Row],[Base monetaria]]/1000000</f>
        <v>0.29691800000000002</v>
      </c>
      <c r="E291" s="10">
        <v>5.08</v>
      </c>
      <c r="F291" s="11">
        <v>41399</v>
      </c>
      <c r="H291" s="12">
        <f>(PrincipalesVariables[[#This Row],[Base monetaria]]-C290)/C290</f>
        <v>1.8186173784242473E-3</v>
      </c>
      <c r="I291" s="12">
        <f>(PrincipalesVariables[[#This Row],[Dólar  mayorista]]-E290)/E290</f>
        <v>0</v>
      </c>
      <c r="J291" s="12">
        <f>(PrincipalesVariables[[#This Row],[Reservas internacionales]]-F290)/F290</f>
        <v>5.3169635304637839E-4</v>
      </c>
    </row>
    <row r="292" spans="1:10" ht="15.75" thickBot="1" x14ac:dyDescent="0.3">
      <c r="A292" s="14">
        <v>41348</v>
      </c>
      <c r="B292" s="15">
        <v>41348</v>
      </c>
      <c r="C292" s="16">
        <v>294513</v>
      </c>
      <c r="D292" s="10">
        <f>PrincipalesVariables[[#This Row],[Base monetaria]]/1000000</f>
        <v>0.29451300000000002</v>
      </c>
      <c r="E292" s="10">
        <v>5.09</v>
      </c>
      <c r="F292" s="11">
        <v>41242</v>
      </c>
      <c r="H292" s="12">
        <f>(PrincipalesVariables[[#This Row],[Base monetaria]]-C291)/C291</f>
        <v>-8.0998794279902187E-3</v>
      </c>
      <c r="I292" s="12">
        <f>(PrincipalesVariables[[#This Row],[Dólar  mayorista]]-E291)/E291</f>
        <v>1.9685039370078319E-3</v>
      </c>
      <c r="J292" s="12">
        <f>(PrincipalesVariables[[#This Row],[Reservas internacionales]]-F291)/F291</f>
        <v>-3.7923621343510711E-3</v>
      </c>
    </row>
    <row r="293" spans="1:10" ht="15.75" thickBot="1" x14ac:dyDescent="0.3">
      <c r="A293" s="14">
        <v>41351</v>
      </c>
      <c r="B293" s="15">
        <v>41351</v>
      </c>
      <c r="C293" s="16">
        <v>293010</v>
      </c>
      <c r="D293" s="10">
        <f>PrincipalesVariables[[#This Row],[Base monetaria]]/1000000</f>
        <v>0.29300999999999999</v>
      </c>
      <c r="E293" s="10">
        <v>5.0999999999999996</v>
      </c>
      <c r="F293" s="11">
        <v>41205</v>
      </c>
      <c r="H293" s="12">
        <f>(PrincipalesVariables[[#This Row],[Base monetaria]]-C292)/C292</f>
        <v>-5.103340090250685E-3</v>
      </c>
      <c r="I293" s="12">
        <f>(PrincipalesVariables[[#This Row],[Dólar  mayorista]]-E292)/E292</f>
        <v>1.9646365422396439E-3</v>
      </c>
      <c r="J293" s="12">
        <f>(PrincipalesVariables[[#This Row],[Reservas internacionales]]-F292)/F292</f>
        <v>-8.9714368847291592E-4</v>
      </c>
    </row>
    <row r="294" spans="1:10" ht="15.75" thickBot="1" x14ac:dyDescent="0.3">
      <c r="A294" s="14">
        <v>41352</v>
      </c>
      <c r="B294" s="15">
        <v>41352</v>
      </c>
      <c r="C294" s="16">
        <v>293388</v>
      </c>
      <c r="D294" s="10">
        <f>PrincipalesVariables[[#This Row],[Base monetaria]]/1000000</f>
        <v>0.29338799999999998</v>
      </c>
      <c r="E294" s="10">
        <v>5.0999999999999996</v>
      </c>
      <c r="F294" s="11">
        <v>41085</v>
      </c>
      <c r="H294" s="12">
        <f>(PrincipalesVariables[[#This Row],[Base monetaria]]-C293)/C293</f>
        <v>1.2900583597829425E-3</v>
      </c>
      <c r="I294" s="12">
        <f>(PrincipalesVariables[[#This Row],[Dólar  mayorista]]-E293)/E293</f>
        <v>0</v>
      </c>
      <c r="J294" s="12">
        <f>(PrincipalesVariables[[#This Row],[Reservas internacionales]]-F293)/F293</f>
        <v>-2.9122679286494356E-3</v>
      </c>
    </row>
    <row r="295" spans="1:10" ht="15.75" thickBot="1" x14ac:dyDescent="0.3">
      <c r="A295" s="14">
        <v>41353</v>
      </c>
      <c r="B295" s="15">
        <v>41353</v>
      </c>
      <c r="C295" s="16">
        <v>293576</v>
      </c>
      <c r="D295" s="10">
        <f>PrincipalesVariables[[#This Row],[Base monetaria]]/1000000</f>
        <v>0.293576</v>
      </c>
      <c r="E295" s="10">
        <v>5.0999999999999996</v>
      </c>
      <c r="F295" s="11">
        <v>40988</v>
      </c>
      <c r="H295" s="12">
        <f>(PrincipalesVariables[[#This Row],[Base monetaria]]-C294)/C294</f>
        <v>6.4078967101585617E-4</v>
      </c>
      <c r="I295" s="12">
        <f>(PrincipalesVariables[[#This Row],[Dólar  mayorista]]-E294)/E294</f>
        <v>0</v>
      </c>
      <c r="J295" s="12">
        <f>(PrincipalesVariables[[#This Row],[Reservas internacionales]]-F294)/F294</f>
        <v>-2.3609589874650115E-3</v>
      </c>
    </row>
    <row r="296" spans="1:10" ht="15.75" thickBot="1" x14ac:dyDescent="0.3">
      <c r="A296" s="14">
        <v>41354</v>
      </c>
      <c r="B296" s="15">
        <v>41354</v>
      </c>
      <c r="C296" s="16">
        <v>292826</v>
      </c>
      <c r="D296" s="10">
        <f>PrincipalesVariables[[#This Row],[Base monetaria]]/1000000</f>
        <v>0.29282599999999998</v>
      </c>
      <c r="E296" s="10">
        <v>5.0999999999999996</v>
      </c>
      <c r="F296" s="11">
        <v>41038</v>
      </c>
      <c r="H296" s="12">
        <f>(PrincipalesVariables[[#This Row],[Base monetaria]]-C295)/C295</f>
        <v>-2.5547047442570237E-3</v>
      </c>
      <c r="I296" s="12">
        <f>(PrincipalesVariables[[#This Row],[Dólar  mayorista]]-E295)/E295</f>
        <v>0</v>
      </c>
      <c r="J296" s="12">
        <f>(PrincipalesVariables[[#This Row],[Reservas internacionales]]-F295)/F295</f>
        <v>1.2198692300185419E-3</v>
      </c>
    </row>
    <row r="297" spans="1:10" ht="15.75" thickBot="1" x14ac:dyDescent="0.3">
      <c r="A297" s="14">
        <v>41355</v>
      </c>
      <c r="B297" s="15">
        <v>41355</v>
      </c>
      <c r="C297" s="16">
        <v>293440</v>
      </c>
      <c r="D297" s="10">
        <f>PrincipalesVariables[[#This Row],[Base monetaria]]/1000000</f>
        <v>0.29343999999999998</v>
      </c>
      <c r="E297" s="10">
        <v>5.1100000000000003</v>
      </c>
      <c r="F297" s="11">
        <v>40945</v>
      </c>
      <c r="H297" s="12">
        <f>(PrincipalesVariables[[#This Row],[Base monetaria]]-C296)/C296</f>
        <v>2.0968083435214087E-3</v>
      </c>
      <c r="I297" s="12">
        <f>(PrincipalesVariables[[#This Row],[Dólar  mayorista]]-E296)/E296</f>
        <v>1.9607843137256229E-3</v>
      </c>
      <c r="J297" s="12">
        <f>(PrincipalesVariables[[#This Row],[Reservas internacionales]]-F296)/F296</f>
        <v>-2.2661923095667431E-3</v>
      </c>
    </row>
    <row r="298" spans="1:10" ht="15.75" thickBot="1" x14ac:dyDescent="0.3">
      <c r="A298" s="14">
        <v>41358</v>
      </c>
      <c r="B298" s="15">
        <v>41358</v>
      </c>
      <c r="C298" s="16">
        <v>290024</v>
      </c>
      <c r="D298" s="10">
        <f>PrincipalesVariables[[#This Row],[Base monetaria]]/1000000</f>
        <v>0.290024</v>
      </c>
      <c r="E298" s="10">
        <v>5.12</v>
      </c>
      <c r="F298" s="11">
        <v>40867</v>
      </c>
      <c r="H298" s="12">
        <f>(PrincipalesVariables[[#This Row],[Base monetaria]]-C297)/C297</f>
        <v>-1.1641221374045801E-2</v>
      </c>
      <c r="I298" s="12">
        <f>(PrincipalesVariables[[#This Row],[Dólar  mayorista]]-E297)/E297</f>
        <v>1.9569471624265727E-3</v>
      </c>
      <c r="J298" s="12">
        <f>(PrincipalesVariables[[#This Row],[Reservas internacionales]]-F297)/F297</f>
        <v>-1.9049945048235438E-3</v>
      </c>
    </row>
    <row r="299" spans="1:10" ht="15.75" thickBot="1" x14ac:dyDescent="0.3">
      <c r="A299" s="14">
        <v>41359</v>
      </c>
      <c r="B299" s="15">
        <v>41359</v>
      </c>
      <c r="C299" s="16">
        <v>291645</v>
      </c>
      <c r="D299" s="10">
        <f>PrincipalesVariables[[#This Row],[Base monetaria]]/1000000</f>
        <v>0.29164499999999999</v>
      </c>
      <c r="E299" s="10">
        <v>5.12</v>
      </c>
      <c r="F299" s="11">
        <v>40807</v>
      </c>
      <c r="H299" s="12">
        <f>(PrincipalesVariables[[#This Row],[Base monetaria]]-C298)/C298</f>
        <v>5.5891926185419136E-3</v>
      </c>
      <c r="I299" s="12">
        <f>(PrincipalesVariables[[#This Row],[Dólar  mayorista]]-E298)/E298</f>
        <v>0</v>
      </c>
      <c r="J299" s="12">
        <f>(PrincipalesVariables[[#This Row],[Reservas internacionales]]-F298)/F298</f>
        <v>-1.4681772579342746E-3</v>
      </c>
    </row>
    <row r="300" spans="1:10" ht="15.75" thickBot="1" x14ac:dyDescent="0.3">
      <c r="A300" s="14">
        <v>41360</v>
      </c>
      <c r="B300" s="15">
        <v>41360</v>
      </c>
      <c r="C300" s="16">
        <v>302215</v>
      </c>
      <c r="D300" s="10">
        <f>PrincipalesVariables[[#This Row],[Base monetaria]]/1000000</f>
        <v>0.30221500000000001</v>
      </c>
      <c r="E300" s="10">
        <v>5.12</v>
      </c>
      <c r="F300" s="11">
        <v>40446</v>
      </c>
      <c r="H300" s="12">
        <f>(PrincipalesVariables[[#This Row],[Base monetaria]]-C299)/C299</f>
        <v>3.6242692314286201E-2</v>
      </c>
      <c r="I300" s="12">
        <f>(PrincipalesVariables[[#This Row],[Dólar  mayorista]]-E299)/E299</f>
        <v>0</v>
      </c>
      <c r="J300" s="12">
        <f>(PrincipalesVariables[[#This Row],[Reservas internacionales]]-F299)/F299</f>
        <v>-8.8465214301467893E-3</v>
      </c>
    </row>
    <row r="301" spans="1:10" ht="15.75" thickBot="1" x14ac:dyDescent="0.3">
      <c r="A301" s="14">
        <v>41367</v>
      </c>
      <c r="B301" s="15">
        <v>41367</v>
      </c>
      <c r="C301" s="16">
        <v>306334</v>
      </c>
      <c r="D301" s="10">
        <f>PrincipalesVariables[[#This Row],[Base monetaria]]/1000000</f>
        <v>0.306334</v>
      </c>
      <c r="E301" s="10">
        <v>5.13</v>
      </c>
      <c r="F301" s="11">
        <v>40413</v>
      </c>
      <c r="H301" s="12">
        <f>(PrincipalesVariables[[#This Row],[Base monetaria]]-C300)/C300</f>
        <v>1.3629369819499363E-2</v>
      </c>
      <c r="I301" s="12">
        <f>(PrincipalesVariables[[#This Row],[Dólar  mayorista]]-E300)/E300</f>
        <v>1.9531249999999584E-3</v>
      </c>
      <c r="J301" s="12">
        <f>(PrincipalesVariables[[#This Row],[Reservas internacionales]]-F300)/F300</f>
        <v>-8.1590268506156354E-4</v>
      </c>
    </row>
    <row r="302" spans="1:10" ht="15.75" thickBot="1" x14ac:dyDescent="0.3">
      <c r="A302" s="14">
        <v>41368</v>
      </c>
      <c r="B302" s="15">
        <v>41368</v>
      </c>
      <c r="C302" s="16">
        <v>305591</v>
      </c>
      <c r="D302" s="10">
        <f>PrincipalesVariables[[#This Row],[Base monetaria]]/1000000</f>
        <v>0.305591</v>
      </c>
      <c r="E302" s="10">
        <v>5.13</v>
      </c>
      <c r="F302" s="11">
        <v>40384</v>
      </c>
      <c r="H302" s="12">
        <f>(PrincipalesVariables[[#This Row],[Base monetaria]]-C301)/C301</f>
        <v>-2.4254571807243073E-3</v>
      </c>
      <c r="I302" s="12">
        <f>(PrincipalesVariables[[#This Row],[Dólar  mayorista]]-E301)/E301</f>
        <v>0</v>
      </c>
      <c r="J302" s="12">
        <f>(PrincipalesVariables[[#This Row],[Reservas internacionales]]-F301)/F301</f>
        <v>-7.175908742236409E-4</v>
      </c>
    </row>
    <row r="303" spans="1:10" ht="15.75" thickBot="1" x14ac:dyDescent="0.3">
      <c r="A303" s="14">
        <v>41369</v>
      </c>
      <c r="B303" s="15">
        <v>41369</v>
      </c>
      <c r="C303" s="16">
        <v>303549</v>
      </c>
      <c r="D303" s="10">
        <f>PrincipalesVariables[[#This Row],[Base monetaria]]/1000000</f>
        <v>0.30354900000000001</v>
      </c>
      <c r="E303" s="10">
        <v>5.14</v>
      </c>
      <c r="F303" s="11">
        <v>40451</v>
      </c>
      <c r="H303" s="12">
        <f>(PrincipalesVariables[[#This Row],[Base monetaria]]-C302)/C302</f>
        <v>-6.6821339633693399E-3</v>
      </c>
      <c r="I303" s="12">
        <f>(PrincipalesVariables[[#This Row],[Dólar  mayorista]]-E302)/E302</f>
        <v>1.9493177387913815E-3</v>
      </c>
      <c r="J303" s="12">
        <f>(PrincipalesVariables[[#This Row],[Reservas internacionales]]-F302)/F302</f>
        <v>1.6590729001584785E-3</v>
      </c>
    </row>
    <row r="304" spans="1:10" ht="15.75" thickBot="1" x14ac:dyDescent="0.3">
      <c r="A304" s="14">
        <v>41372</v>
      </c>
      <c r="B304" s="15">
        <v>41372</v>
      </c>
      <c r="C304" s="16">
        <v>302725</v>
      </c>
      <c r="D304" s="10">
        <f>PrincipalesVariables[[#This Row],[Base monetaria]]/1000000</f>
        <v>0.30272500000000002</v>
      </c>
      <c r="E304" s="10">
        <v>5.13</v>
      </c>
      <c r="F304" s="11">
        <v>40413</v>
      </c>
      <c r="H304" s="12">
        <f>(PrincipalesVariables[[#This Row],[Base monetaria]]-C303)/C303</f>
        <v>-2.7145534987761447E-3</v>
      </c>
      <c r="I304" s="12">
        <f>(PrincipalesVariables[[#This Row],[Dólar  mayorista]]-E303)/E303</f>
        <v>-1.9455252918287524E-3</v>
      </c>
      <c r="J304" s="12">
        <f>(PrincipalesVariables[[#This Row],[Reservas internacionales]]-F303)/F303</f>
        <v>-9.3940817285110385E-4</v>
      </c>
    </row>
    <row r="305" spans="1:10" ht="15.75" thickBot="1" x14ac:dyDescent="0.3">
      <c r="A305" s="14">
        <v>41373</v>
      </c>
      <c r="B305" s="15">
        <v>41373</v>
      </c>
      <c r="C305" s="16">
        <v>302999</v>
      </c>
      <c r="D305" s="10">
        <f>PrincipalesVariables[[#This Row],[Base monetaria]]/1000000</f>
        <v>0.30299900000000002</v>
      </c>
      <c r="E305" s="10">
        <v>5.14</v>
      </c>
      <c r="F305" s="11">
        <v>40450</v>
      </c>
      <c r="H305" s="12">
        <f>(PrincipalesVariables[[#This Row],[Base monetaria]]-C304)/C304</f>
        <v>9.0511190023949124E-4</v>
      </c>
      <c r="I305" s="12">
        <f>(PrincipalesVariables[[#This Row],[Dólar  mayorista]]-E304)/E304</f>
        <v>1.9493177387913815E-3</v>
      </c>
      <c r="J305" s="12">
        <f>(PrincipalesVariables[[#This Row],[Reservas internacionales]]-F304)/F304</f>
        <v>9.1554697745774879E-4</v>
      </c>
    </row>
    <row r="306" spans="1:10" ht="15.75" thickBot="1" x14ac:dyDescent="0.3">
      <c r="A306" s="14">
        <v>41374</v>
      </c>
      <c r="B306" s="15">
        <v>41374</v>
      </c>
      <c r="C306" s="16">
        <v>302577</v>
      </c>
      <c r="D306" s="10">
        <f>PrincipalesVariables[[#This Row],[Base monetaria]]/1000000</f>
        <v>0.30257699999999998</v>
      </c>
      <c r="E306" s="10">
        <v>5.14</v>
      </c>
      <c r="F306" s="11">
        <v>40425</v>
      </c>
      <c r="H306" s="12">
        <f>(PrincipalesVariables[[#This Row],[Base monetaria]]-C305)/C305</f>
        <v>-1.3927438704418166E-3</v>
      </c>
      <c r="I306" s="12">
        <f>(PrincipalesVariables[[#This Row],[Dólar  mayorista]]-E305)/E305</f>
        <v>0</v>
      </c>
      <c r="J306" s="12">
        <f>(PrincipalesVariables[[#This Row],[Reservas internacionales]]-F305)/F305</f>
        <v>-6.1804697156983925E-4</v>
      </c>
    </row>
    <row r="307" spans="1:10" ht="15.75" thickBot="1" x14ac:dyDescent="0.3">
      <c r="A307" s="14">
        <v>41375</v>
      </c>
      <c r="B307" s="15">
        <v>41375</v>
      </c>
      <c r="C307" s="16">
        <v>302284</v>
      </c>
      <c r="D307" s="10">
        <f>PrincipalesVariables[[#This Row],[Base monetaria]]/1000000</f>
        <v>0.302284</v>
      </c>
      <c r="E307" s="10">
        <v>5.14</v>
      </c>
      <c r="F307" s="11">
        <v>40448</v>
      </c>
      <c r="H307" s="12">
        <f>(PrincipalesVariables[[#This Row],[Base monetaria]]-C306)/C306</f>
        <v>-9.6834855259983412E-4</v>
      </c>
      <c r="I307" s="12">
        <f>(PrincipalesVariables[[#This Row],[Dólar  mayorista]]-E306)/E306</f>
        <v>0</v>
      </c>
      <c r="J307" s="12">
        <f>(PrincipalesVariables[[#This Row],[Reservas internacionales]]-F306)/F306</f>
        <v>5.6895485466914035E-4</v>
      </c>
    </row>
    <row r="308" spans="1:10" ht="15.75" thickBot="1" x14ac:dyDescent="0.3">
      <c r="A308" s="14">
        <v>41376</v>
      </c>
      <c r="B308" s="15">
        <v>41376</v>
      </c>
      <c r="C308" s="16">
        <v>304360</v>
      </c>
      <c r="D308" s="10">
        <f>PrincipalesVariables[[#This Row],[Base monetaria]]/1000000</f>
        <v>0.30436000000000002</v>
      </c>
      <c r="E308" s="10">
        <v>5.15</v>
      </c>
      <c r="F308" s="11">
        <v>40326</v>
      </c>
      <c r="H308" s="12">
        <f>(PrincipalesVariables[[#This Row],[Base monetaria]]-C307)/C307</f>
        <v>6.8677138055603338E-3</v>
      </c>
      <c r="I308" s="12">
        <f>(PrincipalesVariables[[#This Row],[Dólar  mayorista]]-E307)/E307</f>
        <v>1.9455252918289252E-3</v>
      </c>
      <c r="J308" s="12">
        <f>(PrincipalesVariables[[#This Row],[Reservas internacionales]]-F307)/F307</f>
        <v>-3.0162183544303798E-3</v>
      </c>
    </row>
    <row r="309" spans="1:10" ht="15.75" thickBot="1" x14ac:dyDescent="0.3">
      <c r="A309" s="14">
        <v>41379</v>
      </c>
      <c r="B309" s="15">
        <v>41379</v>
      </c>
      <c r="C309" s="16">
        <v>302862</v>
      </c>
      <c r="D309" s="10">
        <f>PrincipalesVariables[[#This Row],[Base monetaria]]/1000000</f>
        <v>0.30286200000000002</v>
      </c>
      <c r="E309" s="10">
        <v>5.15</v>
      </c>
      <c r="F309" s="11">
        <v>39998</v>
      </c>
      <c r="H309" s="12">
        <f>(PrincipalesVariables[[#This Row],[Base monetaria]]-C308)/C308</f>
        <v>-4.9218031278748849E-3</v>
      </c>
      <c r="I309" s="12">
        <f>(PrincipalesVariables[[#This Row],[Dólar  mayorista]]-E308)/E308</f>
        <v>0</v>
      </c>
      <c r="J309" s="12">
        <f>(PrincipalesVariables[[#This Row],[Reservas internacionales]]-F308)/F308</f>
        <v>-8.1337102613698361E-3</v>
      </c>
    </row>
    <row r="310" spans="1:10" ht="15.75" thickBot="1" x14ac:dyDescent="0.3">
      <c r="A310" s="14">
        <v>41380</v>
      </c>
      <c r="B310" s="15">
        <v>41380</v>
      </c>
      <c r="C310" s="16">
        <v>302237</v>
      </c>
      <c r="D310" s="10">
        <f>PrincipalesVariables[[#This Row],[Base monetaria]]/1000000</f>
        <v>0.30223699999999998</v>
      </c>
      <c r="E310" s="10">
        <v>5.16</v>
      </c>
      <c r="F310" s="11">
        <v>40064</v>
      </c>
      <c r="H310" s="12">
        <f>(PrincipalesVariables[[#This Row],[Base monetaria]]-C309)/C309</f>
        <v>-2.0636461490711943E-3</v>
      </c>
      <c r="I310" s="12">
        <f>(PrincipalesVariables[[#This Row],[Dólar  mayorista]]-E309)/E309</f>
        <v>1.9417475728154925E-3</v>
      </c>
      <c r="J310" s="12">
        <f>(PrincipalesVariables[[#This Row],[Reservas internacionales]]-F309)/F309</f>
        <v>1.6500825041252062E-3</v>
      </c>
    </row>
    <row r="311" spans="1:10" ht="15.75" thickBot="1" x14ac:dyDescent="0.3">
      <c r="A311" s="14">
        <v>41381</v>
      </c>
      <c r="B311" s="15">
        <v>41381</v>
      </c>
      <c r="C311" s="16">
        <v>299197</v>
      </c>
      <c r="D311" s="10">
        <f>PrincipalesVariables[[#This Row],[Base monetaria]]/1000000</f>
        <v>0.29919699999999999</v>
      </c>
      <c r="E311" s="10">
        <v>5.16</v>
      </c>
      <c r="F311" s="11">
        <v>39816</v>
      </c>
      <c r="H311" s="12">
        <f>(PrincipalesVariables[[#This Row],[Base monetaria]]-C310)/C310</f>
        <v>-1.0058331706574641E-2</v>
      </c>
      <c r="I311" s="12">
        <f>(PrincipalesVariables[[#This Row],[Dólar  mayorista]]-E310)/E310</f>
        <v>0</v>
      </c>
      <c r="J311" s="12">
        <f>(PrincipalesVariables[[#This Row],[Reservas internacionales]]-F310)/F310</f>
        <v>-6.1900958466453672E-3</v>
      </c>
    </row>
    <row r="312" spans="1:10" ht="15.75" thickBot="1" x14ac:dyDescent="0.3">
      <c r="A312" s="14">
        <v>41382</v>
      </c>
      <c r="B312" s="15">
        <v>41382</v>
      </c>
      <c r="C312" s="16">
        <v>299916</v>
      </c>
      <c r="D312" s="10">
        <f>PrincipalesVariables[[#This Row],[Base monetaria]]/1000000</f>
        <v>0.29991600000000002</v>
      </c>
      <c r="E312" s="10">
        <v>5.16</v>
      </c>
      <c r="F312" s="11">
        <v>39793</v>
      </c>
      <c r="H312" s="12">
        <f>(PrincipalesVariables[[#This Row],[Base monetaria]]-C311)/C311</f>
        <v>2.4030989615537587E-3</v>
      </c>
      <c r="I312" s="12">
        <f>(PrincipalesVariables[[#This Row],[Dólar  mayorista]]-E311)/E311</f>
        <v>0</v>
      </c>
      <c r="J312" s="12">
        <f>(PrincipalesVariables[[#This Row],[Reservas internacionales]]-F311)/F311</f>
        <v>-5.7765722322684345E-4</v>
      </c>
    </row>
    <row r="313" spans="1:10" ht="15.75" thickBot="1" x14ac:dyDescent="0.3">
      <c r="A313" s="14">
        <v>41383</v>
      </c>
      <c r="B313" s="15">
        <v>41383</v>
      </c>
      <c r="C313" s="16">
        <v>295335</v>
      </c>
      <c r="D313" s="10">
        <f>PrincipalesVariables[[#This Row],[Base monetaria]]/1000000</f>
        <v>0.29533500000000001</v>
      </c>
      <c r="E313" s="10">
        <v>5.16</v>
      </c>
      <c r="F313" s="11">
        <v>39801</v>
      </c>
      <c r="H313" s="12">
        <f>(PrincipalesVariables[[#This Row],[Base monetaria]]-C312)/C312</f>
        <v>-1.5274276797503301E-2</v>
      </c>
      <c r="I313" s="12">
        <f>(PrincipalesVariables[[#This Row],[Dólar  mayorista]]-E312)/E312</f>
        <v>0</v>
      </c>
      <c r="J313" s="12">
        <f>(PrincipalesVariables[[#This Row],[Reservas internacionales]]-F312)/F312</f>
        <v>2.0104038398713342E-4</v>
      </c>
    </row>
    <row r="314" spans="1:10" ht="15.75" thickBot="1" x14ac:dyDescent="0.3">
      <c r="A314" s="14">
        <v>41386</v>
      </c>
      <c r="B314" s="15">
        <v>41386</v>
      </c>
      <c r="C314" s="16">
        <v>292865</v>
      </c>
      <c r="D314" s="10">
        <f>PrincipalesVariables[[#This Row],[Base monetaria]]/1000000</f>
        <v>0.29286499999999999</v>
      </c>
      <c r="E314" s="10">
        <v>5.17</v>
      </c>
      <c r="F314" s="11">
        <v>39790</v>
      </c>
      <c r="H314" s="12">
        <f>(PrincipalesVariables[[#This Row],[Base monetaria]]-C313)/C313</f>
        <v>-8.3633839538151591E-3</v>
      </c>
      <c r="I314" s="12">
        <f>(PrincipalesVariables[[#This Row],[Dólar  mayorista]]-E313)/E313</f>
        <v>1.9379844961239896E-3</v>
      </c>
      <c r="J314" s="12">
        <f>(PrincipalesVariables[[#This Row],[Reservas internacionales]]-F313)/F313</f>
        <v>-2.763749654531293E-4</v>
      </c>
    </row>
    <row r="315" spans="1:10" ht="15.75" thickBot="1" x14ac:dyDescent="0.3">
      <c r="A315" s="14">
        <v>41387</v>
      </c>
      <c r="B315" s="15">
        <v>41387</v>
      </c>
      <c r="C315" s="16">
        <v>291366</v>
      </c>
      <c r="D315" s="10">
        <f>PrincipalesVariables[[#This Row],[Base monetaria]]/1000000</f>
        <v>0.29136600000000001</v>
      </c>
      <c r="E315" s="10">
        <v>5.17</v>
      </c>
      <c r="F315" s="11">
        <v>39725</v>
      </c>
      <c r="H315" s="12">
        <f>(PrincipalesVariables[[#This Row],[Base monetaria]]-C314)/C314</f>
        <v>-5.1183992624588117E-3</v>
      </c>
      <c r="I315" s="12">
        <f>(PrincipalesVariables[[#This Row],[Dólar  mayorista]]-E314)/E314</f>
        <v>0</v>
      </c>
      <c r="J315" s="12">
        <f>(PrincipalesVariables[[#This Row],[Reservas internacionales]]-F314)/F314</f>
        <v>-1.633576275446092E-3</v>
      </c>
    </row>
    <row r="316" spans="1:10" ht="15.75" thickBot="1" x14ac:dyDescent="0.3">
      <c r="A316" s="14">
        <v>41388</v>
      </c>
      <c r="B316" s="15">
        <v>41388</v>
      </c>
      <c r="C316" s="16">
        <v>288016</v>
      </c>
      <c r="D316" s="10">
        <f>PrincipalesVariables[[#This Row],[Base monetaria]]/1000000</f>
        <v>0.28801599999999999</v>
      </c>
      <c r="E316" s="10">
        <v>5.17</v>
      </c>
      <c r="F316" s="11">
        <v>39710</v>
      </c>
      <c r="H316" s="12">
        <f>(PrincipalesVariables[[#This Row],[Base monetaria]]-C315)/C315</f>
        <v>-1.1497566634404838E-2</v>
      </c>
      <c r="I316" s="12">
        <f>(PrincipalesVariables[[#This Row],[Dólar  mayorista]]-E315)/E315</f>
        <v>0</v>
      </c>
      <c r="J316" s="12">
        <f>(PrincipalesVariables[[#This Row],[Reservas internacionales]]-F315)/F315</f>
        <v>-3.7759597230962869E-4</v>
      </c>
    </row>
    <row r="317" spans="1:10" ht="15.75" thickBot="1" x14ac:dyDescent="0.3">
      <c r="A317" s="14">
        <v>41389</v>
      </c>
      <c r="B317" s="15">
        <v>41389</v>
      </c>
      <c r="C317" s="16">
        <v>289446</v>
      </c>
      <c r="D317" s="10">
        <f>PrincipalesVariables[[#This Row],[Base monetaria]]/1000000</f>
        <v>0.28944599999999998</v>
      </c>
      <c r="E317" s="10">
        <v>5.18</v>
      </c>
      <c r="F317" s="11">
        <v>39778</v>
      </c>
      <c r="H317" s="12">
        <f>(PrincipalesVariables[[#This Row],[Base monetaria]]-C316)/C316</f>
        <v>4.965001944336426E-3</v>
      </c>
      <c r="I317" s="12">
        <f>(PrincipalesVariables[[#This Row],[Dólar  mayorista]]-E316)/E316</f>
        <v>1.9342359767891271E-3</v>
      </c>
      <c r="J317" s="12">
        <f>(PrincipalesVariables[[#This Row],[Reservas internacionales]]-F316)/F316</f>
        <v>1.7124150088139007E-3</v>
      </c>
    </row>
    <row r="318" spans="1:10" ht="15.75" thickBot="1" x14ac:dyDescent="0.3">
      <c r="A318" s="14">
        <v>41390</v>
      </c>
      <c r="B318" s="15">
        <v>41390</v>
      </c>
      <c r="C318" s="16">
        <v>286824</v>
      </c>
      <c r="D318" s="10">
        <f>PrincipalesVariables[[#This Row],[Base monetaria]]/1000000</f>
        <v>0.28682400000000002</v>
      </c>
      <c r="E318" s="10">
        <v>5.18</v>
      </c>
      <c r="F318" s="11">
        <v>39750</v>
      </c>
      <c r="H318" s="12">
        <f>(PrincipalesVariables[[#This Row],[Base monetaria]]-C317)/C317</f>
        <v>-9.0586845214651445E-3</v>
      </c>
      <c r="I318" s="12">
        <f>(PrincipalesVariables[[#This Row],[Dólar  mayorista]]-E317)/E317</f>
        <v>0</v>
      </c>
      <c r="J318" s="12">
        <f>(PrincipalesVariables[[#This Row],[Reservas internacionales]]-F317)/F317</f>
        <v>-7.0390668208557489E-4</v>
      </c>
    </row>
    <row r="319" spans="1:10" ht="15.75" thickBot="1" x14ac:dyDescent="0.3">
      <c r="A319" s="14">
        <v>41393</v>
      </c>
      <c r="B319" s="15">
        <v>41393</v>
      </c>
      <c r="C319" s="16">
        <v>279361</v>
      </c>
      <c r="D319" s="10">
        <f>PrincipalesVariables[[#This Row],[Base monetaria]]/1000000</f>
        <v>0.27936100000000003</v>
      </c>
      <c r="E319" s="10">
        <v>5.18</v>
      </c>
      <c r="F319" s="11">
        <v>39642</v>
      </c>
      <c r="H319" s="12">
        <f>(PrincipalesVariables[[#This Row],[Base monetaria]]-C318)/C318</f>
        <v>-2.6019440493124702E-2</v>
      </c>
      <c r="I319" s="12">
        <f>(PrincipalesVariables[[#This Row],[Dólar  mayorista]]-E318)/E318</f>
        <v>0</v>
      </c>
      <c r="J319" s="12">
        <f>(PrincipalesVariables[[#This Row],[Reservas internacionales]]-F318)/F318</f>
        <v>-2.7169811320754719E-3</v>
      </c>
    </row>
    <row r="320" spans="1:10" ht="15.75" thickBot="1" x14ac:dyDescent="0.3">
      <c r="A320" s="14">
        <v>41394</v>
      </c>
      <c r="B320" s="15">
        <v>41394</v>
      </c>
      <c r="C320" s="16">
        <v>287319</v>
      </c>
      <c r="D320" s="10">
        <f>PrincipalesVariables[[#This Row],[Base monetaria]]/1000000</f>
        <v>0.28731899999999999</v>
      </c>
      <c r="E320" s="10">
        <v>5.18</v>
      </c>
      <c r="F320" s="11">
        <v>39532</v>
      </c>
      <c r="H320" s="12">
        <f>(PrincipalesVariables[[#This Row],[Base monetaria]]-C319)/C319</f>
        <v>2.8486438694019567E-2</v>
      </c>
      <c r="I320" s="12">
        <f>(PrincipalesVariables[[#This Row],[Dólar  mayorista]]-E319)/E319</f>
        <v>0</v>
      </c>
      <c r="J320" s="12">
        <f>(PrincipalesVariables[[#This Row],[Reservas internacionales]]-F319)/F319</f>
        <v>-2.7748347712022604E-3</v>
      </c>
    </row>
    <row r="321" spans="1:10" ht="15.75" thickBot="1" x14ac:dyDescent="0.3">
      <c r="A321" s="14">
        <v>41396</v>
      </c>
      <c r="B321" s="15">
        <v>41396</v>
      </c>
      <c r="C321" s="16">
        <v>295803</v>
      </c>
      <c r="D321" s="10">
        <f>PrincipalesVariables[[#This Row],[Base monetaria]]/1000000</f>
        <v>0.29580299999999998</v>
      </c>
      <c r="E321" s="10">
        <v>5.19</v>
      </c>
      <c r="F321" s="11">
        <v>39559</v>
      </c>
      <c r="H321" s="12">
        <f>(PrincipalesVariables[[#This Row],[Base monetaria]]-C320)/C320</f>
        <v>2.9528155116786567E-2</v>
      </c>
      <c r="I321" s="12">
        <f>(PrincipalesVariables[[#This Row],[Dólar  mayorista]]-E320)/E320</f>
        <v>1.9305019305020609E-3</v>
      </c>
      <c r="J321" s="12">
        <f>(PrincipalesVariables[[#This Row],[Reservas internacionales]]-F320)/F320</f>
        <v>6.8299099463725588E-4</v>
      </c>
    </row>
    <row r="322" spans="1:10" ht="15.75" thickBot="1" x14ac:dyDescent="0.3">
      <c r="A322" s="14">
        <v>41397</v>
      </c>
      <c r="B322" s="15">
        <v>41397</v>
      </c>
      <c r="C322" s="16">
        <v>296781</v>
      </c>
      <c r="D322" s="10">
        <f>PrincipalesVariables[[#This Row],[Base monetaria]]/1000000</f>
        <v>0.29678100000000002</v>
      </c>
      <c r="E322" s="10">
        <v>5.2</v>
      </c>
      <c r="F322" s="11">
        <v>39440</v>
      </c>
      <c r="H322" s="12">
        <f>(PrincipalesVariables[[#This Row],[Base monetaria]]-C321)/C321</f>
        <v>3.3062545004614559E-3</v>
      </c>
      <c r="I322" s="12">
        <f>(PrincipalesVariables[[#This Row],[Dólar  mayorista]]-E321)/E321</f>
        <v>1.9267822736030416E-3</v>
      </c>
      <c r="J322" s="12">
        <f>(PrincipalesVariables[[#This Row],[Reservas internacionales]]-F321)/F321</f>
        <v>-3.0081650193382035E-3</v>
      </c>
    </row>
    <row r="323" spans="1:10" ht="15.75" thickBot="1" x14ac:dyDescent="0.3">
      <c r="A323" s="14">
        <v>41400</v>
      </c>
      <c r="B323" s="15">
        <v>41400</v>
      </c>
      <c r="C323" s="16">
        <v>296660</v>
      </c>
      <c r="D323" s="10">
        <f>PrincipalesVariables[[#This Row],[Base monetaria]]/1000000</f>
        <v>0.29665999999999998</v>
      </c>
      <c r="E323" s="10">
        <v>5.21</v>
      </c>
      <c r="F323" s="11">
        <v>39443</v>
      </c>
      <c r="H323" s="12">
        <f>(PrincipalesVariables[[#This Row],[Base monetaria]]-C322)/C322</f>
        <v>-4.0770804060906863E-4</v>
      </c>
      <c r="I323" s="12">
        <f>(PrincipalesVariables[[#This Row],[Dólar  mayorista]]-E322)/E322</f>
        <v>1.923076923076882E-3</v>
      </c>
      <c r="J323" s="12">
        <f>(PrincipalesVariables[[#This Row],[Reservas internacionales]]-F322)/F322</f>
        <v>7.6064908722109532E-5</v>
      </c>
    </row>
    <row r="324" spans="1:10" ht="15.75" thickBot="1" x14ac:dyDescent="0.3">
      <c r="A324" s="14">
        <v>41401</v>
      </c>
      <c r="B324" s="15">
        <v>41401</v>
      </c>
      <c r="C324" s="16">
        <v>296085</v>
      </c>
      <c r="D324" s="10">
        <f>PrincipalesVariables[[#This Row],[Base monetaria]]/1000000</f>
        <v>0.29608499999999999</v>
      </c>
      <c r="E324" s="10">
        <v>5.21</v>
      </c>
      <c r="F324" s="11">
        <v>39361</v>
      </c>
      <c r="H324" s="12">
        <f>(PrincipalesVariables[[#This Row],[Base monetaria]]-C323)/C323</f>
        <v>-1.9382458032764782E-3</v>
      </c>
      <c r="I324" s="12">
        <f>(PrincipalesVariables[[#This Row],[Dólar  mayorista]]-E323)/E323</f>
        <v>0</v>
      </c>
      <c r="J324" s="12">
        <f>(PrincipalesVariables[[#This Row],[Reservas internacionales]]-F323)/F323</f>
        <v>-2.0789493699769289E-3</v>
      </c>
    </row>
    <row r="325" spans="1:10" ht="15.75" thickBot="1" x14ac:dyDescent="0.3">
      <c r="A325" s="14">
        <v>41402</v>
      </c>
      <c r="B325" s="15">
        <v>41402</v>
      </c>
      <c r="C325" s="16">
        <v>300154</v>
      </c>
      <c r="D325" s="10">
        <f>PrincipalesVariables[[#This Row],[Base monetaria]]/1000000</f>
        <v>0.30015399999999998</v>
      </c>
      <c r="E325" s="10">
        <v>5.21</v>
      </c>
      <c r="F325" s="11">
        <v>39280</v>
      </c>
      <c r="H325" s="12">
        <f>(PrincipalesVariables[[#This Row],[Base monetaria]]-C324)/C324</f>
        <v>1.3742675245284294E-2</v>
      </c>
      <c r="I325" s="12">
        <f>(PrincipalesVariables[[#This Row],[Dólar  mayorista]]-E324)/E324</f>
        <v>0</v>
      </c>
      <c r="J325" s="12">
        <f>(PrincipalesVariables[[#This Row],[Reservas internacionales]]-F324)/F324</f>
        <v>-2.0578745458702777E-3</v>
      </c>
    </row>
    <row r="326" spans="1:10" ht="15.75" thickBot="1" x14ac:dyDescent="0.3">
      <c r="A326" s="14">
        <v>41403</v>
      </c>
      <c r="B326" s="15">
        <v>41403</v>
      </c>
      <c r="C326" s="16">
        <v>300130</v>
      </c>
      <c r="D326" s="10">
        <f>PrincipalesVariables[[#This Row],[Base monetaria]]/1000000</f>
        <v>0.30013000000000001</v>
      </c>
      <c r="E326" s="10">
        <v>5.22</v>
      </c>
      <c r="F326" s="11">
        <v>39220</v>
      </c>
      <c r="H326" s="12">
        <f>(PrincipalesVariables[[#This Row],[Base monetaria]]-C325)/C325</f>
        <v>-7.995895440340625E-5</v>
      </c>
      <c r="I326" s="12">
        <f>(PrincipalesVariables[[#This Row],[Dólar  mayorista]]-E325)/E325</f>
        <v>1.9193857965450647E-3</v>
      </c>
      <c r="J326" s="12">
        <f>(PrincipalesVariables[[#This Row],[Reservas internacionales]]-F325)/F325</f>
        <v>-1.5274949083503055E-3</v>
      </c>
    </row>
    <row r="327" spans="1:10" ht="15.75" thickBot="1" x14ac:dyDescent="0.3">
      <c r="A327" s="14">
        <v>41404</v>
      </c>
      <c r="B327" s="15">
        <v>41404</v>
      </c>
      <c r="C327" s="16">
        <v>298485</v>
      </c>
      <c r="D327" s="10">
        <f>PrincipalesVariables[[#This Row],[Base monetaria]]/1000000</f>
        <v>0.298485</v>
      </c>
      <c r="E327" s="10">
        <v>5.23</v>
      </c>
      <c r="F327" s="11">
        <v>39152</v>
      </c>
      <c r="H327" s="12">
        <f>(PrincipalesVariables[[#This Row],[Base monetaria]]-C326)/C326</f>
        <v>-5.4809582514243824E-3</v>
      </c>
      <c r="I327" s="12">
        <f>(PrincipalesVariables[[#This Row],[Dólar  mayorista]]-E326)/E326</f>
        <v>1.9157088122606658E-3</v>
      </c>
      <c r="J327" s="12">
        <f>(PrincipalesVariables[[#This Row],[Reservas internacionales]]-F326)/F326</f>
        <v>-1.7338092809790922E-3</v>
      </c>
    </row>
    <row r="328" spans="1:10" ht="15.75" thickBot="1" x14ac:dyDescent="0.3">
      <c r="A328" s="14">
        <v>41407</v>
      </c>
      <c r="B328" s="15">
        <v>41407</v>
      </c>
      <c r="C328" s="16">
        <v>300727</v>
      </c>
      <c r="D328" s="10">
        <f>PrincipalesVariables[[#This Row],[Base monetaria]]/1000000</f>
        <v>0.30072700000000002</v>
      </c>
      <c r="E328" s="10">
        <v>5.23</v>
      </c>
      <c r="F328" s="11">
        <v>39122</v>
      </c>
      <c r="H328" s="12">
        <f>(PrincipalesVariables[[#This Row],[Base monetaria]]-C327)/C327</f>
        <v>7.5112652227080088E-3</v>
      </c>
      <c r="I328" s="12">
        <f>(PrincipalesVariables[[#This Row],[Dólar  mayorista]]-E327)/E327</f>
        <v>0</v>
      </c>
      <c r="J328" s="12">
        <f>(PrincipalesVariables[[#This Row],[Reservas internacionales]]-F327)/F327</f>
        <v>-7.6624438087454026E-4</v>
      </c>
    </row>
    <row r="329" spans="1:10" ht="15.75" thickBot="1" x14ac:dyDescent="0.3">
      <c r="A329" s="14">
        <v>41408</v>
      </c>
      <c r="B329" s="15">
        <v>41408</v>
      </c>
      <c r="C329" s="16">
        <v>301816</v>
      </c>
      <c r="D329" s="10">
        <f>PrincipalesVariables[[#This Row],[Base monetaria]]/1000000</f>
        <v>0.30181599999999997</v>
      </c>
      <c r="E329" s="10">
        <v>5.24</v>
      </c>
      <c r="F329" s="11">
        <v>39072</v>
      </c>
      <c r="H329" s="12">
        <f>(PrincipalesVariables[[#This Row],[Base monetaria]]-C328)/C328</f>
        <v>3.621224565802206E-3</v>
      </c>
      <c r="I329" s="12">
        <f>(PrincipalesVariables[[#This Row],[Dólar  mayorista]]-E328)/E328</f>
        <v>1.9120458891012976E-3</v>
      </c>
      <c r="J329" s="12">
        <f>(PrincipalesVariables[[#This Row],[Reservas internacionales]]-F328)/F328</f>
        <v>-1.2780532692602629E-3</v>
      </c>
    </row>
    <row r="330" spans="1:10" ht="15.75" thickBot="1" x14ac:dyDescent="0.3">
      <c r="A330" s="14">
        <v>41409</v>
      </c>
      <c r="B330" s="15">
        <v>41409</v>
      </c>
      <c r="C330" s="16">
        <v>302869</v>
      </c>
      <c r="D330" s="10">
        <f>PrincipalesVariables[[#This Row],[Base monetaria]]/1000000</f>
        <v>0.302869</v>
      </c>
      <c r="E330" s="10">
        <v>5.24</v>
      </c>
      <c r="F330" s="11">
        <v>38952</v>
      </c>
      <c r="H330" s="12">
        <f>(PrincipalesVariables[[#This Row],[Base monetaria]]-C329)/C329</f>
        <v>3.4888806425106686E-3</v>
      </c>
      <c r="I330" s="12">
        <f>(PrincipalesVariables[[#This Row],[Dólar  mayorista]]-E329)/E329</f>
        <v>0</v>
      </c>
      <c r="J330" s="12">
        <f>(PrincipalesVariables[[#This Row],[Reservas internacionales]]-F329)/F329</f>
        <v>-3.0712530712530711E-3</v>
      </c>
    </row>
    <row r="331" spans="1:10" ht="15.75" thickBot="1" x14ac:dyDescent="0.3">
      <c r="A331" s="14">
        <v>41410</v>
      </c>
      <c r="B331" s="15">
        <v>41410</v>
      </c>
      <c r="C331" s="16">
        <v>303372</v>
      </c>
      <c r="D331" s="10">
        <f>PrincipalesVariables[[#This Row],[Base monetaria]]/1000000</f>
        <v>0.30337199999999998</v>
      </c>
      <c r="E331" s="10">
        <v>5.23</v>
      </c>
      <c r="F331" s="11">
        <v>38868</v>
      </c>
      <c r="H331" s="12">
        <f>(PrincipalesVariables[[#This Row],[Base monetaria]]-C330)/C330</f>
        <v>1.6607840353420125E-3</v>
      </c>
      <c r="I331" s="12">
        <f>(PrincipalesVariables[[#This Row],[Dólar  mayorista]]-E330)/E330</f>
        <v>-1.9083969465648447E-3</v>
      </c>
      <c r="J331" s="12">
        <f>(PrincipalesVariables[[#This Row],[Reservas internacionales]]-F330)/F330</f>
        <v>-2.1565003080714724E-3</v>
      </c>
    </row>
    <row r="332" spans="1:10" ht="15.75" thickBot="1" x14ac:dyDescent="0.3">
      <c r="A332" s="14">
        <v>41411</v>
      </c>
      <c r="B332" s="15">
        <v>41411</v>
      </c>
      <c r="C332" s="16">
        <v>303191</v>
      </c>
      <c r="D332" s="10">
        <f>PrincipalesVariables[[#This Row],[Base monetaria]]/1000000</f>
        <v>0.30319099999999999</v>
      </c>
      <c r="E332" s="10">
        <v>5.23</v>
      </c>
      <c r="F332" s="11">
        <v>38819</v>
      </c>
      <c r="H332" s="12">
        <f>(PrincipalesVariables[[#This Row],[Base monetaria]]-C331)/C331</f>
        <v>-5.9662724312065714E-4</v>
      </c>
      <c r="I332" s="12">
        <f>(PrincipalesVariables[[#This Row],[Dólar  mayorista]]-E331)/E331</f>
        <v>0</v>
      </c>
      <c r="J332" s="12">
        <f>(PrincipalesVariables[[#This Row],[Reservas internacionales]]-F331)/F331</f>
        <v>-1.2606771637336627E-3</v>
      </c>
    </row>
    <row r="333" spans="1:10" ht="15.75" thickBot="1" x14ac:dyDescent="0.3">
      <c r="A333" s="14">
        <v>41414</v>
      </c>
      <c r="B333" s="15">
        <v>41414</v>
      </c>
      <c r="C333" s="16">
        <v>302678</v>
      </c>
      <c r="D333" s="10">
        <f>PrincipalesVariables[[#This Row],[Base monetaria]]/1000000</f>
        <v>0.302678</v>
      </c>
      <c r="E333" s="10">
        <v>5.24</v>
      </c>
      <c r="F333" s="11">
        <v>38840</v>
      </c>
      <c r="H333" s="12">
        <f>(PrincipalesVariables[[#This Row],[Base monetaria]]-C332)/C332</f>
        <v>-1.6920027309517763E-3</v>
      </c>
      <c r="I333" s="12">
        <f>(PrincipalesVariables[[#This Row],[Dólar  mayorista]]-E332)/E332</f>
        <v>1.9120458891012976E-3</v>
      </c>
      <c r="J333" s="12">
        <f>(PrincipalesVariables[[#This Row],[Reservas internacionales]]-F332)/F332</f>
        <v>5.4097220433292972E-4</v>
      </c>
    </row>
    <row r="334" spans="1:10" ht="15.75" thickBot="1" x14ac:dyDescent="0.3">
      <c r="A334" s="14">
        <v>41415</v>
      </c>
      <c r="B334" s="15">
        <v>41415</v>
      </c>
      <c r="C334" s="16">
        <v>303457</v>
      </c>
      <c r="D334" s="10">
        <f>PrincipalesVariables[[#This Row],[Base monetaria]]/1000000</f>
        <v>0.30345699999999998</v>
      </c>
      <c r="E334" s="10">
        <v>5.25</v>
      </c>
      <c r="F334" s="11">
        <v>38802</v>
      </c>
      <c r="H334" s="12">
        <f>(PrincipalesVariables[[#This Row],[Base monetaria]]-C333)/C333</f>
        <v>2.5736921745220993E-3</v>
      </c>
      <c r="I334" s="12">
        <f>(PrincipalesVariables[[#This Row],[Dólar  mayorista]]-E333)/E333</f>
        <v>1.9083969465648447E-3</v>
      </c>
      <c r="J334" s="12">
        <f>(PrincipalesVariables[[#This Row],[Reservas internacionales]]-F333)/F333</f>
        <v>-9.7837281153450055E-4</v>
      </c>
    </row>
    <row r="335" spans="1:10" ht="15.75" thickBot="1" x14ac:dyDescent="0.3">
      <c r="A335" s="14">
        <v>41416</v>
      </c>
      <c r="B335" s="15">
        <v>41416</v>
      </c>
      <c r="C335" s="16">
        <v>304875</v>
      </c>
      <c r="D335" s="10">
        <f>PrincipalesVariables[[#This Row],[Base monetaria]]/1000000</f>
        <v>0.30487500000000001</v>
      </c>
      <c r="E335" s="10">
        <v>5.25</v>
      </c>
      <c r="F335" s="11">
        <v>38768</v>
      </c>
      <c r="H335" s="12">
        <f>(PrincipalesVariables[[#This Row],[Base monetaria]]-C334)/C334</f>
        <v>4.672820201873742E-3</v>
      </c>
      <c r="I335" s="12">
        <f>(PrincipalesVariables[[#This Row],[Dólar  mayorista]]-E334)/E334</f>
        <v>0</v>
      </c>
      <c r="J335" s="12">
        <f>(PrincipalesVariables[[#This Row],[Reservas internacionales]]-F334)/F334</f>
        <v>-8.7624349260347404E-4</v>
      </c>
    </row>
    <row r="336" spans="1:10" ht="15.75" thickBot="1" x14ac:dyDescent="0.3">
      <c r="A336" s="14">
        <v>41417</v>
      </c>
      <c r="B336" s="15">
        <v>41417</v>
      </c>
      <c r="C336" s="16">
        <v>305675</v>
      </c>
      <c r="D336" s="10">
        <f>PrincipalesVariables[[#This Row],[Base monetaria]]/1000000</f>
        <v>0.30567499999999997</v>
      </c>
      <c r="E336" s="10">
        <v>5.26</v>
      </c>
      <c r="F336" s="11">
        <v>38748</v>
      </c>
      <c r="H336" s="12">
        <f>(PrincipalesVariables[[#This Row],[Base monetaria]]-C335)/C335</f>
        <v>2.6240262402624026E-3</v>
      </c>
      <c r="I336" s="12">
        <f>(PrincipalesVariables[[#This Row],[Dólar  mayorista]]-E335)/E335</f>
        <v>1.9047619047618642E-3</v>
      </c>
      <c r="J336" s="12">
        <f>(PrincipalesVariables[[#This Row],[Reservas internacionales]]-F335)/F335</f>
        <v>-5.1588939331407343E-4</v>
      </c>
    </row>
    <row r="337" spans="1:10" ht="15.75" thickBot="1" x14ac:dyDescent="0.3">
      <c r="A337" s="14">
        <v>41418</v>
      </c>
      <c r="B337" s="15">
        <v>41418</v>
      </c>
      <c r="C337" s="16">
        <v>303575</v>
      </c>
      <c r="D337" s="10">
        <f>PrincipalesVariables[[#This Row],[Base monetaria]]/1000000</f>
        <v>0.30357499999999998</v>
      </c>
      <c r="E337" s="10">
        <v>5.27</v>
      </c>
      <c r="F337" s="11">
        <v>38814</v>
      </c>
      <c r="H337" s="12">
        <f>(PrincipalesVariables[[#This Row],[Base monetaria]]-C336)/C336</f>
        <v>-6.8700417109675308E-3</v>
      </c>
      <c r="I337" s="12">
        <f>(PrincipalesVariables[[#This Row],[Dólar  mayorista]]-E336)/E336</f>
        <v>1.901140684410606E-3</v>
      </c>
      <c r="J337" s="12">
        <f>(PrincipalesVariables[[#This Row],[Reservas internacionales]]-F336)/F336</f>
        <v>1.7033137194177764E-3</v>
      </c>
    </row>
    <row r="338" spans="1:10" ht="15.75" thickBot="1" x14ac:dyDescent="0.3">
      <c r="A338" s="14">
        <v>41421</v>
      </c>
      <c r="B338" s="15">
        <v>41421</v>
      </c>
      <c r="C338" s="16">
        <v>301854</v>
      </c>
      <c r="D338" s="10">
        <f>PrincipalesVariables[[#This Row],[Base monetaria]]/1000000</f>
        <v>0.30185400000000001</v>
      </c>
      <c r="E338" s="10">
        <v>5.27</v>
      </c>
      <c r="F338" s="11">
        <v>38821</v>
      </c>
      <c r="H338" s="12">
        <f>(PrincipalesVariables[[#This Row],[Base monetaria]]-C337)/C337</f>
        <v>-5.6691097751791156E-3</v>
      </c>
      <c r="I338" s="12">
        <f>(PrincipalesVariables[[#This Row],[Dólar  mayorista]]-E337)/E337</f>
        <v>0</v>
      </c>
      <c r="J338" s="12">
        <f>(PrincipalesVariables[[#This Row],[Reservas internacionales]]-F337)/F337</f>
        <v>1.8034729736692945E-4</v>
      </c>
    </row>
    <row r="339" spans="1:10" ht="15.75" thickBot="1" x14ac:dyDescent="0.3">
      <c r="A339" s="14">
        <v>41422</v>
      </c>
      <c r="B339" s="15">
        <v>41422</v>
      </c>
      <c r="C339" s="16">
        <v>301129</v>
      </c>
      <c r="D339" s="10">
        <f>PrincipalesVariables[[#This Row],[Base monetaria]]/1000000</f>
        <v>0.30112899999999998</v>
      </c>
      <c r="E339" s="10">
        <v>5.27</v>
      </c>
      <c r="F339" s="11">
        <v>38674</v>
      </c>
      <c r="H339" s="12">
        <f>(PrincipalesVariables[[#This Row],[Base monetaria]]-C338)/C338</f>
        <v>-2.4018233980666148E-3</v>
      </c>
      <c r="I339" s="12">
        <f>(PrincipalesVariables[[#This Row],[Dólar  mayorista]]-E338)/E338</f>
        <v>0</v>
      </c>
      <c r="J339" s="12">
        <f>(PrincipalesVariables[[#This Row],[Reservas internacionales]]-F338)/F338</f>
        <v>-3.7866103397645604E-3</v>
      </c>
    </row>
    <row r="340" spans="1:10" ht="15.75" thickBot="1" x14ac:dyDescent="0.3">
      <c r="A340" s="14">
        <v>41423</v>
      </c>
      <c r="B340" s="15">
        <v>41423</v>
      </c>
      <c r="C340" s="16">
        <v>298207</v>
      </c>
      <c r="D340" s="10">
        <f>PrincipalesVariables[[#This Row],[Base monetaria]]/1000000</f>
        <v>0.298207</v>
      </c>
      <c r="E340" s="10">
        <v>5.27</v>
      </c>
      <c r="F340" s="11">
        <v>38540</v>
      </c>
      <c r="H340" s="12">
        <f>(PrincipalesVariables[[#This Row],[Base monetaria]]-C339)/C339</f>
        <v>-9.7034825606301615E-3</v>
      </c>
      <c r="I340" s="12">
        <f>(PrincipalesVariables[[#This Row],[Dólar  mayorista]]-E339)/E339</f>
        <v>0</v>
      </c>
      <c r="J340" s="12">
        <f>(PrincipalesVariables[[#This Row],[Reservas internacionales]]-F339)/F339</f>
        <v>-3.4648601127372394E-3</v>
      </c>
    </row>
    <row r="341" spans="1:10" ht="15.75" thickBot="1" x14ac:dyDescent="0.3">
      <c r="A341" s="14">
        <v>41424</v>
      </c>
      <c r="B341" s="15">
        <v>41424</v>
      </c>
      <c r="C341" s="16">
        <v>301837</v>
      </c>
      <c r="D341" s="10">
        <f>PrincipalesVariables[[#This Row],[Base monetaria]]/1000000</f>
        <v>0.30183700000000002</v>
      </c>
      <c r="E341" s="10">
        <v>5.28</v>
      </c>
      <c r="F341" s="11">
        <v>38649</v>
      </c>
      <c r="H341" s="12">
        <f>(PrincipalesVariables[[#This Row],[Base monetaria]]-C340)/C340</f>
        <v>1.2172752484012783E-2</v>
      </c>
      <c r="I341" s="12">
        <f>(PrincipalesVariables[[#This Row],[Dólar  mayorista]]-E340)/E340</f>
        <v>1.8975332068312477E-3</v>
      </c>
      <c r="J341" s="12">
        <f>(PrincipalesVariables[[#This Row],[Reservas internacionales]]-F340)/F340</f>
        <v>2.8282304099636743E-3</v>
      </c>
    </row>
    <row r="342" spans="1:10" ht="15.75" thickBot="1" x14ac:dyDescent="0.3">
      <c r="A342" s="14">
        <v>41425</v>
      </c>
      <c r="B342" s="15">
        <v>41425</v>
      </c>
      <c r="C342" s="16">
        <v>304337</v>
      </c>
      <c r="D342" s="10">
        <f>PrincipalesVariables[[#This Row],[Base monetaria]]/1000000</f>
        <v>0.30433700000000002</v>
      </c>
      <c r="E342" s="10">
        <v>5.28</v>
      </c>
      <c r="F342" s="11">
        <v>38551</v>
      </c>
      <c r="H342" s="12">
        <f>(PrincipalesVariables[[#This Row],[Base monetaria]]-C341)/C341</f>
        <v>8.2826161139953024E-3</v>
      </c>
      <c r="I342" s="12">
        <f>(PrincipalesVariables[[#This Row],[Dólar  mayorista]]-E341)/E341</f>
        <v>0</v>
      </c>
      <c r="J342" s="12">
        <f>(PrincipalesVariables[[#This Row],[Reservas internacionales]]-F341)/F341</f>
        <v>-2.5356412843799323E-3</v>
      </c>
    </row>
    <row r="343" spans="1:10" ht="15.75" thickBot="1" x14ac:dyDescent="0.3">
      <c r="A343" s="14">
        <v>41428</v>
      </c>
      <c r="B343" s="15">
        <v>41428</v>
      </c>
      <c r="C343" s="16">
        <v>309305</v>
      </c>
      <c r="D343" s="10">
        <f>PrincipalesVariables[[#This Row],[Base monetaria]]/1000000</f>
        <v>0.309305</v>
      </c>
      <c r="E343" s="10">
        <v>5.29</v>
      </c>
      <c r="F343" s="11">
        <v>38616</v>
      </c>
      <c r="H343" s="12">
        <f>(PrincipalesVariables[[#This Row],[Base monetaria]]-C342)/C342</f>
        <v>1.6324009239757242E-2</v>
      </c>
      <c r="I343" s="12">
        <f>(PrincipalesVariables[[#This Row],[Dólar  mayorista]]-E342)/E342</f>
        <v>1.8939393939393534E-3</v>
      </c>
      <c r="J343" s="12">
        <f>(PrincipalesVariables[[#This Row],[Reservas internacionales]]-F342)/F342</f>
        <v>1.686078182148323E-3</v>
      </c>
    </row>
    <row r="344" spans="1:10" ht="15.75" thickBot="1" x14ac:dyDescent="0.3">
      <c r="A344" s="14">
        <v>41429</v>
      </c>
      <c r="B344" s="15">
        <v>41429</v>
      </c>
      <c r="C344" s="16">
        <v>308608</v>
      </c>
      <c r="D344" s="10">
        <f>PrincipalesVariables[[#This Row],[Base monetaria]]/1000000</f>
        <v>0.30860799999999999</v>
      </c>
      <c r="E344" s="10">
        <v>5.29</v>
      </c>
      <c r="F344" s="11">
        <v>38520</v>
      </c>
      <c r="H344" s="12">
        <f>(PrincipalesVariables[[#This Row],[Base monetaria]]-C343)/C343</f>
        <v>-2.2534391619922082E-3</v>
      </c>
      <c r="I344" s="12">
        <f>(PrincipalesVariables[[#This Row],[Dólar  mayorista]]-E343)/E343</f>
        <v>0</v>
      </c>
      <c r="J344" s="12">
        <f>(PrincipalesVariables[[#This Row],[Reservas internacionales]]-F343)/F343</f>
        <v>-2.486016159105034E-3</v>
      </c>
    </row>
    <row r="345" spans="1:10" ht="15.75" thickBot="1" x14ac:dyDescent="0.3">
      <c r="A345" s="14">
        <v>41430</v>
      </c>
      <c r="B345" s="15">
        <v>41430</v>
      </c>
      <c r="C345" s="16">
        <v>309214</v>
      </c>
      <c r="D345" s="10">
        <f>PrincipalesVariables[[#This Row],[Base monetaria]]/1000000</f>
        <v>0.30921399999999999</v>
      </c>
      <c r="E345" s="10">
        <v>5.29</v>
      </c>
      <c r="F345" s="11">
        <v>38514</v>
      </c>
      <c r="H345" s="12">
        <f>(PrincipalesVariables[[#This Row],[Base monetaria]]-C344)/C344</f>
        <v>1.9636561592700124E-3</v>
      </c>
      <c r="I345" s="12">
        <f>(PrincipalesVariables[[#This Row],[Dólar  mayorista]]-E344)/E344</f>
        <v>0</v>
      </c>
      <c r="J345" s="12">
        <f>(PrincipalesVariables[[#This Row],[Reservas internacionales]]-F344)/F344</f>
        <v>-1.5576323987538941E-4</v>
      </c>
    </row>
    <row r="346" spans="1:10" ht="15.75" thickBot="1" x14ac:dyDescent="0.3">
      <c r="A346" s="14">
        <v>41431</v>
      </c>
      <c r="B346" s="15">
        <v>41431</v>
      </c>
      <c r="C346" s="16">
        <v>312931</v>
      </c>
      <c r="D346" s="10">
        <f>PrincipalesVariables[[#This Row],[Base monetaria]]/1000000</f>
        <v>0.31293100000000001</v>
      </c>
      <c r="E346" s="10">
        <v>5.3</v>
      </c>
      <c r="F346" s="11">
        <v>38520</v>
      </c>
      <c r="H346" s="12">
        <f>(PrincipalesVariables[[#This Row],[Base monetaria]]-C345)/C345</f>
        <v>1.2020801128021371E-2</v>
      </c>
      <c r="I346" s="12">
        <f>(PrincipalesVariables[[#This Row],[Dólar  mayorista]]-E345)/E345</f>
        <v>1.8903591682419257E-3</v>
      </c>
      <c r="J346" s="12">
        <f>(PrincipalesVariables[[#This Row],[Reservas internacionales]]-F345)/F345</f>
        <v>1.5578750584203146E-4</v>
      </c>
    </row>
    <row r="347" spans="1:10" ht="15.75" thickBot="1" x14ac:dyDescent="0.3">
      <c r="A347" s="14">
        <v>41432</v>
      </c>
      <c r="B347" s="15">
        <v>41432</v>
      </c>
      <c r="C347" s="16">
        <v>314000</v>
      </c>
      <c r="D347" s="10">
        <f>PrincipalesVariables[[#This Row],[Base monetaria]]/1000000</f>
        <v>0.314</v>
      </c>
      <c r="E347" s="10">
        <v>5.3</v>
      </c>
      <c r="F347" s="11">
        <v>38598</v>
      </c>
      <c r="H347" s="12">
        <f>(PrincipalesVariables[[#This Row],[Base monetaria]]-C346)/C346</f>
        <v>3.4160885306984607E-3</v>
      </c>
      <c r="I347" s="12">
        <f>(PrincipalesVariables[[#This Row],[Dólar  mayorista]]-E346)/E346</f>
        <v>0</v>
      </c>
      <c r="J347" s="12">
        <f>(PrincipalesVariables[[#This Row],[Reservas internacionales]]-F346)/F346</f>
        <v>2.0249221183800624E-3</v>
      </c>
    </row>
    <row r="348" spans="1:10" ht="15.75" thickBot="1" x14ac:dyDescent="0.3">
      <c r="A348" s="14">
        <v>41435</v>
      </c>
      <c r="B348" s="15">
        <v>41435</v>
      </c>
      <c r="C348" s="16">
        <v>313740</v>
      </c>
      <c r="D348" s="10">
        <f>PrincipalesVariables[[#This Row],[Base monetaria]]/1000000</f>
        <v>0.31374000000000002</v>
      </c>
      <c r="E348" s="10">
        <v>5.31</v>
      </c>
      <c r="F348" s="11">
        <v>38641</v>
      </c>
      <c r="H348" s="12">
        <f>(PrincipalesVariables[[#This Row],[Base monetaria]]-C347)/C347</f>
        <v>-8.2802547770700636E-4</v>
      </c>
      <c r="I348" s="12">
        <f>(PrincipalesVariables[[#This Row],[Dólar  mayorista]]-E347)/E347</f>
        <v>1.8867924528301486E-3</v>
      </c>
      <c r="J348" s="12">
        <f>(PrincipalesVariables[[#This Row],[Reservas internacionales]]-F347)/F347</f>
        <v>1.1140473599668378E-3</v>
      </c>
    </row>
    <row r="349" spans="1:10" ht="15.75" thickBot="1" x14ac:dyDescent="0.3">
      <c r="A349" s="14">
        <v>41436</v>
      </c>
      <c r="B349" s="15">
        <v>41436</v>
      </c>
      <c r="C349" s="16">
        <v>313271</v>
      </c>
      <c r="D349" s="10">
        <f>PrincipalesVariables[[#This Row],[Base monetaria]]/1000000</f>
        <v>0.31327100000000002</v>
      </c>
      <c r="E349" s="10">
        <v>5.31</v>
      </c>
      <c r="F349" s="11">
        <v>38599</v>
      </c>
      <c r="H349" s="12">
        <f>(PrincipalesVariables[[#This Row],[Base monetaria]]-C348)/C348</f>
        <v>-1.4948683623382418E-3</v>
      </c>
      <c r="I349" s="12">
        <f>(PrincipalesVariables[[#This Row],[Dólar  mayorista]]-E348)/E348</f>
        <v>0</v>
      </c>
      <c r="J349" s="12">
        <f>(PrincipalesVariables[[#This Row],[Reservas internacionales]]-F348)/F348</f>
        <v>-1.0869283921223572E-3</v>
      </c>
    </row>
    <row r="350" spans="1:10" ht="15.75" thickBot="1" x14ac:dyDescent="0.3">
      <c r="A350" s="14">
        <v>41437</v>
      </c>
      <c r="B350" s="15">
        <v>41437</v>
      </c>
      <c r="C350" s="16">
        <v>315301</v>
      </c>
      <c r="D350" s="10">
        <f>PrincipalesVariables[[#This Row],[Base monetaria]]/1000000</f>
        <v>0.315301</v>
      </c>
      <c r="E350" s="10">
        <v>5.32</v>
      </c>
      <c r="F350" s="11">
        <v>38610</v>
      </c>
      <c r="H350" s="12">
        <f>(PrincipalesVariables[[#This Row],[Base monetaria]]-C349)/C349</f>
        <v>6.4800125131276119E-3</v>
      </c>
      <c r="I350" s="12">
        <f>(PrincipalesVariables[[#This Row],[Dólar  mayorista]]-E349)/E349</f>
        <v>1.8832391713748918E-3</v>
      </c>
      <c r="J350" s="12">
        <f>(PrincipalesVariables[[#This Row],[Reservas internacionales]]-F349)/F349</f>
        <v>2.8498147620404675E-4</v>
      </c>
    </row>
    <row r="351" spans="1:10" ht="15.75" thickBot="1" x14ac:dyDescent="0.3">
      <c r="A351" s="14">
        <v>41438</v>
      </c>
      <c r="B351" s="15">
        <v>41438</v>
      </c>
      <c r="C351" s="16">
        <v>315824</v>
      </c>
      <c r="D351" s="10">
        <f>PrincipalesVariables[[#This Row],[Base monetaria]]/1000000</f>
        <v>0.31582399999999999</v>
      </c>
      <c r="E351" s="10">
        <v>5.33</v>
      </c>
      <c r="F351" s="11">
        <v>38530</v>
      </c>
      <c r="H351" s="12">
        <f>(PrincipalesVariables[[#This Row],[Base monetaria]]-C350)/C350</f>
        <v>1.6587324493103415E-3</v>
      </c>
      <c r="I351" s="12">
        <f>(PrincipalesVariables[[#This Row],[Dólar  mayorista]]-E350)/E350</f>
        <v>1.8796992481202605E-3</v>
      </c>
      <c r="J351" s="12">
        <f>(PrincipalesVariables[[#This Row],[Reservas internacionales]]-F350)/F350</f>
        <v>-2.0720020720020721E-3</v>
      </c>
    </row>
    <row r="352" spans="1:10" ht="15.75" thickBot="1" x14ac:dyDescent="0.3">
      <c r="A352" s="14">
        <v>41439</v>
      </c>
      <c r="B352" s="15">
        <v>41439</v>
      </c>
      <c r="C352" s="16">
        <v>313554</v>
      </c>
      <c r="D352" s="10">
        <f>PrincipalesVariables[[#This Row],[Base monetaria]]/1000000</f>
        <v>0.313554</v>
      </c>
      <c r="E352" s="10">
        <v>5.33</v>
      </c>
      <c r="F352" s="11">
        <v>38375</v>
      </c>
      <c r="H352" s="12">
        <f>(PrincipalesVariables[[#This Row],[Base monetaria]]-C351)/C351</f>
        <v>-7.1875474948072341E-3</v>
      </c>
      <c r="I352" s="12">
        <f>(PrincipalesVariables[[#This Row],[Dólar  mayorista]]-E351)/E351</f>
        <v>0</v>
      </c>
      <c r="J352" s="12">
        <f>(PrincipalesVariables[[#This Row],[Reservas internacionales]]-F351)/F351</f>
        <v>-4.0228393459641838E-3</v>
      </c>
    </row>
    <row r="353" spans="1:10" ht="15.75" thickBot="1" x14ac:dyDescent="0.3">
      <c r="A353" s="14">
        <v>41442</v>
      </c>
      <c r="B353" s="15">
        <v>41442</v>
      </c>
      <c r="C353" s="16">
        <v>311172</v>
      </c>
      <c r="D353" s="10">
        <f>PrincipalesVariables[[#This Row],[Base monetaria]]/1000000</f>
        <v>0.311172</v>
      </c>
      <c r="E353" s="10">
        <v>5.34</v>
      </c>
      <c r="F353" s="11">
        <v>38298</v>
      </c>
      <c r="H353" s="12">
        <f>(PrincipalesVariables[[#This Row],[Base monetaria]]-C352)/C352</f>
        <v>-7.5967775885493411E-3</v>
      </c>
      <c r="I353" s="12">
        <f>(PrincipalesVariables[[#This Row],[Dólar  mayorista]]-E352)/E352</f>
        <v>1.8761726078798848E-3</v>
      </c>
      <c r="J353" s="12">
        <f>(PrincipalesVariables[[#This Row],[Reservas internacionales]]-F352)/F352</f>
        <v>-2.0065146579804562E-3</v>
      </c>
    </row>
    <row r="354" spans="1:10" ht="15.75" thickBot="1" x14ac:dyDescent="0.3">
      <c r="A354" s="14">
        <v>41443</v>
      </c>
      <c r="B354" s="15">
        <v>41443</v>
      </c>
      <c r="C354" s="16">
        <v>310797</v>
      </c>
      <c r="D354" s="10">
        <f>PrincipalesVariables[[#This Row],[Base monetaria]]/1000000</f>
        <v>0.31079699999999999</v>
      </c>
      <c r="E354" s="10">
        <v>5.34</v>
      </c>
      <c r="F354" s="11">
        <v>38286</v>
      </c>
      <c r="H354" s="12">
        <f>(PrincipalesVariables[[#This Row],[Base monetaria]]-C353)/C353</f>
        <v>-1.2051212834059621E-3</v>
      </c>
      <c r="I354" s="12">
        <f>(PrincipalesVariables[[#This Row],[Dólar  mayorista]]-E353)/E353</f>
        <v>0</v>
      </c>
      <c r="J354" s="12">
        <f>(PrincipalesVariables[[#This Row],[Reservas internacionales]]-F353)/F353</f>
        <v>-3.1333228889237035E-4</v>
      </c>
    </row>
    <row r="355" spans="1:10" ht="15.75" thickBot="1" x14ac:dyDescent="0.3">
      <c r="A355" s="14">
        <v>41444</v>
      </c>
      <c r="B355" s="15">
        <v>41444</v>
      </c>
      <c r="C355" s="16">
        <v>311680</v>
      </c>
      <c r="D355" s="10">
        <f>PrincipalesVariables[[#This Row],[Base monetaria]]/1000000</f>
        <v>0.31168000000000001</v>
      </c>
      <c r="E355" s="10">
        <v>5.35</v>
      </c>
      <c r="F355" s="11">
        <v>38298</v>
      </c>
      <c r="H355" s="12">
        <f>(PrincipalesVariables[[#This Row],[Base monetaria]]-C354)/C354</f>
        <v>2.8410827646341502E-3</v>
      </c>
      <c r="I355" s="12">
        <f>(PrincipalesVariables[[#This Row],[Dólar  mayorista]]-E354)/E354</f>
        <v>1.8726591760299227E-3</v>
      </c>
      <c r="J355" s="12">
        <f>(PrincipalesVariables[[#This Row],[Reservas internacionales]]-F354)/F354</f>
        <v>3.1343049678733741E-4</v>
      </c>
    </row>
    <row r="356" spans="1:10" ht="15.75" thickBot="1" x14ac:dyDescent="0.3">
      <c r="A356" s="14">
        <v>41449</v>
      </c>
      <c r="B356" s="15">
        <v>41449</v>
      </c>
      <c r="C356" s="16">
        <v>309952</v>
      </c>
      <c r="D356" s="10">
        <f>PrincipalesVariables[[#This Row],[Base monetaria]]/1000000</f>
        <v>0.30995200000000001</v>
      </c>
      <c r="E356" s="10">
        <v>5.36</v>
      </c>
      <c r="F356" s="11">
        <v>38038</v>
      </c>
      <c r="H356" s="12">
        <f>(PrincipalesVariables[[#This Row],[Base monetaria]]-C355)/C355</f>
        <v>-5.5441478439425054E-3</v>
      </c>
      <c r="I356" s="12">
        <f>(PrincipalesVariables[[#This Row],[Dólar  mayorista]]-E355)/E355</f>
        <v>1.8691588785047992E-3</v>
      </c>
      <c r="J356" s="12">
        <f>(PrincipalesVariables[[#This Row],[Reservas internacionales]]-F355)/F355</f>
        <v>-6.788866259334691E-3</v>
      </c>
    </row>
    <row r="357" spans="1:10" ht="15.75" thickBot="1" x14ac:dyDescent="0.3">
      <c r="A357" s="14">
        <v>41450</v>
      </c>
      <c r="B357" s="15">
        <v>41450</v>
      </c>
      <c r="C357" s="16">
        <v>310665</v>
      </c>
      <c r="D357" s="10">
        <f>PrincipalesVariables[[#This Row],[Base monetaria]]/1000000</f>
        <v>0.31066500000000002</v>
      </c>
      <c r="E357" s="10">
        <v>5.36</v>
      </c>
      <c r="F357" s="11">
        <v>37944</v>
      </c>
      <c r="H357" s="12">
        <f>(PrincipalesVariables[[#This Row],[Base monetaria]]-C356)/C356</f>
        <v>2.3003561841833573E-3</v>
      </c>
      <c r="I357" s="12">
        <f>(PrincipalesVariables[[#This Row],[Dólar  mayorista]]-E356)/E356</f>
        <v>0</v>
      </c>
      <c r="J357" s="12">
        <f>(PrincipalesVariables[[#This Row],[Reservas internacionales]]-F356)/F356</f>
        <v>-2.471212997528787E-3</v>
      </c>
    </row>
    <row r="358" spans="1:10" ht="15.75" thickBot="1" x14ac:dyDescent="0.3">
      <c r="A358" s="14">
        <v>41451</v>
      </c>
      <c r="B358" s="15">
        <v>41451</v>
      </c>
      <c r="C358" s="16">
        <v>308415</v>
      </c>
      <c r="D358" s="10">
        <f>PrincipalesVariables[[#This Row],[Base monetaria]]/1000000</f>
        <v>0.30841499999999999</v>
      </c>
      <c r="E358" s="10">
        <v>5.37</v>
      </c>
      <c r="F358" s="11">
        <v>37782</v>
      </c>
      <c r="H358" s="12">
        <f>(PrincipalesVariables[[#This Row],[Base monetaria]]-C357)/C357</f>
        <v>-7.242528125150886E-3</v>
      </c>
      <c r="I358" s="12">
        <f>(PrincipalesVariables[[#This Row],[Dólar  mayorista]]-E357)/E357</f>
        <v>1.8656716417910048E-3</v>
      </c>
      <c r="J358" s="12">
        <f>(PrincipalesVariables[[#This Row],[Reservas internacionales]]-F357)/F357</f>
        <v>-4.2694497153700191E-3</v>
      </c>
    </row>
    <row r="359" spans="1:10" ht="15.75" thickBot="1" x14ac:dyDescent="0.3">
      <c r="A359" s="14">
        <v>41452</v>
      </c>
      <c r="B359" s="15">
        <v>41452</v>
      </c>
      <c r="C359" s="16">
        <v>308513</v>
      </c>
      <c r="D359" s="10">
        <f>PrincipalesVariables[[#This Row],[Base monetaria]]/1000000</f>
        <v>0.30851299999999998</v>
      </c>
      <c r="E359" s="10">
        <v>5.38</v>
      </c>
      <c r="F359" s="11">
        <v>37595</v>
      </c>
      <c r="H359" s="12">
        <f>(PrincipalesVariables[[#This Row],[Base monetaria]]-C358)/C358</f>
        <v>3.1775367605336964E-4</v>
      </c>
      <c r="I359" s="12">
        <f>(PrincipalesVariables[[#This Row],[Dólar  mayorista]]-E358)/E358</f>
        <v>1.8621973929236102E-3</v>
      </c>
      <c r="J359" s="12">
        <f>(PrincipalesVariables[[#This Row],[Reservas internacionales]]-F358)/F358</f>
        <v>-4.9494468265311523E-3</v>
      </c>
    </row>
    <row r="360" spans="1:10" ht="15.75" thickBot="1" x14ac:dyDescent="0.3">
      <c r="A360" s="14">
        <v>41453</v>
      </c>
      <c r="B360" s="15">
        <v>41453</v>
      </c>
      <c r="C360" s="16">
        <v>307550</v>
      </c>
      <c r="D360" s="10">
        <f>PrincipalesVariables[[#This Row],[Base monetaria]]/1000000</f>
        <v>0.30754999999999999</v>
      </c>
      <c r="E360" s="10">
        <v>5.39</v>
      </c>
      <c r="F360" s="11">
        <v>37005</v>
      </c>
      <c r="H360" s="12">
        <f>(PrincipalesVariables[[#This Row],[Base monetaria]]-C359)/C359</f>
        <v>-3.1214243808202571E-3</v>
      </c>
      <c r="I360" s="12">
        <f>(PrincipalesVariables[[#This Row],[Dólar  mayorista]]-E359)/E359</f>
        <v>1.8587360594795144E-3</v>
      </c>
      <c r="J360" s="12">
        <f>(PrincipalesVariables[[#This Row],[Reservas internacionales]]-F359)/F359</f>
        <v>-1.5693576273440618E-2</v>
      </c>
    </row>
    <row r="361" spans="1:10" ht="15.75" thickBot="1" x14ac:dyDescent="0.3">
      <c r="A361" s="14">
        <v>41456</v>
      </c>
      <c r="B361" s="15">
        <v>41456</v>
      </c>
      <c r="C361" s="16">
        <v>314997</v>
      </c>
      <c r="D361" s="10">
        <f>PrincipalesVariables[[#This Row],[Base monetaria]]/1000000</f>
        <v>0.31499700000000003</v>
      </c>
      <c r="E361" s="10">
        <v>5.39</v>
      </c>
      <c r="F361" s="11">
        <v>37132</v>
      </c>
      <c r="H361" s="12">
        <f>(PrincipalesVariables[[#This Row],[Base monetaria]]-C360)/C360</f>
        <v>2.4213948951390018E-2</v>
      </c>
      <c r="I361" s="12">
        <f>(PrincipalesVariables[[#This Row],[Dólar  mayorista]]-E360)/E360</f>
        <v>0</v>
      </c>
      <c r="J361" s="12">
        <f>(PrincipalesVariables[[#This Row],[Reservas internacionales]]-F360)/F360</f>
        <v>3.4319686528847455E-3</v>
      </c>
    </row>
    <row r="362" spans="1:10" ht="15.75" thickBot="1" x14ac:dyDescent="0.3">
      <c r="A362" s="14">
        <v>41457</v>
      </c>
      <c r="B362" s="15">
        <v>41457</v>
      </c>
      <c r="C362" s="16">
        <v>321382</v>
      </c>
      <c r="D362" s="10">
        <f>PrincipalesVariables[[#This Row],[Base monetaria]]/1000000</f>
        <v>0.321382</v>
      </c>
      <c r="E362" s="10">
        <v>5.39</v>
      </c>
      <c r="F362" s="11">
        <v>37156</v>
      </c>
      <c r="H362" s="12">
        <f>(PrincipalesVariables[[#This Row],[Base monetaria]]-C361)/C361</f>
        <v>2.0270034317787154E-2</v>
      </c>
      <c r="I362" s="12">
        <f>(PrincipalesVariables[[#This Row],[Dólar  mayorista]]-E361)/E361</f>
        <v>0</v>
      </c>
      <c r="J362" s="12">
        <f>(PrincipalesVariables[[#This Row],[Reservas internacionales]]-F361)/F361</f>
        <v>6.4634277711946573E-4</v>
      </c>
    </row>
    <row r="363" spans="1:10" ht="15.75" thickBot="1" x14ac:dyDescent="0.3">
      <c r="A363" s="14">
        <v>41458</v>
      </c>
      <c r="B363" s="15">
        <v>41458</v>
      </c>
      <c r="C363" s="16">
        <v>323229</v>
      </c>
      <c r="D363" s="10">
        <f>PrincipalesVariables[[#This Row],[Base monetaria]]/1000000</f>
        <v>0.32322899999999999</v>
      </c>
      <c r="E363" s="10">
        <v>5.4</v>
      </c>
      <c r="F363" s="11">
        <v>37213</v>
      </c>
      <c r="H363" s="12">
        <f>(PrincipalesVariables[[#This Row],[Base monetaria]]-C362)/C362</f>
        <v>5.7470549066220263E-3</v>
      </c>
      <c r="I363" s="12">
        <f>(PrincipalesVariables[[#This Row],[Dólar  mayorista]]-E362)/E362</f>
        <v>1.8552875695734092E-3</v>
      </c>
      <c r="J363" s="12">
        <f>(PrincipalesVariables[[#This Row],[Reservas internacionales]]-F362)/F362</f>
        <v>1.5340725589406826E-3</v>
      </c>
    </row>
    <row r="364" spans="1:10" ht="15.75" thickBot="1" x14ac:dyDescent="0.3">
      <c r="A364" s="14">
        <v>41459</v>
      </c>
      <c r="B364" s="15">
        <v>41459</v>
      </c>
      <c r="C364" s="16">
        <v>323827</v>
      </c>
      <c r="D364" s="10">
        <f>PrincipalesVariables[[#This Row],[Base monetaria]]/1000000</f>
        <v>0.32382699999999998</v>
      </c>
      <c r="E364" s="10">
        <v>5.41</v>
      </c>
      <c r="F364" s="11">
        <v>37205</v>
      </c>
      <c r="H364" s="12">
        <f>(PrincipalesVariables[[#This Row],[Base monetaria]]-C363)/C363</f>
        <v>1.8500815211506393E-3</v>
      </c>
      <c r="I364" s="12">
        <f>(PrincipalesVariables[[#This Row],[Dólar  mayorista]]-E363)/E363</f>
        <v>1.8518518518518122E-3</v>
      </c>
      <c r="J364" s="12">
        <f>(PrincipalesVariables[[#This Row],[Reservas internacionales]]-F363)/F363</f>
        <v>-2.14978636497998E-4</v>
      </c>
    </row>
    <row r="365" spans="1:10" ht="15.75" thickBot="1" x14ac:dyDescent="0.3">
      <c r="A365" s="14">
        <v>41460</v>
      </c>
      <c r="B365" s="15">
        <v>41460</v>
      </c>
      <c r="C365" s="16">
        <v>325256</v>
      </c>
      <c r="D365" s="10">
        <f>PrincipalesVariables[[#This Row],[Base monetaria]]/1000000</f>
        <v>0.32525599999999999</v>
      </c>
      <c r="E365" s="10">
        <v>5.4</v>
      </c>
      <c r="F365" s="11">
        <v>37130</v>
      </c>
      <c r="H365" s="12">
        <f>(PrincipalesVariables[[#This Row],[Base monetaria]]-C364)/C364</f>
        <v>4.4128500711799823E-3</v>
      </c>
      <c r="I365" s="12">
        <f>(PrincipalesVariables[[#This Row],[Dólar  mayorista]]-E364)/E364</f>
        <v>-1.8484288354897942E-3</v>
      </c>
      <c r="J365" s="12">
        <f>(PrincipalesVariables[[#This Row],[Reservas internacionales]]-F364)/F364</f>
        <v>-2.0158580835909152E-3</v>
      </c>
    </row>
    <row r="366" spans="1:10" ht="15.75" thickBot="1" x14ac:dyDescent="0.3">
      <c r="A366" s="14">
        <v>41463</v>
      </c>
      <c r="B366" s="15">
        <v>41463</v>
      </c>
      <c r="C366" s="16">
        <v>324718</v>
      </c>
      <c r="D366" s="10">
        <f>PrincipalesVariables[[#This Row],[Base monetaria]]/1000000</f>
        <v>0.32471800000000001</v>
      </c>
      <c r="E366" s="10">
        <v>5.41</v>
      </c>
      <c r="F366" s="11">
        <v>37229</v>
      </c>
      <c r="H366" s="12">
        <f>(PrincipalesVariables[[#This Row],[Base monetaria]]-C365)/C365</f>
        <v>-1.654081707946971E-3</v>
      </c>
      <c r="I366" s="12">
        <f>(PrincipalesVariables[[#This Row],[Dólar  mayorista]]-E365)/E365</f>
        <v>1.8518518518518122E-3</v>
      </c>
      <c r="J366" s="12">
        <f>(PrincipalesVariables[[#This Row],[Reservas internacionales]]-F365)/F365</f>
        <v>2.6663075680043091E-3</v>
      </c>
    </row>
    <row r="367" spans="1:10" ht="15.75" thickBot="1" x14ac:dyDescent="0.3">
      <c r="A367" s="14">
        <v>41465</v>
      </c>
      <c r="B367" s="15">
        <v>41465</v>
      </c>
      <c r="C367" s="16">
        <v>326998</v>
      </c>
      <c r="D367" s="10">
        <f>PrincipalesVariables[[#This Row],[Base monetaria]]/1000000</f>
        <v>0.32699800000000001</v>
      </c>
      <c r="E367" s="10">
        <v>5.41</v>
      </c>
      <c r="F367" s="11">
        <v>37333</v>
      </c>
      <c r="H367" s="12">
        <f>(PrincipalesVariables[[#This Row],[Base monetaria]]-C366)/C366</f>
        <v>7.0214770970503633E-3</v>
      </c>
      <c r="I367" s="12">
        <f>(PrincipalesVariables[[#This Row],[Dólar  mayorista]]-E366)/E366</f>
        <v>0</v>
      </c>
      <c r="J367" s="12">
        <f>(PrincipalesVariables[[#This Row],[Reservas internacionales]]-F366)/F366</f>
        <v>2.793521179725483E-3</v>
      </c>
    </row>
    <row r="368" spans="1:10" ht="15.75" thickBot="1" x14ac:dyDescent="0.3">
      <c r="A368" s="14">
        <v>41466</v>
      </c>
      <c r="B368" s="15">
        <v>41466</v>
      </c>
      <c r="C368" s="16">
        <v>326162</v>
      </c>
      <c r="D368" s="10">
        <f>PrincipalesVariables[[#This Row],[Base monetaria]]/1000000</f>
        <v>0.32616200000000001</v>
      </c>
      <c r="E368" s="10">
        <v>5.42</v>
      </c>
      <c r="F368" s="11">
        <v>37416</v>
      </c>
      <c r="H368" s="12">
        <f>(PrincipalesVariables[[#This Row],[Base monetaria]]-C367)/C367</f>
        <v>-2.5565905601869126E-3</v>
      </c>
      <c r="I368" s="12">
        <f>(PrincipalesVariables[[#This Row],[Dólar  mayorista]]-E367)/E367</f>
        <v>1.8484288354897942E-3</v>
      </c>
      <c r="J368" s="12">
        <f>(PrincipalesVariables[[#This Row],[Reservas internacionales]]-F367)/F367</f>
        <v>2.2232341360190716E-3</v>
      </c>
    </row>
    <row r="369" spans="1:10" ht="15.75" thickBot="1" x14ac:dyDescent="0.3">
      <c r="A369" s="14">
        <v>41467</v>
      </c>
      <c r="B369" s="15">
        <v>41467</v>
      </c>
      <c r="C369" s="16">
        <v>327229</v>
      </c>
      <c r="D369" s="10">
        <f>PrincipalesVariables[[#This Row],[Base monetaria]]/1000000</f>
        <v>0.32722899999999999</v>
      </c>
      <c r="E369" s="10">
        <v>5.42</v>
      </c>
      <c r="F369" s="11">
        <v>37469</v>
      </c>
      <c r="H369" s="12">
        <f>(PrincipalesVariables[[#This Row],[Base monetaria]]-C368)/C368</f>
        <v>3.2713804796389526E-3</v>
      </c>
      <c r="I369" s="12">
        <f>(PrincipalesVariables[[#This Row],[Dólar  mayorista]]-E368)/E368</f>
        <v>0</v>
      </c>
      <c r="J369" s="12">
        <f>(PrincipalesVariables[[#This Row],[Reservas internacionales]]-F368)/F368</f>
        <v>1.4165063074620483E-3</v>
      </c>
    </row>
    <row r="370" spans="1:10" ht="15.75" thickBot="1" x14ac:dyDescent="0.3">
      <c r="A370" s="14">
        <v>41470</v>
      </c>
      <c r="B370" s="15">
        <v>41470</v>
      </c>
      <c r="C370" s="16">
        <v>327673</v>
      </c>
      <c r="D370" s="10">
        <f>PrincipalesVariables[[#This Row],[Base monetaria]]/1000000</f>
        <v>0.32767299999999999</v>
      </c>
      <c r="E370" s="10">
        <v>5.43</v>
      </c>
      <c r="F370" s="11">
        <v>37461</v>
      </c>
      <c r="H370" s="12">
        <f>(PrincipalesVariables[[#This Row],[Base monetaria]]-C369)/C369</f>
        <v>1.3568479566297609E-3</v>
      </c>
      <c r="I370" s="12">
        <f>(PrincipalesVariables[[#This Row],[Dólar  mayorista]]-E369)/E369</f>
        <v>1.8450184501844625E-3</v>
      </c>
      <c r="J370" s="12">
        <f>(PrincipalesVariables[[#This Row],[Reservas internacionales]]-F369)/F369</f>
        <v>-2.1350983479676532E-4</v>
      </c>
    </row>
    <row r="371" spans="1:10" ht="15.75" thickBot="1" x14ac:dyDescent="0.3">
      <c r="A371" s="14">
        <v>41471</v>
      </c>
      <c r="B371" s="15">
        <v>41471</v>
      </c>
      <c r="C371" s="16">
        <v>324791</v>
      </c>
      <c r="D371" s="10">
        <f>PrincipalesVariables[[#This Row],[Base monetaria]]/1000000</f>
        <v>0.324791</v>
      </c>
      <c r="E371" s="10">
        <v>5.43</v>
      </c>
      <c r="F371" s="11">
        <v>37444</v>
      </c>
      <c r="H371" s="12">
        <f>(PrincipalesVariables[[#This Row],[Base monetaria]]-C370)/C370</f>
        <v>-8.7953539046549453E-3</v>
      </c>
      <c r="I371" s="12">
        <f>(PrincipalesVariables[[#This Row],[Dólar  mayorista]]-E370)/E370</f>
        <v>0</v>
      </c>
      <c r="J371" s="12">
        <f>(PrincipalesVariables[[#This Row],[Reservas internacionales]]-F370)/F370</f>
        <v>-4.5380529083580259E-4</v>
      </c>
    </row>
    <row r="372" spans="1:10" ht="15.75" thickBot="1" x14ac:dyDescent="0.3">
      <c r="A372" s="14">
        <v>41472</v>
      </c>
      <c r="B372" s="15">
        <v>41472</v>
      </c>
      <c r="C372" s="16">
        <v>326024</v>
      </c>
      <c r="D372" s="10">
        <f>PrincipalesVariables[[#This Row],[Base monetaria]]/1000000</f>
        <v>0.32602399999999998</v>
      </c>
      <c r="E372" s="10">
        <v>5.44</v>
      </c>
      <c r="F372" s="11">
        <v>37413</v>
      </c>
      <c r="H372" s="12">
        <f>(PrincipalesVariables[[#This Row],[Base monetaria]]-C371)/C371</f>
        <v>3.7962874587042128E-3</v>
      </c>
      <c r="I372" s="12">
        <f>(PrincipalesVariables[[#This Row],[Dólar  mayorista]]-E371)/E371</f>
        <v>1.8416206261511372E-3</v>
      </c>
      <c r="J372" s="12">
        <f>(PrincipalesVariables[[#This Row],[Reservas internacionales]]-F371)/F371</f>
        <v>-8.2790300181604531E-4</v>
      </c>
    </row>
    <row r="373" spans="1:10" ht="15.75" thickBot="1" x14ac:dyDescent="0.3">
      <c r="A373" s="14">
        <v>41473</v>
      </c>
      <c r="B373" s="15">
        <v>41473</v>
      </c>
      <c r="C373" s="16">
        <v>324739</v>
      </c>
      <c r="D373" s="10">
        <f>PrincipalesVariables[[#This Row],[Base monetaria]]/1000000</f>
        <v>0.324739</v>
      </c>
      <c r="E373" s="10">
        <v>5.45</v>
      </c>
      <c r="F373" s="11">
        <v>37435</v>
      </c>
      <c r="H373" s="12">
        <f>(PrincipalesVariables[[#This Row],[Base monetaria]]-C372)/C372</f>
        <v>-3.9414276249601253E-3</v>
      </c>
      <c r="I373" s="12">
        <f>(PrincipalesVariables[[#This Row],[Dólar  mayorista]]-E372)/E372</f>
        <v>1.8382352941176078E-3</v>
      </c>
      <c r="J373" s="12">
        <f>(PrincipalesVariables[[#This Row],[Reservas internacionales]]-F372)/F372</f>
        <v>5.8803089835084057E-4</v>
      </c>
    </row>
    <row r="374" spans="1:10" ht="15.75" thickBot="1" x14ac:dyDescent="0.3">
      <c r="A374" s="14">
        <v>41474</v>
      </c>
      <c r="B374" s="15">
        <v>41474</v>
      </c>
      <c r="C374" s="16">
        <v>321841</v>
      </c>
      <c r="D374" s="10">
        <f>PrincipalesVariables[[#This Row],[Base monetaria]]/1000000</f>
        <v>0.32184099999999999</v>
      </c>
      <c r="E374" s="10">
        <v>5.46</v>
      </c>
      <c r="F374" s="11">
        <v>37464</v>
      </c>
      <c r="H374" s="12">
        <f>(PrincipalesVariables[[#This Row],[Base monetaria]]-C373)/C373</f>
        <v>-8.9240898075069516E-3</v>
      </c>
      <c r="I374" s="12">
        <f>(PrincipalesVariables[[#This Row],[Dólar  mayorista]]-E373)/E373</f>
        <v>1.8348623853210618E-3</v>
      </c>
      <c r="J374" s="12">
        <f>(PrincipalesVariables[[#This Row],[Reservas internacionales]]-F373)/F373</f>
        <v>7.7467610524909847E-4</v>
      </c>
    </row>
    <row r="375" spans="1:10" ht="15.75" thickBot="1" x14ac:dyDescent="0.3">
      <c r="A375" s="14">
        <v>41477</v>
      </c>
      <c r="B375" s="15">
        <v>41477</v>
      </c>
      <c r="C375" s="16">
        <v>321781</v>
      </c>
      <c r="D375" s="10">
        <f>PrincipalesVariables[[#This Row],[Base monetaria]]/1000000</f>
        <v>0.32178099999999998</v>
      </c>
      <c r="E375" s="10">
        <v>5.46</v>
      </c>
      <c r="F375" s="11">
        <v>37471</v>
      </c>
      <c r="H375" s="12">
        <f>(PrincipalesVariables[[#This Row],[Base monetaria]]-C374)/C374</f>
        <v>-1.8642745952193786E-4</v>
      </c>
      <c r="I375" s="12">
        <f>(PrincipalesVariables[[#This Row],[Dólar  mayorista]]-E374)/E374</f>
        <v>0</v>
      </c>
      <c r="J375" s="12">
        <f>(PrincipalesVariables[[#This Row],[Reservas internacionales]]-F374)/F374</f>
        <v>1.8684603886397609E-4</v>
      </c>
    </row>
    <row r="376" spans="1:10" ht="15.75" thickBot="1" x14ac:dyDescent="0.3">
      <c r="A376" s="14">
        <v>41478</v>
      </c>
      <c r="B376" s="15">
        <v>41478</v>
      </c>
      <c r="C376" s="16">
        <v>317336</v>
      </c>
      <c r="D376" s="10">
        <f>PrincipalesVariables[[#This Row],[Base monetaria]]/1000000</f>
        <v>0.31733600000000001</v>
      </c>
      <c r="E376" s="10">
        <v>5.46</v>
      </c>
      <c r="F376" s="11">
        <v>37416</v>
      </c>
      <c r="H376" s="12">
        <f>(PrincipalesVariables[[#This Row],[Base monetaria]]-C375)/C375</f>
        <v>-1.3813742887243187E-2</v>
      </c>
      <c r="I376" s="12">
        <f>(PrincipalesVariables[[#This Row],[Dólar  mayorista]]-E375)/E375</f>
        <v>0</v>
      </c>
      <c r="J376" s="12">
        <f>(PrincipalesVariables[[#This Row],[Reservas internacionales]]-F375)/F375</f>
        <v>-1.4678017666995809E-3</v>
      </c>
    </row>
    <row r="377" spans="1:10" ht="15.75" thickBot="1" x14ac:dyDescent="0.3">
      <c r="A377" s="14">
        <v>41479</v>
      </c>
      <c r="B377" s="15">
        <v>41479</v>
      </c>
      <c r="C377" s="16">
        <v>319286</v>
      </c>
      <c r="D377" s="10">
        <f>PrincipalesVariables[[#This Row],[Base monetaria]]/1000000</f>
        <v>0.31928600000000001</v>
      </c>
      <c r="E377" s="10">
        <v>5.46</v>
      </c>
      <c r="F377" s="11">
        <v>37365</v>
      </c>
      <c r="H377" s="12">
        <f>(PrincipalesVariables[[#This Row],[Base monetaria]]-C376)/C376</f>
        <v>6.144906345324829E-3</v>
      </c>
      <c r="I377" s="12">
        <f>(PrincipalesVariables[[#This Row],[Dólar  mayorista]]-E376)/E376</f>
        <v>0</v>
      </c>
      <c r="J377" s="12">
        <f>(PrincipalesVariables[[#This Row],[Reservas internacionales]]-F376)/F376</f>
        <v>-1.3630532392559333E-3</v>
      </c>
    </row>
    <row r="378" spans="1:10" ht="15.75" thickBot="1" x14ac:dyDescent="0.3">
      <c r="A378" s="14">
        <v>41480</v>
      </c>
      <c r="B378" s="15">
        <v>41480</v>
      </c>
      <c r="C378" s="16">
        <v>325446</v>
      </c>
      <c r="D378" s="10">
        <f>PrincipalesVariables[[#This Row],[Base monetaria]]/1000000</f>
        <v>0.32544600000000001</v>
      </c>
      <c r="E378" s="10">
        <v>5.47</v>
      </c>
      <c r="F378" s="11">
        <v>37303</v>
      </c>
      <c r="H378" s="12">
        <f>(PrincipalesVariables[[#This Row],[Base monetaria]]-C377)/C377</f>
        <v>1.9293047612485358E-2</v>
      </c>
      <c r="I378" s="12">
        <f>(PrincipalesVariables[[#This Row],[Dólar  mayorista]]-E377)/E377</f>
        <v>1.8315018315017925E-3</v>
      </c>
      <c r="J378" s="12">
        <f>(PrincipalesVariables[[#This Row],[Reservas internacionales]]-F377)/F377</f>
        <v>-1.6593068379499531E-3</v>
      </c>
    </row>
    <row r="379" spans="1:10" ht="15.75" thickBot="1" x14ac:dyDescent="0.3">
      <c r="A379" s="14">
        <v>41481</v>
      </c>
      <c r="B379" s="15">
        <v>41481</v>
      </c>
      <c r="C379" s="16">
        <v>325733</v>
      </c>
      <c r="D379" s="10">
        <f>PrincipalesVariables[[#This Row],[Base monetaria]]/1000000</f>
        <v>0.32573299999999999</v>
      </c>
      <c r="E379" s="10">
        <v>5.48</v>
      </c>
      <c r="F379" s="11">
        <v>37312</v>
      </c>
      <c r="H379" s="12">
        <f>(PrincipalesVariables[[#This Row],[Base monetaria]]-C378)/C378</f>
        <v>8.8186673057895934E-4</v>
      </c>
      <c r="I379" s="12">
        <f>(PrincipalesVariables[[#This Row],[Dólar  mayorista]]-E378)/E378</f>
        <v>1.8281535648995751E-3</v>
      </c>
      <c r="J379" s="12">
        <f>(PrincipalesVariables[[#This Row],[Reservas internacionales]]-F378)/F378</f>
        <v>2.4126745838136342E-4</v>
      </c>
    </row>
    <row r="380" spans="1:10" ht="15.75" thickBot="1" x14ac:dyDescent="0.3">
      <c r="A380" s="14">
        <v>41484</v>
      </c>
      <c r="B380" s="15">
        <v>41484</v>
      </c>
      <c r="C380" s="16">
        <v>321473</v>
      </c>
      <c r="D380" s="10">
        <f>PrincipalesVariables[[#This Row],[Base monetaria]]/1000000</f>
        <v>0.32147300000000001</v>
      </c>
      <c r="E380" s="10">
        <v>5.49</v>
      </c>
      <c r="F380" s="11">
        <v>37296</v>
      </c>
      <c r="H380" s="12">
        <f>(PrincipalesVariables[[#This Row],[Base monetaria]]-C379)/C379</f>
        <v>-1.3078195945759256E-2</v>
      </c>
      <c r="I380" s="12">
        <f>(PrincipalesVariables[[#This Row],[Dólar  mayorista]]-E379)/E379</f>
        <v>1.8248175182481361E-3</v>
      </c>
      <c r="J380" s="12">
        <f>(PrincipalesVariables[[#This Row],[Reservas internacionales]]-F379)/F379</f>
        <v>-4.288164665523156E-4</v>
      </c>
    </row>
    <row r="381" spans="1:10" ht="15.75" thickBot="1" x14ac:dyDescent="0.3">
      <c r="A381" s="14">
        <v>41485</v>
      </c>
      <c r="B381" s="15">
        <v>41485</v>
      </c>
      <c r="C381" s="16">
        <v>318630</v>
      </c>
      <c r="D381" s="10">
        <f>PrincipalesVariables[[#This Row],[Base monetaria]]/1000000</f>
        <v>0.31863000000000002</v>
      </c>
      <c r="E381" s="10">
        <v>5.5</v>
      </c>
      <c r="F381" s="11">
        <v>36924</v>
      </c>
      <c r="H381" s="12">
        <f>(PrincipalesVariables[[#This Row],[Base monetaria]]-C380)/C380</f>
        <v>-8.8436664976529918E-3</v>
      </c>
      <c r="I381" s="12">
        <f>(PrincipalesVariables[[#This Row],[Dólar  mayorista]]-E380)/E380</f>
        <v>1.8214936247722745E-3</v>
      </c>
      <c r="J381" s="12">
        <f>(PrincipalesVariables[[#This Row],[Reservas internacionales]]-F380)/F380</f>
        <v>-9.974259974259974E-3</v>
      </c>
    </row>
    <row r="382" spans="1:10" ht="15.75" thickBot="1" x14ac:dyDescent="0.3">
      <c r="A382" s="14">
        <v>41486</v>
      </c>
      <c r="B382" s="15">
        <v>41486</v>
      </c>
      <c r="C382" s="16">
        <v>318128</v>
      </c>
      <c r="D382" s="10">
        <f>PrincipalesVariables[[#This Row],[Base monetaria]]/1000000</f>
        <v>0.31812800000000002</v>
      </c>
      <c r="E382" s="10">
        <v>5.51</v>
      </c>
      <c r="F382" s="11">
        <v>37049</v>
      </c>
      <c r="H382" s="12">
        <f>(PrincipalesVariables[[#This Row],[Base monetaria]]-C381)/C381</f>
        <v>-1.5754950883469854E-3</v>
      </c>
      <c r="I382" s="12">
        <f>(PrincipalesVariables[[#This Row],[Dólar  mayorista]]-E381)/E381</f>
        <v>1.8181818181817794E-3</v>
      </c>
      <c r="J382" s="12">
        <f>(PrincipalesVariables[[#This Row],[Reservas internacionales]]-F381)/F381</f>
        <v>3.3853320333658327E-3</v>
      </c>
    </row>
    <row r="383" spans="1:10" ht="15.75" thickBot="1" x14ac:dyDescent="0.3">
      <c r="A383" s="14">
        <v>41487</v>
      </c>
      <c r="B383" s="15">
        <v>41487</v>
      </c>
      <c r="C383" s="16">
        <v>329333</v>
      </c>
      <c r="D383" s="10">
        <f>PrincipalesVariables[[#This Row],[Base monetaria]]/1000000</f>
        <v>0.32933299999999999</v>
      </c>
      <c r="E383" s="10">
        <v>5.51</v>
      </c>
      <c r="F383" s="11">
        <v>37034</v>
      </c>
      <c r="H383" s="12">
        <f>(PrincipalesVariables[[#This Row],[Base monetaria]]-C382)/C382</f>
        <v>3.5221671779912485E-2</v>
      </c>
      <c r="I383" s="12">
        <f>(PrincipalesVariables[[#This Row],[Dólar  mayorista]]-E382)/E382</f>
        <v>0</v>
      </c>
      <c r="J383" s="12">
        <f>(PrincipalesVariables[[#This Row],[Reservas internacionales]]-F382)/F382</f>
        <v>-4.0486922723960162E-4</v>
      </c>
    </row>
    <row r="384" spans="1:10" ht="15.75" thickBot="1" x14ac:dyDescent="0.3">
      <c r="A384" s="14">
        <v>41488</v>
      </c>
      <c r="B384" s="15">
        <v>41488</v>
      </c>
      <c r="C384" s="16">
        <v>329302</v>
      </c>
      <c r="D384" s="10">
        <f>PrincipalesVariables[[#This Row],[Base monetaria]]/1000000</f>
        <v>0.32930199999999998</v>
      </c>
      <c r="E384" s="10">
        <v>5.52</v>
      </c>
      <c r="F384" s="11">
        <v>37089</v>
      </c>
      <c r="H384" s="12">
        <f>(PrincipalesVariables[[#This Row],[Base monetaria]]-C383)/C383</f>
        <v>-9.4129649928795481E-5</v>
      </c>
      <c r="I384" s="12">
        <f>(PrincipalesVariables[[#This Row],[Dólar  mayorista]]-E383)/E383</f>
        <v>1.8148820326678379E-3</v>
      </c>
      <c r="J384" s="12">
        <f>(PrincipalesVariables[[#This Row],[Reservas internacionales]]-F383)/F383</f>
        <v>1.4851217799859589E-3</v>
      </c>
    </row>
    <row r="385" spans="1:10" ht="15.75" thickBot="1" x14ac:dyDescent="0.3">
      <c r="A385" s="14">
        <v>41491</v>
      </c>
      <c r="B385" s="15">
        <v>41491</v>
      </c>
      <c r="C385" s="16">
        <v>328744</v>
      </c>
      <c r="D385" s="10">
        <f>PrincipalesVariables[[#This Row],[Base monetaria]]/1000000</f>
        <v>0.32874399999999998</v>
      </c>
      <c r="E385" s="10">
        <v>5.52</v>
      </c>
      <c r="F385" s="11">
        <v>37084</v>
      </c>
      <c r="H385" s="12">
        <f>(PrincipalesVariables[[#This Row],[Base monetaria]]-C384)/C384</f>
        <v>-1.6944932007701137E-3</v>
      </c>
      <c r="I385" s="12">
        <f>(PrincipalesVariables[[#This Row],[Dólar  mayorista]]-E384)/E384</f>
        <v>0</v>
      </c>
      <c r="J385" s="12">
        <f>(PrincipalesVariables[[#This Row],[Reservas internacionales]]-F384)/F384</f>
        <v>-1.3481086036291084E-4</v>
      </c>
    </row>
    <row r="386" spans="1:10" ht="15.75" thickBot="1" x14ac:dyDescent="0.3">
      <c r="A386" s="14">
        <v>41492</v>
      </c>
      <c r="B386" s="15">
        <v>41492</v>
      </c>
      <c r="C386" s="16">
        <v>329995</v>
      </c>
      <c r="D386" s="10">
        <f>PrincipalesVariables[[#This Row],[Base monetaria]]/1000000</f>
        <v>0.32999499999999998</v>
      </c>
      <c r="E386" s="10">
        <v>5.53</v>
      </c>
      <c r="F386" s="11">
        <v>37026</v>
      </c>
      <c r="H386" s="12">
        <f>(PrincipalesVariables[[#This Row],[Base monetaria]]-C385)/C385</f>
        <v>3.8053926459494319E-3</v>
      </c>
      <c r="I386" s="12">
        <f>(PrincipalesVariables[[#This Row],[Dólar  mayorista]]-E385)/E385</f>
        <v>1.811594202898673E-3</v>
      </c>
      <c r="J386" s="12">
        <f>(PrincipalesVariables[[#This Row],[Reservas internacionales]]-F385)/F385</f>
        <v>-1.5640168266637903E-3</v>
      </c>
    </row>
    <row r="387" spans="1:10" ht="15.75" thickBot="1" x14ac:dyDescent="0.3">
      <c r="A387" s="14">
        <v>41493</v>
      </c>
      <c r="B387" s="15">
        <v>41493</v>
      </c>
      <c r="C387" s="16">
        <v>330146</v>
      </c>
      <c r="D387" s="10">
        <f>PrincipalesVariables[[#This Row],[Base monetaria]]/1000000</f>
        <v>0.330146</v>
      </c>
      <c r="E387" s="10">
        <v>5.53</v>
      </c>
      <c r="F387" s="11">
        <v>37022</v>
      </c>
      <c r="H387" s="12">
        <f>(PrincipalesVariables[[#This Row],[Base monetaria]]-C386)/C386</f>
        <v>4.5758269064682797E-4</v>
      </c>
      <c r="I387" s="12">
        <f>(PrincipalesVariables[[#This Row],[Dólar  mayorista]]-E386)/E386</f>
        <v>0</v>
      </c>
      <c r="J387" s="12">
        <f>(PrincipalesVariables[[#This Row],[Reservas internacionales]]-F386)/F386</f>
        <v>-1.0803219359369092E-4</v>
      </c>
    </row>
    <row r="388" spans="1:10" ht="15.75" thickBot="1" x14ac:dyDescent="0.3">
      <c r="A388" s="14">
        <v>41494</v>
      </c>
      <c r="B388" s="15">
        <v>41494</v>
      </c>
      <c r="C388" s="16">
        <v>331273</v>
      </c>
      <c r="D388" s="10">
        <f>PrincipalesVariables[[#This Row],[Base monetaria]]/1000000</f>
        <v>0.33127299999999998</v>
      </c>
      <c r="E388" s="10">
        <v>5.54</v>
      </c>
      <c r="F388" s="11">
        <v>37068</v>
      </c>
      <c r="H388" s="12">
        <f>(PrincipalesVariables[[#This Row],[Base monetaria]]-C387)/C387</f>
        <v>3.4136412375131001E-3</v>
      </c>
      <c r="I388" s="12">
        <f>(PrincipalesVariables[[#This Row],[Dólar  mayorista]]-E387)/E387</f>
        <v>1.8083182640144279E-3</v>
      </c>
      <c r="J388" s="12">
        <f>(PrincipalesVariables[[#This Row],[Reservas internacionales]]-F387)/F387</f>
        <v>1.2425044568094646E-3</v>
      </c>
    </row>
    <row r="389" spans="1:10" ht="15.75" thickBot="1" x14ac:dyDescent="0.3">
      <c r="A389" s="14">
        <v>41495</v>
      </c>
      <c r="B389" s="15">
        <v>41495</v>
      </c>
      <c r="C389" s="16">
        <v>329634</v>
      </c>
      <c r="D389" s="10">
        <f>PrincipalesVariables[[#This Row],[Base monetaria]]/1000000</f>
        <v>0.32963399999999998</v>
      </c>
      <c r="E389" s="10">
        <v>5.54</v>
      </c>
      <c r="F389" s="11">
        <v>37061</v>
      </c>
      <c r="H389" s="12">
        <f>(PrincipalesVariables[[#This Row],[Base monetaria]]-C388)/C388</f>
        <v>-4.9475809981495622E-3</v>
      </c>
      <c r="I389" s="12">
        <f>(PrincipalesVariables[[#This Row],[Dólar  mayorista]]-E388)/E388</f>
        <v>0</v>
      </c>
      <c r="J389" s="12">
        <f>(PrincipalesVariables[[#This Row],[Reservas internacionales]]-F388)/F388</f>
        <v>-1.8884212798100789E-4</v>
      </c>
    </row>
    <row r="390" spans="1:10" ht="15.75" thickBot="1" x14ac:dyDescent="0.3">
      <c r="A390" s="14">
        <v>41498</v>
      </c>
      <c r="B390" s="15">
        <v>41498</v>
      </c>
      <c r="C390" s="16">
        <v>329560</v>
      </c>
      <c r="D390" s="10">
        <f>PrincipalesVariables[[#This Row],[Base monetaria]]/1000000</f>
        <v>0.32956000000000002</v>
      </c>
      <c r="E390" s="10">
        <v>5.55</v>
      </c>
      <c r="F390" s="11">
        <v>37060</v>
      </c>
      <c r="H390" s="12">
        <f>(PrincipalesVariables[[#This Row],[Base monetaria]]-C389)/C389</f>
        <v>-2.2449140561956593E-4</v>
      </c>
      <c r="I390" s="12">
        <f>(PrincipalesVariables[[#This Row],[Dólar  mayorista]]-E389)/E389</f>
        <v>1.8050541516245102E-3</v>
      </c>
      <c r="J390" s="12">
        <f>(PrincipalesVariables[[#This Row],[Reservas internacionales]]-F389)/F389</f>
        <v>-2.6982542295135047E-5</v>
      </c>
    </row>
    <row r="391" spans="1:10" ht="15.75" thickBot="1" x14ac:dyDescent="0.3">
      <c r="A391" s="14">
        <v>41499</v>
      </c>
      <c r="B391" s="15">
        <v>41499</v>
      </c>
      <c r="C391" s="16">
        <v>330238</v>
      </c>
      <c r="D391" s="10">
        <f>PrincipalesVariables[[#This Row],[Base monetaria]]/1000000</f>
        <v>0.33023799999999998</v>
      </c>
      <c r="E391" s="10">
        <v>5.56</v>
      </c>
      <c r="F391" s="11">
        <v>36993</v>
      </c>
      <c r="H391" s="12">
        <f>(PrincipalesVariables[[#This Row],[Base monetaria]]-C390)/C390</f>
        <v>2.0572885058866368E-3</v>
      </c>
      <c r="I391" s="12">
        <f>(PrincipalesVariables[[#This Row],[Dólar  mayorista]]-E390)/E390</f>
        <v>1.8018018018017634E-3</v>
      </c>
      <c r="J391" s="12">
        <f>(PrincipalesVariables[[#This Row],[Reservas internacionales]]-F390)/F390</f>
        <v>-1.8078791149487318E-3</v>
      </c>
    </row>
    <row r="392" spans="1:10" ht="15.75" thickBot="1" x14ac:dyDescent="0.3">
      <c r="A392" s="14">
        <v>41500</v>
      </c>
      <c r="B392" s="15">
        <v>41500</v>
      </c>
      <c r="C392" s="16">
        <v>324785</v>
      </c>
      <c r="D392" s="10">
        <f>PrincipalesVariables[[#This Row],[Base monetaria]]/1000000</f>
        <v>0.32478499999999999</v>
      </c>
      <c r="E392" s="10">
        <v>5.57</v>
      </c>
      <c r="F392" s="11">
        <v>36963</v>
      </c>
      <c r="H392" s="12">
        <f>(PrincipalesVariables[[#This Row],[Base monetaria]]-C391)/C391</f>
        <v>-1.6512333529151702E-2</v>
      </c>
      <c r="I392" s="12">
        <f>(PrincipalesVariables[[#This Row],[Dólar  mayorista]]-E391)/E391</f>
        <v>1.7985611510792582E-3</v>
      </c>
      <c r="J392" s="12">
        <f>(PrincipalesVariables[[#This Row],[Reservas internacionales]]-F391)/F391</f>
        <v>-8.1096423647717135E-4</v>
      </c>
    </row>
    <row r="393" spans="1:10" ht="15.75" thickBot="1" x14ac:dyDescent="0.3">
      <c r="A393" s="14">
        <v>41501</v>
      </c>
      <c r="B393" s="15">
        <v>41501</v>
      </c>
      <c r="C393" s="16">
        <v>325706</v>
      </c>
      <c r="D393" s="10">
        <f>PrincipalesVariables[[#This Row],[Base monetaria]]/1000000</f>
        <v>0.325706</v>
      </c>
      <c r="E393" s="10">
        <v>5.57</v>
      </c>
      <c r="F393" s="11">
        <v>37024</v>
      </c>
      <c r="H393" s="12">
        <f>(PrincipalesVariables[[#This Row],[Base monetaria]]-C392)/C392</f>
        <v>2.8357220930769586E-3</v>
      </c>
      <c r="I393" s="12">
        <f>(PrincipalesVariables[[#This Row],[Dólar  mayorista]]-E392)/E392</f>
        <v>0</v>
      </c>
      <c r="J393" s="12">
        <f>(PrincipalesVariables[[#This Row],[Reservas internacionales]]-F392)/F392</f>
        <v>1.6502989475962449E-3</v>
      </c>
    </row>
    <row r="394" spans="1:10" ht="15.75" thickBot="1" x14ac:dyDescent="0.3">
      <c r="A394" s="14">
        <v>41502</v>
      </c>
      <c r="B394" s="15">
        <v>41502</v>
      </c>
      <c r="C394" s="16">
        <v>322687</v>
      </c>
      <c r="D394" s="10">
        <f>PrincipalesVariables[[#This Row],[Base monetaria]]/1000000</f>
        <v>0.322687</v>
      </c>
      <c r="E394" s="10">
        <v>5.59</v>
      </c>
      <c r="F394" s="11">
        <v>37056</v>
      </c>
      <c r="H394" s="12">
        <f>(PrincipalesVariables[[#This Row],[Base monetaria]]-C393)/C393</f>
        <v>-9.2690954419015915E-3</v>
      </c>
      <c r="I394" s="12">
        <f>(PrincipalesVariables[[#This Row],[Dólar  mayorista]]-E393)/E393</f>
        <v>3.5906642728904081E-3</v>
      </c>
      <c r="J394" s="12">
        <f>(PrincipalesVariables[[#This Row],[Reservas internacionales]]-F393)/F393</f>
        <v>8.6430423509075197E-4</v>
      </c>
    </row>
    <row r="395" spans="1:10" ht="15.75" thickBot="1" x14ac:dyDescent="0.3">
      <c r="A395" s="14">
        <v>41506</v>
      </c>
      <c r="B395" s="15">
        <v>41506</v>
      </c>
      <c r="C395" s="16">
        <v>328996</v>
      </c>
      <c r="D395" s="10">
        <f>PrincipalesVariables[[#This Row],[Base monetaria]]/1000000</f>
        <v>0.32899600000000001</v>
      </c>
      <c r="E395" s="10">
        <v>5.6</v>
      </c>
      <c r="F395" s="11">
        <v>37083</v>
      </c>
      <c r="H395" s="12">
        <f>(PrincipalesVariables[[#This Row],[Base monetaria]]-C394)/C394</f>
        <v>1.9551453885653901E-2</v>
      </c>
      <c r="I395" s="12">
        <f>(PrincipalesVariables[[#This Row],[Dólar  mayorista]]-E394)/E394</f>
        <v>1.7889087656529135E-3</v>
      </c>
      <c r="J395" s="12">
        <f>(PrincipalesVariables[[#This Row],[Reservas internacionales]]-F394)/F394</f>
        <v>7.2862694300518133E-4</v>
      </c>
    </row>
    <row r="396" spans="1:10" ht="15.75" thickBot="1" x14ac:dyDescent="0.3">
      <c r="A396" s="14">
        <v>41507</v>
      </c>
      <c r="B396" s="15">
        <v>41507</v>
      </c>
      <c r="C396" s="16">
        <v>329911</v>
      </c>
      <c r="D396" s="10">
        <f>PrincipalesVariables[[#This Row],[Base monetaria]]/1000000</f>
        <v>0.32991100000000001</v>
      </c>
      <c r="E396" s="10">
        <v>5.6</v>
      </c>
      <c r="F396" s="11">
        <v>37053</v>
      </c>
      <c r="H396" s="12">
        <f>(PrincipalesVariables[[#This Row],[Base monetaria]]-C395)/C395</f>
        <v>2.7811888290435144E-3</v>
      </c>
      <c r="I396" s="12">
        <f>(PrincipalesVariables[[#This Row],[Dólar  mayorista]]-E395)/E395</f>
        <v>0</v>
      </c>
      <c r="J396" s="12">
        <f>(PrincipalesVariables[[#This Row],[Reservas internacionales]]-F395)/F395</f>
        <v>-8.0899603591942399E-4</v>
      </c>
    </row>
    <row r="397" spans="1:10" ht="15.75" thickBot="1" x14ac:dyDescent="0.3">
      <c r="A397" s="14">
        <v>41508</v>
      </c>
      <c r="B397" s="15">
        <v>41508</v>
      </c>
      <c r="C397" s="16">
        <v>327248</v>
      </c>
      <c r="D397" s="10">
        <f>PrincipalesVariables[[#This Row],[Base monetaria]]/1000000</f>
        <v>0.32724799999999998</v>
      </c>
      <c r="E397" s="10">
        <v>5.61</v>
      </c>
      <c r="F397" s="11">
        <v>37010</v>
      </c>
      <c r="H397" s="12">
        <f>(PrincipalesVariables[[#This Row],[Base monetaria]]-C396)/C396</f>
        <v>-8.0718739296355684E-3</v>
      </c>
      <c r="I397" s="12">
        <f>(PrincipalesVariables[[#This Row],[Dólar  mayorista]]-E396)/E396</f>
        <v>1.7857142857144064E-3</v>
      </c>
      <c r="J397" s="12">
        <f>(PrincipalesVariables[[#This Row],[Reservas internacionales]]-F396)/F396</f>
        <v>-1.1604998245756078E-3</v>
      </c>
    </row>
    <row r="398" spans="1:10" ht="15.75" thickBot="1" x14ac:dyDescent="0.3">
      <c r="A398" s="14">
        <v>41509</v>
      </c>
      <c r="B398" s="15">
        <v>41509</v>
      </c>
      <c r="C398" s="16">
        <v>323202</v>
      </c>
      <c r="D398" s="10">
        <f>PrincipalesVariables[[#This Row],[Base monetaria]]/1000000</f>
        <v>0.32320199999999999</v>
      </c>
      <c r="E398" s="10">
        <v>5.62</v>
      </c>
      <c r="F398" s="11">
        <v>37011</v>
      </c>
      <c r="H398" s="12">
        <f>(PrincipalesVariables[[#This Row],[Base monetaria]]-C397)/C397</f>
        <v>-1.2363711924900992E-2</v>
      </c>
      <c r="I398" s="12">
        <f>(PrincipalesVariables[[#This Row],[Dólar  mayorista]]-E397)/E397</f>
        <v>1.7825311942958621E-3</v>
      </c>
      <c r="J398" s="12">
        <f>(PrincipalesVariables[[#This Row],[Reservas internacionales]]-F397)/F397</f>
        <v>2.7019724398811132E-5</v>
      </c>
    </row>
    <row r="399" spans="1:10" ht="15.75" thickBot="1" x14ac:dyDescent="0.3">
      <c r="A399" s="14">
        <v>41512</v>
      </c>
      <c r="B399" s="15">
        <v>41512</v>
      </c>
      <c r="C399" s="16">
        <v>324674</v>
      </c>
      <c r="D399" s="10">
        <f>PrincipalesVariables[[#This Row],[Base monetaria]]/1000000</f>
        <v>0.32467400000000002</v>
      </c>
      <c r="E399" s="10">
        <v>5.63</v>
      </c>
      <c r="F399" s="11">
        <v>36929</v>
      </c>
      <c r="H399" s="12">
        <f>(PrincipalesVariables[[#This Row],[Base monetaria]]-C398)/C398</f>
        <v>4.5544272622075358E-3</v>
      </c>
      <c r="I399" s="12">
        <f>(PrincipalesVariables[[#This Row],[Dólar  mayorista]]-E398)/E398</f>
        <v>1.7793594306049442E-3</v>
      </c>
      <c r="J399" s="12">
        <f>(PrincipalesVariables[[#This Row],[Reservas internacionales]]-F398)/F398</f>
        <v>-2.2155575369484748E-3</v>
      </c>
    </row>
    <row r="400" spans="1:10" ht="15.75" thickBot="1" x14ac:dyDescent="0.3">
      <c r="A400" s="14">
        <v>41513</v>
      </c>
      <c r="B400" s="15">
        <v>41513</v>
      </c>
      <c r="C400" s="16">
        <v>324126</v>
      </c>
      <c r="D400" s="10">
        <f>PrincipalesVariables[[#This Row],[Base monetaria]]/1000000</f>
        <v>0.32412600000000003</v>
      </c>
      <c r="E400" s="10">
        <v>5.64</v>
      </c>
      <c r="F400" s="11">
        <v>36911</v>
      </c>
      <c r="H400" s="12">
        <f>(PrincipalesVariables[[#This Row],[Base monetaria]]-C399)/C399</f>
        <v>-1.6878468864152966E-3</v>
      </c>
      <c r="I400" s="12">
        <f>(PrincipalesVariables[[#This Row],[Dólar  mayorista]]-E399)/E399</f>
        <v>1.7761989342806016E-3</v>
      </c>
      <c r="J400" s="12">
        <f>(PrincipalesVariables[[#This Row],[Reservas internacionales]]-F399)/F399</f>
        <v>-4.8742180941807253E-4</v>
      </c>
    </row>
    <row r="401" spans="1:10" ht="15.75" thickBot="1" x14ac:dyDescent="0.3">
      <c r="A401" s="14">
        <v>41514</v>
      </c>
      <c r="B401" s="15">
        <v>41514</v>
      </c>
      <c r="C401" s="16">
        <v>321395</v>
      </c>
      <c r="D401" s="10">
        <f>PrincipalesVariables[[#This Row],[Base monetaria]]/1000000</f>
        <v>0.32139499999999999</v>
      </c>
      <c r="E401" s="10">
        <v>5.65</v>
      </c>
      <c r="F401" s="11">
        <v>36878</v>
      </c>
      <c r="H401" s="12">
        <f>(PrincipalesVariables[[#This Row],[Base monetaria]]-C400)/C400</f>
        <v>-8.4257356706959642E-3</v>
      </c>
      <c r="I401" s="12">
        <f>(PrincipalesVariables[[#This Row],[Dólar  mayorista]]-E400)/E400</f>
        <v>1.7730496453901908E-3</v>
      </c>
      <c r="J401" s="12">
        <f>(PrincipalesVariables[[#This Row],[Reservas internacionales]]-F400)/F400</f>
        <v>-8.9404242637696081E-4</v>
      </c>
    </row>
    <row r="402" spans="1:10" ht="15.75" thickBot="1" x14ac:dyDescent="0.3">
      <c r="A402" s="14">
        <v>41515</v>
      </c>
      <c r="B402" s="15">
        <v>41515</v>
      </c>
      <c r="C402" s="16">
        <v>323616</v>
      </c>
      <c r="D402" s="10">
        <f>PrincipalesVariables[[#This Row],[Base monetaria]]/1000000</f>
        <v>0.32361600000000001</v>
      </c>
      <c r="E402" s="10">
        <v>5.66</v>
      </c>
      <c r="F402" s="11">
        <v>36837</v>
      </c>
      <c r="H402" s="12">
        <f>(PrincipalesVariables[[#This Row],[Base monetaria]]-C401)/C401</f>
        <v>6.9104995410631774E-3</v>
      </c>
      <c r="I402" s="12">
        <f>(PrincipalesVariables[[#This Row],[Dólar  mayorista]]-E401)/E401</f>
        <v>1.769911504424741E-3</v>
      </c>
      <c r="J402" s="12">
        <f>(PrincipalesVariables[[#This Row],[Reservas internacionales]]-F401)/F401</f>
        <v>-1.1117739573729595E-3</v>
      </c>
    </row>
    <row r="403" spans="1:10" ht="15.75" thickBot="1" x14ac:dyDescent="0.3">
      <c r="A403" s="14">
        <v>41516</v>
      </c>
      <c r="B403" s="15">
        <v>41516</v>
      </c>
      <c r="C403" s="16">
        <v>321192</v>
      </c>
      <c r="D403" s="10">
        <f>PrincipalesVariables[[#This Row],[Base monetaria]]/1000000</f>
        <v>0.32119199999999998</v>
      </c>
      <c r="E403" s="10">
        <v>5.67</v>
      </c>
      <c r="F403" s="11">
        <v>36678</v>
      </c>
      <c r="H403" s="12">
        <f>(PrincipalesVariables[[#This Row],[Base monetaria]]-C402)/C402</f>
        <v>-7.490358943933551E-3</v>
      </c>
      <c r="I403" s="12">
        <f>(PrincipalesVariables[[#This Row],[Dólar  mayorista]]-E402)/E402</f>
        <v>1.766784452296782E-3</v>
      </c>
      <c r="J403" s="12">
        <f>(PrincipalesVariables[[#This Row],[Reservas internacionales]]-F402)/F402</f>
        <v>-4.3163124032901705E-3</v>
      </c>
    </row>
    <row r="404" spans="1:10" ht="15.75" thickBot="1" x14ac:dyDescent="0.3">
      <c r="A404" s="14">
        <v>41519</v>
      </c>
      <c r="B404" s="15">
        <v>41519</v>
      </c>
      <c r="C404" s="16">
        <v>329808</v>
      </c>
      <c r="D404" s="10">
        <f>PrincipalesVariables[[#This Row],[Base monetaria]]/1000000</f>
        <v>0.32980799999999999</v>
      </c>
      <c r="E404" s="10">
        <v>5.68</v>
      </c>
      <c r="F404" s="11">
        <v>36676</v>
      </c>
      <c r="H404" s="12">
        <f>(PrincipalesVariables[[#This Row],[Base monetaria]]-C403)/C403</f>
        <v>2.6825076589703355E-2</v>
      </c>
      <c r="I404" s="12">
        <f>(PrincipalesVariables[[#This Row],[Dólar  mayorista]]-E403)/E403</f>
        <v>1.7636684303350594E-3</v>
      </c>
      <c r="J404" s="12">
        <f>(PrincipalesVariables[[#This Row],[Reservas internacionales]]-F403)/F403</f>
        <v>-5.452860025083156E-5</v>
      </c>
    </row>
    <row r="405" spans="1:10" ht="15.75" thickBot="1" x14ac:dyDescent="0.3">
      <c r="A405" s="14">
        <v>41520</v>
      </c>
      <c r="B405" s="15">
        <v>41520</v>
      </c>
      <c r="C405" s="16">
        <v>331305</v>
      </c>
      <c r="D405" s="10">
        <f>PrincipalesVariables[[#This Row],[Base monetaria]]/1000000</f>
        <v>0.33130500000000002</v>
      </c>
      <c r="E405" s="10">
        <v>5.69</v>
      </c>
      <c r="F405" s="11">
        <v>36722</v>
      </c>
      <c r="H405" s="12">
        <f>(PrincipalesVariables[[#This Row],[Base monetaria]]-C404)/C404</f>
        <v>4.5390045117159076E-3</v>
      </c>
      <c r="I405" s="12">
        <f>(PrincipalesVariables[[#This Row],[Dólar  mayorista]]-E404)/E404</f>
        <v>1.760563380281809E-3</v>
      </c>
      <c r="J405" s="12">
        <f>(PrincipalesVariables[[#This Row],[Reservas internacionales]]-F404)/F404</f>
        <v>1.2542261969680445E-3</v>
      </c>
    </row>
    <row r="406" spans="1:10" ht="15.75" thickBot="1" x14ac:dyDescent="0.3">
      <c r="A406" s="14">
        <v>41521</v>
      </c>
      <c r="B406" s="15">
        <v>41521</v>
      </c>
      <c r="C406" s="16">
        <v>331374</v>
      </c>
      <c r="D406" s="10">
        <f>PrincipalesVariables[[#This Row],[Base monetaria]]/1000000</f>
        <v>0.331374</v>
      </c>
      <c r="E406" s="10">
        <v>5.7</v>
      </c>
      <c r="F406" s="11">
        <v>36668</v>
      </c>
      <c r="H406" s="12">
        <f>(PrincipalesVariables[[#This Row],[Base monetaria]]-C405)/C405</f>
        <v>2.0826730656042016E-4</v>
      </c>
      <c r="I406" s="12">
        <f>(PrincipalesVariables[[#This Row],[Dólar  mayorista]]-E405)/E405</f>
        <v>1.7574692442881873E-3</v>
      </c>
      <c r="J406" s="12">
        <f>(PrincipalesVariables[[#This Row],[Reservas internacionales]]-F405)/F405</f>
        <v>-1.4705081422580469E-3</v>
      </c>
    </row>
    <row r="407" spans="1:10" ht="15.75" thickBot="1" x14ac:dyDescent="0.3">
      <c r="A407" s="14">
        <v>41522</v>
      </c>
      <c r="B407" s="15">
        <v>41522</v>
      </c>
      <c r="C407" s="16">
        <v>333991</v>
      </c>
      <c r="D407" s="10">
        <f>PrincipalesVariables[[#This Row],[Base monetaria]]/1000000</f>
        <v>0.33399099999999998</v>
      </c>
      <c r="E407" s="10">
        <v>5.71</v>
      </c>
      <c r="F407" s="11">
        <v>36708</v>
      </c>
      <c r="H407" s="12">
        <f>(PrincipalesVariables[[#This Row],[Base monetaria]]-C406)/C406</f>
        <v>7.8974210408782834E-3</v>
      </c>
      <c r="I407" s="12">
        <f>(PrincipalesVariables[[#This Row],[Dólar  mayorista]]-E406)/E406</f>
        <v>1.7543859649122432E-3</v>
      </c>
      <c r="J407" s="12">
        <f>(PrincipalesVariables[[#This Row],[Reservas internacionales]]-F406)/F406</f>
        <v>1.0908694229300752E-3</v>
      </c>
    </row>
    <row r="408" spans="1:10" ht="15.75" thickBot="1" x14ac:dyDescent="0.3">
      <c r="A408" s="14">
        <v>41523</v>
      </c>
      <c r="B408" s="15">
        <v>41523</v>
      </c>
      <c r="C408" s="16">
        <v>334005</v>
      </c>
      <c r="D408" s="10">
        <f>PrincipalesVariables[[#This Row],[Base monetaria]]/1000000</f>
        <v>0.334005</v>
      </c>
      <c r="E408" s="10">
        <v>5.7</v>
      </c>
      <c r="F408" s="11">
        <v>36717</v>
      </c>
      <c r="H408" s="12">
        <f>(PrincipalesVariables[[#This Row],[Base monetaria]]-C407)/C407</f>
        <v>4.1917297172678303E-5</v>
      </c>
      <c r="I408" s="12">
        <f>(PrincipalesVariables[[#This Row],[Dólar  mayorista]]-E407)/E407</f>
        <v>-1.7513134851137981E-3</v>
      </c>
      <c r="J408" s="12">
        <f>(PrincipalesVariables[[#This Row],[Reservas internacionales]]-F407)/F407</f>
        <v>2.451781627983001E-4</v>
      </c>
    </row>
    <row r="409" spans="1:10" ht="15.75" thickBot="1" x14ac:dyDescent="0.3">
      <c r="A409" s="14">
        <v>41526</v>
      </c>
      <c r="B409" s="15">
        <v>41526</v>
      </c>
      <c r="C409" s="16">
        <v>332801</v>
      </c>
      <c r="D409" s="10">
        <f>PrincipalesVariables[[#This Row],[Base monetaria]]/1000000</f>
        <v>0.33280100000000001</v>
      </c>
      <c r="E409" s="10">
        <v>5.7</v>
      </c>
      <c r="F409" s="11">
        <v>36652</v>
      </c>
      <c r="H409" s="12">
        <f>(PrincipalesVariables[[#This Row],[Base monetaria]]-C408)/C408</f>
        <v>-3.6047364560410772E-3</v>
      </c>
      <c r="I409" s="12">
        <f>(PrincipalesVariables[[#This Row],[Dólar  mayorista]]-E408)/E408</f>
        <v>0</v>
      </c>
      <c r="J409" s="12">
        <f>(PrincipalesVariables[[#This Row],[Reservas internacionales]]-F408)/F408</f>
        <v>-1.7702971375657052E-3</v>
      </c>
    </row>
    <row r="410" spans="1:10" ht="15.75" thickBot="1" x14ac:dyDescent="0.3">
      <c r="A410" s="14">
        <v>41527</v>
      </c>
      <c r="B410" s="15">
        <v>41527</v>
      </c>
      <c r="C410" s="16">
        <v>336493</v>
      </c>
      <c r="D410" s="10">
        <f>PrincipalesVariables[[#This Row],[Base monetaria]]/1000000</f>
        <v>0.33649299999999999</v>
      </c>
      <c r="E410" s="10">
        <v>5.71</v>
      </c>
      <c r="F410" s="11">
        <v>36578</v>
      </c>
      <c r="H410" s="12">
        <f>(PrincipalesVariables[[#This Row],[Base monetaria]]-C409)/C409</f>
        <v>1.1093716665514827E-2</v>
      </c>
      <c r="I410" s="12">
        <f>(PrincipalesVariables[[#This Row],[Dólar  mayorista]]-E409)/E409</f>
        <v>1.7543859649122432E-3</v>
      </c>
      <c r="J410" s="12">
        <f>(PrincipalesVariables[[#This Row],[Reservas internacionales]]-F409)/F409</f>
        <v>-2.0189894139473973E-3</v>
      </c>
    </row>
    <row r="411" spans="1:10" ht="15.75" thickBot="1" x14ac:dyDescent="0.3">
      <c r="A411" s="14">
        <v>41528</v>
      </c>
      <c r="B411" s="15">
        <v>41528</v>
      </c>
      <c r="C411" s="16">
        <v>334120</v>
      </c>
      <c r="D411" s="10">
        <f>PrincipalesVariables[[#This Row],[Base monetaria]]/1000000</f>
        <v>0.33411999999999997</v>
      </c>
      <c r="E411" s="10">
        <v>5.72</v>
      </c>
      <c r="F411" s="11">
        <v>36491</v>
      </c>
      <c r="H411" s="12">
        <f>(PrincipalesVariables[[#This Row],[Base monetaria]]-C410)/C410</f>
        <v>-7.0521526450773118E-3</v>
      </c>
      <c r="I411" s="12">
        <f>(PrincipalesVariables[[#This Row],[Dólar  mayorista]]-E410)/E410</f>
        <v>1.7513134851137981E-3</v>
      </c>
      <c r="J411" s="12">
        <f>(PrincipalesVariables[[#This Row],[Reservas internacionales]]-F410)/F410</f>
        <v>-2.378478867078572E-3</v>
      </c>
    </row>
    <row r="412" spans="1:10" ht="15.75" thickBot="1" x14ac:dyDescent="0.3">
      <c r="A412" s="14">
        <v>41529</v>
      </c>
      <c r="B412" s="15">
        <v>41529</v>
      </c>
      <c r="C412" s="16">
        <v>333573</v>
      </c>
      <c r="D412" s="10">
        <f>PrincipalesVariables[[#This Row],[Base monetaria]]/1000000</f>
        <v>0.33357300000000001</v>
      </c>
      <c r="E412" s="10">
        <v>5.72</v>
      </c>
      <c r="F412" s="11">
        <v>35261</v>
      </c>
      <c r="H412" s="12">
        <f>(PrincipalesVariables[[#This Row],[Base monetaria]]-C411)/C411</f>
        <v>-1.6371363581946605E-3</v>
      </c>
      <c r="I412" s="12">
        <f>(PrincipalesVariables[[#This Row],[Dólar  mayorista]]-E411)/E411</f>
        <v>0</v>
      </c>
      <c r="J412" s="12">
        <f>(PrincipalesVariables[[#This Row],[Reservas internacionales]]-F411)/F411</f>
        <v>-3.3706941437614754E-2</v>
      </c>
    </row>
    <row r="413" spans="1:10" ht="15.75" thickBot="1" x14ac:dyDescent="0.3">
      <c r="A413" s="14">
        <v>41530</v>
      </c>
      <c r="B413" s="15">
        <v>41530</v>
      </c>
      <c r="C413" s="16">
        <v>332781</v>
      </c>
      <c r="D413" s="10">
        <f>PrincipalesVariables[[#This Row],[Base monetaria]]/1000000</f>
        <v>0.33278099999999999</v>
      </c>
      <c r="E413" s="10">
        <v>5.72</v>
      </c>
      <c r="F413" s="11">
        <v>35195</v>
      </c>
      <c r="H413" s="12">
        <f>(PrincipalesVariables[[#This Row],[Base monetaria]]-C412)/C412</f>
        <v>-2.3742928834168233E-3</v>
      </c>
      <c r="I413" s="12">
        <f>(PrincipalesVariables[[#This Row],[Dólar  mayorista]]-E412)/E412</f>
        <v>0</v>
      </c>
      <c r="J413" s="12">
        <f>(PrincipalesVariables[[#This Row],[Reservas internacionales]]-F412)/F412</f>
        <v>-1.8717563313575905E-3</v>
      </c>
    </row>
    <row r="414" spans="1:10" ht="15.75" thickBot="1" x14ac:dyDescent="0.3">
      <c r="A414" s="14">
        <v>41533</v>
      </c>
      <c r="B414" s="15">
        <v>41533</v>
      </c>
      <c r="C414" s="16">
        <v>331705</v>
      </c>
      <c r="D414" s="10">
        <f>PrincipalesVariables[[#This Row],[Base monetaria]]/1000000</f>
        <v>0.33170500000000003</v>
      </c>
      <c r="E414" s="10">
        <v>5.73</v>
      </c>
      <c r="F414" s="11">
        <v>35150</v>
      </c>
      <c r="H414" s="12">
        <f>(PrincipalesVariables[[#This Row],[Base monetaria]]-C413)/C413</f>
        <v>-3.2333576736652634E-3</v>
      </c>
      <c r="I414" s="12">
        <f>(PrincipalesVariables[[#This Row],[Dólar  mayorista]]-E413)/E413</f>
        <v>1.7482517482518664E-3</v>
      </c>
      <c r="J414" s="12">
        <f>(PrincipalesVariables[[#This Row],[Reservas internacionales]]-F413)/F413</f>
        <v>-1.2785907089075152E-3</v>
      </c>
    </row>
    <row r="415" spans="1:10" ht="15.75" thickBot="1" x14ac:dyDescent="0.3">
      <c r="A415" s="14">
        <v>41534</v>
      </c>
      <c r="B415" s="15">
        <v>41534</v>
      </c>
      <c r="C415" s="16">
        <v>332182</v>
      </c>
      <c r="D415" s="10">
        <f>PrincipalesVariables[[#This Row],[Base monetaria]]/1000000</f>
        <v>0.33218199999999998</v>
      </c>
      <c r="E415" s="10">
        <v>5.74</v>
      </c>
      <c r="F415" s="11">
        <v>34965</v>
      </c>
      <c r="H415" s="12">
        <f>(PrincipalesVariables[[#This Row],[Base monetaria]]-C414)/C414</f>
        <v>1.4380247509081865E-3</v>
      </c>
      <c r="I415" s="12">
        <f>(PrincipalesVariables[[#This Row],[Dólar  mayorista]]-E414)/E414</f>
        <v>1.745200698080242E-3</v>
      </c>
      <c r="J415" s="12">
        <f>(PrincipalesVariables[[#This Row],[Reservas internacionales]]-F414)/F414</f>
        <v>-5.263157894736842E-3</v>
      </c>
    </row>
    <row r="416" spans="1:10" ht="15.75" thickBot="1" x14ac:dyDescent="0.3">
      <c r="A416" s="14">
        <v>41535</v>
      </c>
      <c r="B416" s="15">
        <v>41535</v>
      </c>
      <c r="C416" s="16">
        <v>330629</v>
      </c>
      <c r="D416" s="10">
        <f>PrincipalesVariables[[#This Row],[Base monetaria]]/1000000</f>
        <v>0.33062900000000001</v>
      </c>
      <c r="E416" s="10">
        <v>5.75</v>
      </c>
      <c r="F416" s="11">
        <v>35107</v>
      </c>
      <c r="H416" s="12">
        <f>(PrincipalesVariables[[#This Row],[Base monetaria]]-C415)/C415</f>
        <v>-4.6751479610574924E-3</v>
      </c>
      <c r="I416" s="12">
        <f>(PrincipalesVariables[[#This Row],[Dólar  mayorista]]-E415)/E415</f>
        <v>1.7421602787456073E-3</v>
      </c>
      <c r="J416" s="12">
        <f>(PrincipalesVariables[[#This Row],[Reservas internacionales]]-F415)/F415</f>
        <v>4.0612040612040615E-3</v>
      </c>
    </row>
    <row r="417" spans="1:10" ht="15.75" thickBot="1" x14ac:dyDescent="0.3">
      <c r="A417" s="14">
        <v>41536</v>
      </c>
      <c r="B417" s="15">
        <v>41536</v>
      </c>
      <c r="C417" s="16">
        <v>329474</v>
      </c>
      <c r="D417" s="10">
        <f>PrincipalesVariables[[#This Row],[Base monetaria]]/1000000</f>
        <v>0.32947399999999999</v>
      </c>
      <c r="E417" s="10">
        <v>5.76</v>
      </c>
      <c r="F417" s="11">
        <v>35179</v>
      </c>
      <c r="H417" s="12">
        <f>(PrincipalesVariables[[#This Row],[Base monetaria]]-C416)/C416</f>
        <v>-3.4933414794225551E-3</v>
      </c>
      <c r="I417" s="12">
        <f>(PrincipalesVariables[[#This Row],[Dólar  mayorista]]-E416)/E416</f>
        <v>1.7391304347825717E-3</v>
      </c>
      <c r="J417" s="12">
        <f>(PrincipalesVariables[[#This Row],[Reservas internacionales]]-F416)/F416</f>
        <v>2.0508730452616286E-3</v>
      </c>
    </row>
    <row r="418" spans="1:10" ht="15.75" thickBot="1" x14ac:dyDescent="0.3">
      <c r="A418" s="14">
        <v>41537</v>
      </c>
      <c r="B418" s="15">
        <v>41537</v>
      </c>
      <c r="C418" s="16">
        <v>325233</v>
      </c>
      <c r="D418" s="10">
        <f>PrincipalesVariables[[#This Row],[Base monetaria]]/1000000</f>
        <v>0.32523299999999999</v>
      </c>
      <c r="E418" s="10">
        <v>5.76</v>
      </c>
      <c r="F418" s="11">
        <v>35000</v>
      </c>
      <c r="H418" s="12">
        <f>(PrincipalesVariables[[#This Row],[Base monetaria]]-C417)/C417</f>
        <v>-1.2872032391023268E-2</v>
      </c>
      <c r="I418" s="12">
        <f>(PrincipalesVariables[[#This Row],[Dólar  mayorista]]-E417)/E417</f>
        <v>0</v>
      </c>
      <c r="J418" s="12">
        <f>(PrincipalesVariables[[#This Row],[Reservas internacionales]]-F417)/F417</f>
        <v>-5.0882628841069956E-3</v>
      </c>
    </row>
    <row r="419" spans="1:10" ht="15.75" thickBot="1" x14ac:dyDescent="0.3">
      <c r="A419" s="14">
        <v>41540</v>
      </c>
      <c r="B419" s="15">
        <v>41540</v>
      </c>
      <c r="C419" s="16">
        <v>321927</v>
      </c>
      <c r="D419" s="10">
        <f>PrincipalesVariables[[#This Row],[Base monetaria]]/1000000</f>
        <v>0.32192700000000002</v>
      </c>
      <c r="E419" s="10">
        <v>5.77</v>
      </c>
      <c r="F419" s="11">
        <v>35021</v>
      </c>
      <c r="H419" s="12">
        <f>(PrincipalesVariables[[#This Row],[Base monetaria]]-C418)/C418</f>
        <v>-1.0165020154781341E-2</v>
      </c>
      <c r="I419" s="12">
        <f>(PrincipalesVariables[[#This Row],[Dólar  mayorista]]-E418)/E418</f>
        <v>1.7361111111110742E-3</v>
      </c>
      <c r="J419" s="12">
        <f>(PrincipalesVariables[[#This Row],[Reservas internacionales]]-F418)/F418</f>
        <v>5.9999999999999995E-4</v>
      </c>
    </row>
    <row r="420" spans="1:10" ht="15.75" thickBot="1" x14ac:dyDescent="0.3">
      <c r="A420" s="14">
        <v>41541</v>
      </c>
      <c r="B420" s="15">
        <v>41541</v>
      </c>
      <c r="C420" s="16">
        <v>321744</v>
      </c>
      <c r="D420" s="10">
        <f>PrincipalesVariables[[#This Row],[Base monetaria]]/1000000</f>
        <v>0.32174399999999997</v>
      </c>
      <c r="E420" s="10">
        <v>5.77</v>
      </c>
      <c r="F420" s="11">
        <v>35059</v>
      </c>
      <c r="H420" s="12">
        <f>(PrincipalesVariables[[#This Row],[Base monetaria]]-C419)/C419</f>
        <v>-5.6845185399174351E-4</v>
      </c>
      <c r="I420" s="12">
        <f>(PrincipalesVariables[[#This Row],[Dólar  mayorista]]-E419)/E419</f>
        <v>0</v>
      </c>
      <c r="J420" s="12">
        <f>(PrincipalesVariables[[#This Row],[Reservas internacionales]]-F419)/F419</f>
        <v>1.0850632477656264E-3</v>
      </c>
    </row>
    <row r="421" spans="1:10" ht="15.75" thickBot="1" x14ac:dyDescent="0.3">
      <c r="A421" s="14">
        <v>41542</v>
      </c>
      <c r="B421" s="15">
        <v>41542</v>
      </c>
      <c r="C421" s="16">
        <v>323056</v>
      </c>
      <c r="D421" s="10">
        <f>PrincipalesVariables[[#This Row],[Base monetaria]]/1000000</f>
        <v>0.32305600000000001</v>
      </c>
      <c r="E421" s="10">
        <v>5.77</v>
      </c>
      <c r="F421" s="11">
        <v>34994</v>
      </c>
      <c r="H421" s="12">
        <f>(PrincipalesVariables[[#This Row],[Base monetaria]]-C420)/C420</f>
        <v>4.0777761201452089E-3</v>
      </c>
      <c r="I421" s="12">
        <f>(PrincipalesVariables[[#This Row],[Dólar  mayorista]]-E420)/E420</f>
        <v>0</v>
      </c>
      <c r="J421" s="12">
        <f>(PrincipalesVariables[[#This Row],[Reservas internacionales]]-F420)/F420</f>
        <v>-1.8540175133346644E-3</v>
      </c>
    </row>
    <row r="422" spans="1:10" ht="15.75" thickBot="1" x14ac:dyDescent="0.3">
      <c r="A422" s="14">
        <v>41543</v>
      </c>
      <c r="B422" s="15">
        <v>41543</v>
      </c>
      <c r="C422" s="16">
        <v>324612</v>
      </c>
      <c r="D422" s="10">
        <f>PrincipalesVariables[[#This Row],[Base monetaria]]/1000000</f>
        <v>0.32461200000000001</v>
      </c>
      <c r="E422" s="10">
        <v>5.78</v>
      </c>
      <c r="F422" s="11">
        <v>34891</v>
      </c>
      <c r="H422" s="12">
        <f>(PrincipalesVariables[[#This Row],[Base monetaria]]-C421)/C421</f>
        <v>4.8165024020603237E-3</v>
      </c>
      <c r="I422" s="12">
        <f>(PrincipalesVariables[[#This Row],[Dólar  mayorista]]-E421)/E421</f>
        <v>1.7331022530330462E-3</v>
      </c>
      <c r="J422" s="12">
        <f>(PrincipalesVariables[[#This Row],[Reservas internacionales]]-F421)/F421</f>
        <v>-2.9433617191518546E-3</v>
      </c>
    </row>
    <row r="423" spans="1:10" ht="15.75" thickBot="1" x14ac:dyDescent="0.3">
      <c r="A423" s="14">
        <v>41544</v>
      </c>
      <c r="B423" s="15">
        <v>41544</v>
      </c>
      <c r="C423" s="16">
        <v>329860</v>
      </c>
      <c r="D423" s="10">
        <f>PrincipalesVariables[[#This Row],[Base monetaria]]/1000000</f>
        <v>0.32985999999999999</v>
      </c>
      <c r="E423" s="10">
        <v>5.79</v>
      </c>
      <c r="F423" s="11">
        <v>34692</v>
      </c>
      <c r="H423" s="12">
        <f>(PrincipalesVariables[[#This Row],[Base monetaria]]-C422)/C422</f>
        <v>1.6166993210355748E-2</v>
      </c>
      <c r="I423" s="12">
        <f>(PrincipalesVariables[[#This Row],[Dólar  mayorista]]-E422)/E422</f>
        <v>1.7301038062283367E-3</v>
      </c>
      <c r="J423" s="12">
        <f>(PrincipalesVariables[[#This Row],[Reservas internacionales]]-F422)/F422</f>
        <v>-5.703476541228397E-3</v>
      </c>
    </row>
    <row r="424" spans="1:10" ht="15.75" thickBot="1" x14ac:dyDescent="0.3">
      <c r="A424" s="14">
        <v>41547</v>
      </c>
      <c r="B424" s="15">
        <v>41547</v>
      </c>
      <c r="C424" s="16">
        <v>327433</v>
      </c>
      <c r="D424" s="10">
        <f>PrincipalesVariables[[#This Row],[Base monetaria]]/1000000</f>
        <v>0.32743299999999997</v>
      </c>
      <c r="E424" s="10">
        <v>5.79</v>
      </c>
      <c r="F424" s="11">
        <v>34741</v>
      </c>
      <c r="H424" s="12">
        <f>(PrincipalesVariables[[#This Row],[Base monetaria]]-C423)/C423</f>
        <v>-7.3576668889832053E-3</v>
      </c>
      <c r="I424" s="12">
        <f>(PrincipalesVariables[[#This Row],[Dólar  mayorista]]-E423)/E423</f>
        <v>0</v>
      </c>
      <c r="J424" s="12">
        <f>(PrincipalesVariables[[#This Row],[Reservas internacionales]]-F423)/F423</f>
        <v>1.4124293785310734E-3</v>
      </c>
    </row>
    <row r="425" spans="1:10" ht="15.75" thickBot="1" x14ac:dyDescent="0.3">
      <c r="A425" s="14">
        <v>41548</v>
      </c>
      <c r="B425" s="15">
        <v>41548</v>
      </c>
      <c r="C425" s="16">
        <v>337997</v>
      </c>
      <c r="D425" s="10">
        <f>PrincipalesVariables[[#This Row],[Base monetaria]]/1000000</f>
        <v>0.33799699999999999</v>
      </c>
      <c r="E425" s="10">
        <v>5.8</v>
      </c>
      <c r="F425" s="11">
        <v>34825</v>
      </c>
      <c r="H425" s="12">
        <f>(PrincipalesVariables[[#This Row],[Base monetaria]]-C424)/C424</f>
        <v>3.2263088937278771E-2</v>
      </c>
      <c r="I425" s="12">
        <f>(PrincipalesVariables[[#This Row],[Dólar  mayorista]]-E424)/E424</f>
        <v>1.7271157167529857E-3</v>
      </c>
      <c r="J425" s="12">
        <f>(PrincipalesVariables[[#This Row],[Reservas internacionales]]-F424)/F424</f>
        <v>2.4178924037880313E-3</v>
      </c>
    </row>
    <row r="426" spans="1:10" ht="15.75" thickBot="1" x14ac:dyDescent="0.3">
      <c r="A426" s="14">
        <v>41549</v>
      </c>
      <c r="B426" s="15">
        <v>41549</v>
      </c>
      <c r="C426" s="16">
        <v>338653</v>
      </c>
      <c r="D426" s="10">
        <f>PrincipalesVariables[[#This Row],[Base monetaria]]/1000000</f>
        <v>0.33865299999999998</v>
      </c>
      <c r="E426" s="10">
        <v>5.8</v>
      </c>
      <c r="F426" s="11">
        <v>34714</v>
      </c>
      <c r="H426" s="12">
        <f>(PrincipalesVariables[[#This Row],[Base monetaria]]-C425)/C425</f>
        <v>1.9408456288073563E-3</v>
      </c>
      <c r="I426" s="12">
        <f>(PrincipalesVariables[[#This Row],[Dólar  mayorista]]-E425)/E425</f>
        <v>0</v>
      </c>
      <c r="J426" s="12">
        <f>(PrincipalesVariables[[#This Row],[Reservas internacionales]]-F425)/F425</f>
        <v>-3.1873653984206747E-3</v>
      </c>
    </row>
    <row r="427" spans="1:10" ht="15.75" thickBot="1" x14ac:dyDescent="0.3">
      <c r="A427" s="14">
        <v>41550</v>
      </c>
      <c r="B427" s="15">
        <v>41550</v>
      </c>
      <c r="C427" s="16">
        <v>338979</v>
      </c>
      <c r="D427" s="10">
        <f>PrincipalesVariables[[#This Row],[Base monetaria]]/1000000</f>
        <v>0.33897899999999997</v>
      </c>
      <c r="E427" s="10">
        <v>5.81</v>
      </c>
      <c r="F427" s="11">
        <v>34615</v>
      </c>
      <c r="H427" s="12">
        <f>(PrincipalesVariables[[#This Row],[Base monetaria]]-C426)/C426</f>
        <v>9.6263727177966823E-4</v>
      </c>
      <c r="I427" s="12">
        <f>(PrincipalesVariables[[#This Row],[Dólar  mayorista]]-E426)/E426</f>
        <v>1.7241379310344461E-3</v>
      </c>
      <c r="J427" s="12">
        <f>(PrincipalesVariables[[#This Row],[Reservas internacionales]]-F426)/F426</f>
        <v>-2.8518753240767414E-3</v>
      </c>
    </row>
    <row r="428" spans="1:10" ht="15.75" thickBot="1" x14ac:dyDescent="0.3">
      <c r="A428" s="14">
        <v>41551</v>
      </c>
      <c r="B428" s="15">
        <v>41551</v>
      </c>
      <c r="C428" s="16">
        <v>340778</v>
      </c>
      <c r="D428" s="10">
        <f>PrincipalesVariables[[#This Row],[Base monetaria]]/1000000</f>
        <v>0.34077800000000003</v>
      </c>
      <c r="E428" s="10">
        <v>5.81</v>
      </c>
      <c r="F428" s="11">
        <v>34746</v>
      </c>
      <c r="H428" s="12">
        <f>(PrincipalesVariables[[#This Row],[Base monetaria]]-C427)/C427</f>
        <v>5.3071134200053695E-3</v>
      </c>
      <c r="I428" s="12">
        <f>(PrincipalesVariables[[#This Row],[Dólar  mayorista]]-E427)/E427</f>
        <v>0</v>
      </c>
      <c r="J428" s="12">
        <f>(PrincipalesVariables[[#This Row],[Reservas internacionales]]-F427)/F427</f>
        <v>3.7844864942943811E-3</v>
      </c>
    </row>
    <row r="429" spans="1:10" ht="15.75" thickBot="1" x14ac:dyDescent="0.3">
      <c r="A429" s="14">
        <v>41554</v>
      </c>
      <c r="B429" s="15">
        <v>41554</v>
      </c>
      <c r="C429" s="16">
        <v>340854</v>
      </c>
      <c r="D429" s="10">
        <f>PrincipalesVariables[[#This Row],[Base monetaria]]/1000000</f>
        <v>0.34085399999999999</v>
      </c>
      <c r="E429" s="10">
        <v>5.82</v>
      </c>
      <c r="F429" s="11">
        <v>34707</v>
      </c>
      <c r="H429" s="12">
        <f>(PrincipalesVariables[[#This Row],[Base monetaria]]-C428)/C428</f>
        <v>2.2301909160802634E-4</v>
      </c>
      <c r="I429" s="12">
        <f>(PrincipalesVariables[[#This Row],[Dólar  mayorista]]-E428)/E428</f>
        <v>1.7211703958693073E-3</v>
      </c>
      <c r="J429" s="12">
        <f>(PrincipalesVariables[[#This Row],[Reservas internacionales]]-F428)/F428</f>
        <v>-1.1224313590053531E-3</v>
      </c>
    </row>
    <row r="430" spans="1:10" ht="15.75" thickBot="1" x14ac:dyDescent="0.3">
      <c r="A430" s="14">
        <v>41555</v>
      </c>
      <c r="B430" s="15">
        <v>41555</v>
      </c>
      <c r="C430" s="16">
        <v>341210</v>
      </c>
      <c r="D430" s="10">
        <f>PrincipalesVariables[[#This Row],[Base monetaria]]/1000000</f>
        <v>0.34121000000000001</v>
      </c>
      <c r="E430" s="10">
        <v>5.82</v>
      </c>
      <c r="F430" s="11">
        <v>34632</v>
      </c>
      <c r="H430" s="12">
        <f>(PrincipalesVariables[[#This Row],[Base monetaria]]-C429)/C429</f>
        <v>1.0444354474349721E-3</v>
      </c>
      <c r="I430" s="12">
        <f>(PrincipalesVariables[[#This Row],[Dólar  mayorista]]-E429)/E429</f>
        <v>0</v>
      </c>
      <c r="J430" s="12">
        <f>(PrincipalesVariables[[#This Row],[Reservas internacionales]]-F429)/F429</f>
        <v>-2.160947359322327E-3</v>
      </c>
    </row>
    <row r="431" spans="1:10" ht="15.75" thickBot="1" x14ac:dyDescent="0.3">
      <c r="A431" s="14">
        <v>41556</v>
      </c>
      <c r="B431" s="15">
        <v>41556</v>
      </c>
      <c r="C431" s="16">
        <v>339475</v>
      </c>
      <c r="D431" s="10">
        <f>PrincipalesVariables[[#This Row],[Base monetaria]]/1000000</f>
        <v>0.33947500000000003</v>
      </c>
      <c r="E431" s="10">
        <v>5.82</v>
      </c>
      <c r="F431" s="11">
        <v>34678</v>
      </c>
      <c r="H431" s="12">
        <f>(PrincipalesVariables[[#This Row],[Base monetaria]]-C430)/C430</f>
        <v>-5.0848451100495295E-3</v>
      </c>
      <c r="I431" s="12">
        <f>(PrincipalesVariables[[#This Row],[Dólar  mayorista]]-E430)/E430</f>
        <v>0</v>
      </c>
      <c r="J431" s="12">
        <f>(PrincipalesVariables[[#This Row],[Reservas internacionales]]-F430)/F430</f>
        <v>1.3282513282513282E-3</v>
      </c>
    </row>
    <row r="432" spans="1:10" ht="15.75" thickBot="1" x14ac:dyDescent="0.3">
      <c r="A432" s="14">
        <v>41557</v>
      </c>
      <c r="B432" s="15">
        <v>41557</v>
      </c>
      <c r="C432" s="16">
        <v>340714</v>
      </c>
      <c r="D432" s="10">
        <f>PrincipalesVariables[[#This Row],[Base monetaria]]/1000000</f>
        <v>0.34071400000000002</v>
      </c>
      <c r="E432" s="10">
        <v>5.83</v>
      </c>
      <c r="F432" s="11">
        <v>34538</v>
      </c>
      <c r="H432" s="12">
        <f>(PrincipalesVariables[[#This Row],[Base monetaria]]-C431)/C431</f>
        <v>3.6497532955298622E-3</v>
      </c>
      <c r="I432" s="12">
        <f>(PrincipalesVariables[[#This Row],[Dólar  mayorista]]-E431)/E431</f>
        <v>1.7182130584192073E-3</v>
      </c>
      <c r="J432" s="12">
        <f>(PrincipalesVariables[[#This Row],[Reservas internacionales]]-F431)/F431</f>
        <v>-4.0371417036737991E-3</v>
      </c>
    </row>
    <row r="433" spans="1:10" ht="15.75" thickBot="1" x14ac:dyDescent="0.3">
      <c r="A433" s="14">
        <v>41558</v>
      </c>
      <c r="B433" s="15">
        <v>41558</v>
      </c>
      <c r="C433" s="16">
        <v>337942</v>
      </c>
      <c r="D433" s="10">
        <f>PrincipalesVariables[[#This Row],[Base monetaria]]/1000000</f>
        <v>0.33794200000000002</v>
      </c>
      <c r="E433" s="10">
        <v>5.83</v>
      </c>
      <c r="F433" s="11">
        <v>34402</v>
      </c>
      <c r="H433" s="12">
        <f>(PrincipalesVariables[[#This Row],[Base monetaria]]-C432)/C432</f>
        <v>-8.1358558791244269E-3</v>
      </c>
      <c r="I433" s="12">
        <f>(PrincipalesVariables[[#This Row],[Dólar  mayorista]]-E432)/E432</f>
        <v>0</v>
      </c>
      <c r="J433" s="12">
        <f>(PrincipalesVariables[[#This Row],[Reservas internacionales]]-F432)/F432</f>
        <v>-3.9376918177080316E-3</v>
      </c>
    </row>
    <row r="434" spans="1:10" ht="15.75" thickBot="1" x14ac:dyDescent="0.3">
      <c r="A434" s="14">
        <v>41562</v>
      </c>
      <c r="B434" s="15">
        <v>41562</v>
      </c>
      <c r="C434" s="16">
        <v>337381</v>
      </c>
      <c r="D434" s="10">
        <f>PrincipalesVariables[[#This Row],[Base monetaria]]/1000000</f>
        <v>0.33738099999999999</v>
      </c>
      <c r="E434" s="10">
        <v>5.84</v>
      </c>
      <c r="F434" s="11">
        <v>34387</v>
      </c>
      <c r="H434" s="12">
        <f>(PrincipalesVariables[[#This Row],[Base monetaria]]-C433)/C433</f>
        <v>-1.6600481739470086E-3</v>
      </c>
      <c r="I434" s="12">
        <f>(PrincipalesVariables[[#This Row],[Dólar  mayorista]]-E433)/E433</f>
        <v>1.7152658662092258E-3</v>
      </c>
      <c r="J434" s="12">
        <f>(PrincipalesVariables[[#This Row],[Reservas internacionales]]-F433)/F433</f>
        <v>-4.3602116156037438E-4</v>
      </c>
    </row>
    <row r="435" spans="1:10" ht="15.75" thickBot="1" x14ac:dyDescent="0.3">
      <c r="A435" s="14">
        <v>41563</v>
      </c>
      <c r="B435" s="15">
        <v>41563</v>
      </c>
      <c r="C435" s="16">
        <v>336165</v>
      </c>
      <c r="D435" s="10">
        <f>PrincipalesVariables[[#This Row],[Base monetaria]]/1000000</f>
        <v>0.33616499999999999</v>
      </c>
      <c r="E435" s="10">
        <v>5.84</v>
      </c>
      <c r="F435" s="11">
        <v>34410</v>
      </c>
      <c r="H435" s="12">
        <f>(PrincipalesVariables[[#This Row],[Base monetaria]]-C434)/C434</f>
        <v>-3.6042337890989712E-3</v>
      </c>
      <c r="I435" s="12">
        <f>(PrincipalesVariables[[#This Row],[Dólar  mayorista]]-E434)/E434</f>
        <v>0</v>
      </c>
      <c r="J435" s="12">
        <f>(PrincipalesVariables[[#This Row],[Reservas internacionales]]-F434)/F434</f>
        <v>6.688574170471399E-4</v>
      </c>
    </row>
    <row r="436" spans="1:10" ht="15.75" thickBot="1" x14ac:dyDescent="0.3">
      <c r="A436" s="14">
        <v>41564</v>
      </c>
      <c r="B436" s="15">
        <v>41564</v>
      </c>
      <c r="C436" s="16">
        <v>335885</v>
      </c>
      <c r="D436" s="10">
        <f>PrincipalesVariables[[#This Row],[Base monetaria]]/1000000</f>
        <v>0.33588499999999999</v>
      </c>
      <c r="E436" s="10">
        <v>5.85</v>
      </c>
      <c r="F436" s="11">
        <v>34339</v>
      </c>
      <c r="H436" s="12">
        <f>(PrincipalesVariables[[#This Row],[Base monetaria]]-C435)/C435</f>
        <v>-8.3292430800351014E-4</v>
      </c>
      <c r="I436" s="12">
        <f>(PrincipalesVariables[[#This Row],[Dólar  mayorista]]-E435)/E435</f>
        <v>1.7123287671232511E-3</v>
      </c>
      <c r="J436" s="12">
        <f>(PrincipalesVariables[[#This Row],[Reservas internacionales]]-F435)/F435</f>
        <v>-2.063353676256902E-3</v>
      </c>
    </row>
    <row r="437" spans="1:10" ht="15.75" thickBot="1" x14ac:dyDescent="0.3">
      <c r="A437" s="14">
        <v>41565</v>
      </c>
      <c r="B437" s="15">
        <v>41565</v>
      </c>
      <c r="C437" s="16">
        <v>335247</v>
      </c>
      <c r="D437" s="10">
        <f>PrincipalesVariables[[#This Row],[Base monetaria]]/1000000</f>
        <v>0.33524700000000002</v>
      </c>
      <c r="E437" s="10">
        <v>5.85</v>
      </c>
      <c r="F437" s="11">
        <v>34247</v>
      </c>
      <c r="H437" s="12">
        <f>(PrincipalesVariables[[#This Row],[Base monetaria]]-C436)/C436</f>
        <v>-1.8994596364827246E-3</v>
      </c>
      <c r="I437" s="12">
        <f>(PrincipalesVariables[[#This Row],[Dólar  mayorista]]-E436)/E436</f>
        <v>0</v>
      </c>
      <c r="J437" s="12">
        <f>(PrincipalesVariables[[#This Row],[Reservas internacionales]]-F436)/F436</f>
        <v>-2.6791694574681848E-3</v>
      </c>
    </row>
    <row r="438" spans="1:10" ht="15.75" thickBot="1" x14ac:dyDescent="0.3">
      <c r="A438" s="14">
        <v>41568</v>
      </c>
      <c r="B438" s="15">
        <v>41568</v>
      </c>
      <c r="C438" s="16">
        <v>331981</v>
      </c>
      <c r="D438" s="10">
        <f>PrincipalesVariables[[#This Row],[Base monetaria]]/1000000</f>
        <v>0.33198100000000003</v>
      </c>
      <c r="E438" s="10">
        <v>5.86</v>
      </c>
      <c r="F438" s="11">
        <v>34112</v>
      </c>
      <c r="H438" s="12">
        <f>(PrincipalesVariables[[#This Row],[Base monetaria]]-C437)/C437</f>
        <v>-9.7420707716996714E-3</v>
      </c>
      <c r="I438" s="12">
        <f>(PrincipalesVariables[[#This Row],[Dólar  mayorista]]-E437)/E437</f>
        <v>1.709401709401825E-3</v>
      </c>
      <c r="J438" s="12">
        <f>(PrincipalesVariables[[#This Row],[Reservas internacionales]]-F437)/F437</f>
        <v>-3.9419511198061146E-3</v>
      </c>
    </row>
    <row r="439" spans="1:10" ht="15.75" thickBot="1" x14ac:dyDescent="0.3">
      <c r="A439" s="14">
        <v>41569</v>
      </c>
      <c r="B439" s="15">
        <v>41569</v>
      </c>
      <c r="C439" s="16">
        <v>332484</v>
      </c>
      <c r="D439" s="10">
        <f>PrincipalesVariables[[#This Row],[Base monetaria]]/1000000</f>
        <v>0.332484</v>
      </c>
      <c r="E439" s="10">
        <v>5.86</v>
      </c>
      <c r="F439" s="11">
        <v>34090</v>
      </c>
      <c r="H439" s="12">
        <f>(PrincipalesVariables[[#This Row],[Base monetaria]]-C438)/C438</f>
        <v>1.5151469511809411E-3</v>
      </c>
      <c r="I439" s="12">
        <f>(PrincipalesVariables[[#This Row],[Dólar  mayorista]]-E438)/E438</f>
        <v>0</v>
      </c>
      <c r="J439" s="12">
        <f>(PrincipalesVariables[[#This Row],[Reservas internacionales]]-F438)/F438</f>
        <v>-6.4493433395872417E-4</v>
      </c>
    </row>
    <row r="440" spans="1:10" ht="15.75" thickBot="1" x14ac:dyDescent="0.3">
      <c r="A440" s="14">
        <v>41570</v>
      </c>
      <c r="B440" s="15">
        <v>41570</v>
      </c>
      <c r="C440" s="16">
        <v>333496</v>
      </c>
      <c r="D440" s="10">
        <f>PrincipalesVariables[[#This Row],[Base monetaria]]/1000000</f>
        <v>0.33349600000000001</v>
      </c>
      <c r="E440" s="10">
        <v>5.86</v>
      </c>
      <c r="F440" s="11">
        <v>33984</v>
      </c>
      <c r="H440" s="12">
        <f>(PrincipalesVariables[[#This Row],[Base monetaria]]-C439)/C439</f>
        <v>3.0437554889859364E-3</v>
      </c>
      <c r="I440" s="12">
        <f>(PrincipalesVariables[[#This Row],[Dólar  mayorista]]-E439)/E439</f>
        <v>0</v>
      </c>
      <c r="J440" s="12">
        <f>(PrincipalesVariables[[#This Row],[Reservas internacionales]]-F439)/F439</f>
        <v>-3.1094162511000295E-3</v>
      </c>
    </row>
    <row r="441" spans="1:10" ht="15.75" thickBot="1" x14ac:dyDescent="0.3">
      <c r="A441" s="14">
        <v>41571</v>
      </c>
      <c r="B441" s="15">
        <v>41571</v>
      </c>
      <c r="C441" s="16">
        <v>337102</v>
      </c>
      <c r="D441" s="10">
        <f>PrincipalesVariables[[#This Row],[Base monetaria]]/1000000</f>
        <v>0.33710200000000001</v>
      </c>
      <c r="E441" s="10">
        <v>5.87</v>
      </c>
      <c r="F441" s="11">
        <v>34014</v>
      </c>
      <c r="H441" s="12">
        <f>(PrincipalesVariables[[#This Row],[Base monetaria]]-C440)/C440</f>
        <v>1.0812723390985199E-2</v>
      </c>
      <c r="I441" s="12">
        <f>(PrincipalesVariables[[#This Row],[Dólar  mayorista]]-E440)/E440</f>
        <v>1.7064846416381888E-3</v>
      </c>
      <c r="J441" s="12">
        <f>(PrincipalesVariables[[#This Row],[Reservas internacionales]]-F440)/F440</f>
        <v>8.827683615819209E-4</v>
      </c>
    </row>
    <row r="442" spans="1:10" ht="15.75" thickBot="1" x14ac:dyDescent="0.3">
      <c r="A442" s="14">
        <v>41572</v>
      </c>
      <c r="B442" s="15">
        <v>41572</v>
      </c>
      <c r="C442" s="16">
        <v>329801</v>
      </c>
      <c r="D442" s="10">
        <f>PrincipalesVariables[[#This Row],[Base monetaria]]/1000000</f>
        <v>0.32980100000000001</v>
      </c>
      <c r="E442" s="10">
        <v>5.88</v>
      </c>
      <c r="F442" s="11">
        <v>33971</v>
      </c>
      <c r="H442" s="12">
        <f>(PrincipalesVariables[[#This Row],[Base monetaria]]-C441)/C441</f>
        <v>-2.1658133146644044E-2</v>
      </c>
      <c r="I442" s="12">
        <f>(PrincipalesVariables[[#This Row],[Dólar  mayorista]]-E441)/E441</f>
        <v>1.7035775127767949E-3</v>
      </c>
      <c r="J442" s="12">
        <f>(PrincipalesVariables[[#This Row],[Reservas internacionales]]-F441)/F441</f>
        <v>-1.2641853354501088E-3</v>
      </c>
    </row>
    <row r="443" spans="1:10" ht="15.75" thickBot="1" x14ac:dyDescent="0.3">
      <c r="A443" s="14">
        <v>41575</v>
      </c>
      <c r="B443" s="15">
        <v>41575</v>
      </c>
      <c r="C443" s="16">
        <v>324766</v>
      </c>
      <c r="D443" s="10">
        <f>PrincipalesVariables[[#This Row],[Base monetaria]]/1000000</f>
        <v>0.324766</v>
      </c>
      <c r="E443" s="10">
        <v>5.89</v>
      </c>
      <c r="F443" s="11">
        <v>33617</v>
      </c>
      <c r="H443" s="12">
        <f>(PrincipalesVariables[[#This Row],[Base monetaria]]-C442)/C442</f>
        <v>-1.5266782089805671E-2</v>
      </c>
      <c r="I443" s="12">
        <f>(PrincipalesVariables[[#This Row],[Dólar  mayorista]]-E442)/E442</f>
        <v>1.7006802721088073E-3</v>
      </c>
      <c r="J443" s="12">
        <f>(PrincipalesVariables[[#This Row],[Reservas internacionales]]-F442)/F442</f>
        <v>-1.0420652909834859E-2</v>
      </c>
    </row>
    <row r="444" spans="1:10" ht="15.75" thickBot="1" x14ac:dyDescent="0.3">
      <c r="A444" s="14">
        <v>41576</v>
      </c>
      <c r="B444" s="15">
        <v>41576</v>
      </c>
      <c r="C444" s="16">
        <v>319710</v>
      </c>
      <c r="D444" s="10">
        <f>PrincipalesVariables[[#This Row],[Base monetaria]]/1000000</f>
        <v>0.31970999999999999</v>
      </c>
      <c r="E444" s="10">
        <v>5.89</v>
      </c>
      <c r="F444" s="11">
        <v>33369</v>
      </c>
      <c r="H444" s="12">
        <f>(PrincipalesVariables[[#This Row],[Base monetaria]]-C443)/C443</f>
        <v>-1.5568132132058158E-2</v>
      </c>
      <c r="I444" s="12">
        <f>(PrincipalesVariables[[#This Row],[Dólar  mayorista]]-E443)/E443</f>
        <v>0</v>
      </c>
      <c r="J444" s="12">
        <f>(PrincipalesVariables[[#This Row],[Reservas internacionales]]-F443)/F443</f>
        <v>-7.3772198589999111E-3</v>
      </c>
    </row>
    <row r="445" spans="1:10" ht="15.75" thickBot="1" x14ac:dyDescent="0.3">
      <c r="A445" s="14">
        <v>41577</v>
      </c>
      <c r="B445" s="15">
        <v>41577</v>
      </c>
      <c r="C445" s="16">
        <v>324521</v>
      </c>
      <c r="D445" s="10">
        <f>PrincipalesVariables[[#This Row],[Base monetaria]]/1000000</f>
        <v>0.324521</v>
      </c>
      <c r="E445" s="10">
        <v>5.9</v>
      </c>
      <c r="F445" s="11">
        <v>33238</v>
      </c>
      <c r="H445" s="12">
        <f>(PrincipalesVariables[[#This Row],[Base monetaria]]-C444)/C444</f>
        <v>1.5048012261111632E-2</v>
      </c>
      <c r="I445" s="12">
        <f>(PrincipalesVariables[[#This Row],[Dólar  mayorista]]-E444)/E444</f>
        <v>1.6977928692700638E-3</v>
      </c>
      <c r="J445" s="12">
        <f>(PrincipalesVariables[[#This Row],[Reservas internacionales]]-F444)/F444</f>
        <v>-3.9257993946477266E-3</v>
      </c>
    </row>
    <row r="446" spans="1:10" ht="15.75" thickBot="1" x14ac:dyDescent="0.3">
      <c r="A446" s="14">
        <v>41578</v>
      </c>
      <c r="B446" s="15">
        <v>41578</v>
      </c>
      <c r="C446" s="16">
        <v>326803</v>
      </c>
      <c r="D446" s="10">
        <f>PrincipalesVariables[[#This Row],[Base monetaria]]/1000000</f>
        <v>0.32680300000000001</v>
      </c>
      <c r="E446" s="10">
        <v>5.91</v>
      </c>
      <c r="F446" s="11">
        <v>33232</v>
      </c>
      <c r="H446" s="12">
        <f>(PrincipalesVariables[[#This Row],[Base monetaria]]-C445)/C445</f>
        <v>7.0319024038505984E-3</v>
      </c>
      <c r="I446" s="12">
        <f>(PrincipalesVariables[[#This Row],[Dólar  mayorista]]-E445)/E445</f>
        <v>1.6949152542372519E-3</v>
      </c>
      <c r="J446" s="12">
        <f>(PrincipalesVariables[[#This Row],[Reservas internacionales]]-F445)/F445</f>
        <v>-1.8051627655093567E-4</v>
      </c>
    </row>
    <row r="447" spans="1:10" ht="15.75" thickBot="1" x14ac:dyDescent="0.3">
      <c r="A447" s="14">
        <v>41579</v>
      </c>
      <c r="B447" s="15">
        <v>41579</v>
      </c>
      <c r="C447" s="16">
        <v>342132</v>
      </c>
      <c r="D447" s="10">
        <f>PrincipalesVariables[[#This Row],[Base monetaria]]/1000000</f>
        <v>0.34213199999999999</v>
      </c>
      <c r="E447" s="10">
        <v>5.92</v>
      </c>
      <c r="F447" s="11">
        <v>33312</v>
      </c>
      <c r="H447" s="12">
        <f>(PrincipalesVariables[[#This Row],[Base monetaria]]-C446)/C446</f>
        <v>4.6905934156051196E-2</v>
      </c>
      <c r="I447" s="12">
        <f>(PrincipalesVariables[[#This Row],[Dólar  mayorista]]-E446)/E446</f>
        <v>1.6920473773265291E-3</v>
      </c>
      <c r="J447" s="12">
        <f>(PrincipalesVariables[[#This Row],[Reservas internacionales]]-F446)/F446</f>
        <v>2.4073182474723159E-3</v>
      </c>
    </row>
    <row r="448" spans="1:10" ht="15.75" thickBot="1" x14ac:dyDescent="0.3">
      <c r="A448" s="14">
        <v>41582</v>
      </c>
      <c r="B448" s="15">
        <v>41582</v>
      </c>
      <c r="C448" s="16">
        <v>340503</v>
      </c>
      <c r="D448" s="10">
        <f>PrincipalesVariables[[#This Row],[Base monetaria]]/1000000</f>
        <v>0.340503</v>
      </c>
      <c r="E448" s="10">
        <v>5.94</v>
      </c>
      <c r="F448" s="11">
        <v>33236</v>
      </c>
      <c r="H448" s="12">
        <f>(PrincipalesVariables[[#This Row],[Base monetaria]]-C447)/C447</f>
        <v>-4.7613201922065166E-3</v>
      </c>
      <c r="I448" s="12">
        <f>(PrincipalesVariables[[#This Row],[Dólar  mayorista]]-E447)/E447</f>
        <v>3.3783783783784566E-3</v>
      </c>
      <c r="J448" s="12">
        <f>(PrincipalesVariables[[#This Row],[Reservas internacionales]]-F447)/F447</f>
        <v>-2.2814601344860711E-3</v>
      </c>
    </row>
    <row r="449" spans="1:10" ht="15.75" thickBot="1" x14ac:dyDescent="0.3">
      <c r="A449" s="14">
        <v>41583</v>
      </c>
      <c r="B449" s="15">
        <v>41583</v>
      </c>
      <c r="C449" s="16">
        <v>342621</v>
      </c>
      <c r="D449" s="10">
        <f>PrincipalesVariables[[#This Row],[Base monetaria]]/1000000</f>
        <v>0.34262100000000001</v>
      </c>
      <c r="E449" s="10">
        <v>5.95</v>
      </c>
      <c r="F449" s="11">
        <v>33070</v>
      </c>
      <c r="H449" s="12">
        <f>(PrincipalesVariables[[#This Row],[Base monetaria]]-C448)/C448</f>
        <v>6.2202095135725673E-3</v>
      </c>
      <c r="I449" s="12">
        <f>(PrincipalesVariables[[#This Row],[Dólar  mayorista]]-E448)/E448</f>
        <v>1.6835016835016474E-3</v>
      </c>
      <c r="J449" s="12">
        <f>(PrincipalesVariables[[#This Row],[Reservas internacionales]]-F448)/F448</f>
        <v>-4.9945841858226019E-3</v>
      </c>
    </row>
    <row r="450" spans="1:10" ht="15.75" thickBot="1" x14ac:dyDescent="0.3">
      <c r="A450" s="14">
        <v>41585</v>
      </c>
      <c r="B450" s="15">
        <v>41585</v>
      </c>
      <c r="C450" s="16">
        <v>343208</v>
      </c>
      <c r="D450" s="10">
        <f>PrincipalesVariables[[#This Row],[Base monetaria]]/1000000</f>
        <v>0.34320800000000001</v>
      </c>
      <c r="E450" s="10">
        <v>5.94</v>
      </c>
      <c r="F450" s="11">
        <v>33055</v>
      </c>
      <c r="H450" s="12">
        <f>(PrincipalesVariables[[#This Row],[Base monetaria]]-C449)/C449</f>
        <v>1.7132633434611421E-3</v>
      </c>
      <c r="I450" s="12">
        <f>(PrincipalesVariables[[#This Row],[Dólar  mayorista]]-E449)/E449</f>
        <v>-1.6806722689075271E-3</v>
      </c>
      <c r="J450" s="12">
        <f>(PrincipalesVariables[[#This Row],[Reservas internacionales]]-F449)/F449</f>
        <v>-4.5358330813426064E-4</v>
      </c>
    </row>
    <row r="451" spans="1:10" ht="15.75" thickBot="1" x14ac:dyDescent="0.3">
      <c r="A451" s="14">
        <v>41586</v>
      </c>
      <c r="B451" s="15">
        <v>41586</v>
      </c>
      <c r="C451" s="16">
        <v>341477</v>
      </c>
      <c r="D451" s="10">
        <f>PrincipalesVariables[[#This Row],[Base monetaria]]/1000000</f>
        <v>0.34147699999999997</v>
      </c>
      <c r="E451" s="10">
        <v>5.96</v>
      </c>
      <c r="F451" s="11">
        <v>32966</v>
      </c>
      <c r="H451" s="12">
        <f>(PrincipalesVariables[[#This Row],[Base monetaria]]-C450)/C450</f>
        <v>-5.0435887275354883E-3</v>
      </c>
      <c r="I451" s="12">
        <f>(PrincipalesVariables[[#This Row],[Dólar  mayorista]]-E450)/E450</f>
        <v>3.3670033670032949E-3</v>
      </c>
      <c r="J451" s="12">
        <f>(PrincipalesVariables[[#This Row],[Reservas internacionales]]-F450)/F450</f>
        <v>-2.6924822265920437E-3</v>
      </c>
    </row>
    <row r="452" spans="1:10" ht="15.75" thickBot="1" x14ac:dyDescent="0.3">
      <c r="A452" s="14">
        <v>41589</v>
      </c>
      <c r="B452" s="15">
        <v>41589</v>
      </c>
      <c r="C452" s="16">
        <v>340439</v>
      </c>
      <c r="D452" s="10">
        <f>PrincipalesVariables[[#This Row],[Base monetaria]]/1000000</f>
        <v>0.34043899999999999</v>
      </c>
      <c r="E452" s="10">
        <v>5.97</v>
      </c>
      <c r="F452" s="11">
        <v>32954</v>
      </c>
      <c r="H452" s="12">
        <f>(PrincipalesVariables[[#This Row],[Base monetaria]]-C451)/C451</f>
        <v>-3.0397362047809955E-3</v>
      </c>
      <c r="I452" s="12">
        <f>(PrincipalesVariables[[#This Row],[Dólar  mayorista]]-E451)/E451</f>
        <v>1.6778523489932528E-3</v>
      </c>
      <c r="J452" s="12">
        <f>(PrincipalesVariables[[#This Row],[Reservas internacionales]]-F451)/F451</f>
        <v>-3.6401140569071162E-4</v>
      </c>
    </row>
    <row r="453" spans="1:10" ht="15.75" thickBot="1" x14ac:dyDescent="0.3">
      <c r="A453" s="14">
        <v>41590</v>
      </c>
      <c r="B453" s="15">
        <v>41590</v>
      </c>
      <c r="C453" s="16">
        <v>338405</v>
      </c>
      <c r="D453" s="10">
        <f>PrincipalesVariables[[#This Row],[Base monetaria]]/1000000</f>
        <v>0.33840500000000001</v>
      </c>
      <c r="E453" s="10">
        <v>5.97</v>
      </c>
      <c r="F453" s="11">
        <v>32624</v>
      </c>
      <c r="H453" s="12">
        <f>(PrincipalesVariables[[#This Row],[Base monetaria]]-C452)/C452</f>
        <v>-5.9746386283592657E-3</v>
      </c>
      <c r="I453" s="12">
        <f>(PrincipalesVariables[[#This Row],[Dólar  mayorista]]-E452)/E452</f>
        <v>0</v>
      </c>
      <c r="J453" s="12">
        <f>(PrincipalesVariables[[#This Row],[Reservas internacionales]]-F452)/F452</f>
        <v>-1.0013958851732719E-2</v>
      </c>
    </row>
    <row r="454" spans="1:10" ht="15.75" thickBot="1" x14ac:dyDescent="0.3">
      <c r="A454" s="14">
        <v>41591</v>
      </c>
      <c r="B454" s="15">
        <v>41591</v>
      </c>
      <c r="C454" s="16">
        <v>338681</v>
      </c>
      <c r="D454" s="10">
        <f>PrincipalesVariables[[#This Row],[Base monetaria]]/1000000</f>
        <v>0.33868100000000001</v>
      </c>
      <c r="E454" s="10">
        <v>5.98</v>
      </c>
      <c r="F454" s="11">
        <v>32502</v>
      </c>
      <c r="H454" s="12">
        <f>(PrincipalesVariables[[#This Row],[Base monetaria]]-C453)/C453</f>
        <v>8.1559078618814729E-4</v>
      </c>
      <c r="I454" s="12">
        <f>(PrincipalesVariables[[#This Row],[Dólar  mayorista]]-E453)/E453</f>
        <v>1.6750418760470144E-3</v>
      </c>
      <c r="J454" s="12">
        <f>(PrincipalesVariables[[#This Row],[Reservas internacionales]]-F453)/F453</f>
        <v>-3.7395782246199116E-3</v>
      </c>
    </row>
    <row r="455" spans="1:10" ht="15.75" thickBot="1" x14ac:dyDescent="0.3">
      <c r="A455" s="14">
        <v>41592</v>
      </c>
      <c r="B455" s="15">
        <v>41592</v>
      </c>
      <c r="C455" s="16">
        <v>340467</v>
      </c>
      <c r="D455" s="10">
        <f>PrincipalesVariables[[#This Row],[Base monetaria]]/1000000</f>
        <v>0.34046700000000002</v>
      </c>
      <c r="E455" s="10">
        <v>5.99</v>
      </c>
      <c r="F455" s="11">
        <v>32494</v>
      </c>
      <c r="H455" s="12">
        <f>(PrincipalesVariables[[#This Row],[Base monetaria]]-C454)/C454</f>
        <v>5.2733988620560354E-3</v>
      </c>
      <c r="I455" s="12">
        <f>(PrincipalesVariables[[#This Row],[Dólar  mayorista]]-E454)/E454</f>
        <v>1.6722408026755495E-3</v>
      </c>
      <c r="J455" s="12">
        <f>(PrincipalesVariables[[#This Row],[Reservas internacionales]]-F454)/F454</f>
        <v>-2.4613869915697496E-4</v>
      </c>
    </row>
    <row r="456" spans="1:10" ht="15.75" thickBot="1" x14ac:dyDescent="0.3">
      <c r="A456" s="14">
        <v>41593</v>
      </c>
      <c r="B456" s="15">
        <v>41593</v>
      </c>
      <c r="C456" s="16">
        <v>338477</v>
      </c>
      <c r="D456" s="10">
        <f>PrincipalesVariables[[#This Row],[Base monetaria]]/1000000</f>
        <v>0.33847699999999997</v>
      </c>
      <c r="E456" s="10">
        <v>5.99</v>
      </c>
      <c r="F456" s="11">
        <v>32389</v>
      </c>
      <c r="H456" s="12">
        <f>(PrincipalesVariables[[#This Row],[Base monetaria]]-C455)/C455</f>
        <v>-5.8449130165331735E-3</v>
      </c>
      <c r="I456" s="12">
        <f>(PrincipalesVariables[[#This Row],[Dólar  mayorista]]-E455)/E455</f>
        <v>0</v>
      </c>
      <c r="J456" s="12">
        <f>(PrincipalesVariables[[#This Row],[Reservas internacionales]]-F455)/F455</f>
        <v>-3.2313657906074969E-3</v>
      </c>
    </row>
    <row r="457" spans="1:10" ht="15.75" thickBot="1" x14ac:dyDescent="0.3">
      <c r="A457" s="14">
        <v>41596</v>
      </c>
      <c r="B457" s="15">
        <v>41596</v>
      </c>
      <c r="C457" s="16">
        <v>338026</v>
      </c>
      <c r="D457" s="10">
        <f>PrincipalesVariables[[#This Row],[Base monetaria]]/1000000</f>
        <v>0.33802599999999999</v>
      </c>
      <c r="E457" s="10">
        <v>6</v>
      </c>
      <c r="F457" s="11">
        <v>32150</v>
      </c>
      <c r="H457" s="12">
        <f>(PrincipalesVariables[[#This Row],[Base monetaria]]-C456)/C456</f>
        <v>-1.3324391317578448E-3</v>
      </c>
      <c r="I457" s="12">
        <f>(PrincipalesVariables[[#This Row],[Dólar  mayorista]]-E456)/E456</f>
        <v>1.6694490818029693E-3</v>
      </c>
      <c r="J457" s="12">
        <f>(PrincipalesVariables[[#This Row],[Reservas internacionales]]-F456)/F456</f>
        <v>-7.3790484423724104E-3</v>
      </c>
    </row>
    <row r="458" spans="1:10" ht="15.75" thickBot="1" x14ac:dyDescent="0.3">
      <c r="A458" s="14">
        <v>41597</v>
      </c>
      <c r="B458" s="15">
        <v>41597</v>
      </c>
      <c r="C458" s="16">
        <v>335230</v>
      </c>
      <c r="D458" s="10">
        <f>PrincipalesVariables[[#This Row],[Base monetaria]]/1000000</f>
        <v>0.33522999999999997</v>
      </c>
      <c r="E458" s="10">
        <v>6.02</v>
      </c>
      <c r="F458" s="11">
        <v>31980</v>
      </c>
      <c r="H458" s="12">
        <f>(PrincipalesVariables[[#This Row],[Base monetaria]]-C457)/C457</f>
        <v>-8.2715530757989028E-3</v>
      </c>
      <c r="I458" s="12">
        <f>(PrincipalesVariables[[#This Row],[Dólar  mayorista]]-E457)/E457</f>
        <v>3.3333333333332624E-3</v>
      </c>
      <c r="J458" s="12">
        <f>(PrincipalesVariables[[#This Row],[Reservas internacionales]]-F457)/F457</f>
        <v>-5.2877138413685845E-3</v>
      </c>
    </row>
    <row r="459" spans="1:10" ht="15.75" thickBot="1" x14ac:dyDescent="0.3">
      <c r="A459" s="14">
        <v>41598</v>
      </c>
      <c r="B459" s="15">
        <v>41598</v>
      </c>
      <c r="C459" s="16">
        <v>334520</v>
      </c>
      <c r="D459" s="10">
        <f>PrincipalesVariables[[#This Row],[Base monetaria]]/1000000</f>
        <v>0.33451999999999998</v>
      </c>
      <c r="E459" s="10">
        <v>6.04</v>
      </c>
      <c r="F459" s="11">
        <v>31786</v>
      </c>
      <c r="H459" s="12">
        <f>(PrincipalesVariables[[#This Row],[Base monetaria]]-C458)/C458</f>
        <v>-2.1179488709244399E-3</v>
      </c>
      <c r="I459" s="12">
        <f>(PrincipalesVariables[[#This Row],[Dólar  mayorista]]-E458)/E458</f>
        <v>3.3222591362127014E-3</v>
      </c>
      <c r="J459" s="12">
        <f>(PrincipalesVariables[[#This Row],[Reservas internacionales]]-F458)/F458</f>
        <v>-6.0662914321450911E-3</v>
      </c>
    </row>
    <row r="460" spans="1:10" ht="15.75" thickBot="1" x14ac:dyDescent="0.3">
      <c r="A460" s="14">
        <v>41599</v>
      </c>
      <c r="B460" s="15">
        <v>41599</v>
      </c>
      <c r="C460" s="16">
        <v>336648</v>
      </c>
      <c r="D460" s="10">
        <f>PrincipalesVariables[[#This Row],[Base monetaria]]/1000000</f>
        <v>0.336648</v>
      </c>
      <c r="E460" s="10">
        <v>6.06</v>
      </c>
      <c r="F460" s="11">
        <v>31541</v>
      </c>
      <c r="H460" s="12">
        <f>(PrincipalesVariables[[#This Row],[Base monetaria]]-C459)/C459</f>
        <v>6.3613535812507473E-3</v>
      </c>
      <c r="I460" s="12">
        <f>(PrincipalesVariables[[#This Row],[Dólar  mayorista]]-E459)/E459</f>
        <v>3.3112582781456247E-3</v>
      </c>
      <c r="J460" s="12">
        <f>(PrincipalesVariables[[#This Row],[Reservas internacionales]]-F459)/F459</f>
        <v>-7.707795884980809E-3</v>
      </c>
    </row>
    <row r="461" spans="1:10" ht="15.75" thickBot="1" x14ac:dyDescent="0.3">
      <c r="A461" s="14">
        <v>41600</v>
      </c>
      <c r="B461" s="15">
        <v>41600</v>
      </c>
      <c r="C461" s="16">
        <v>334781</v>
      </c>
      <c r="D461" s="10">
        <f>PrincipalesVariables[[#This Row],[Base monetaria]]/1000000</f>
        <v>0.334781</v>
      </c>
      <c r="E461" s="10">
        <v>6.08</v>
      </c>
      <c r="F461" s="11">
        <v>31399</v>
      </c>
      <c r="H461" s="12">
        <f>(PrincipalesVariables[[#This Row],[Base monetaria]]-C460)/C460</f>
        <v>-5.5458520472422236E-3</v>
      </c>
      <c r="I461" s="12">
        <f>(PrincipalesVariables[[#This Row],[Dólar  mayorista]]-E460)/E460</f>
        <v>3.3003300330033767E-3</v>
      </c>
      <c r="J461" s="12">
        <f>(PrincipalesVariables[[#This Row],[Reservas internacionales]]-F460)/F460</f>
        <v>-4.5020766621223169E-3</v>
      </c>
    </row>
    <row r="462" spans="1:10" ht="15.75" thickBot="1" x14ac:dyDescent="0.3">
      <c r="A462" s="14">
        <v>41604</v>
      </c>
      <c r="B462" s="15">
        <v>41604</v>
      </c>
      <c r="C462" s="16">
        <v>332965</v>
      </c>
      <c r="D462" s="10">
        <f>PrincipalesVariables[[#This Row],[Base monetaria]]/1000000</f>
        <v>0.33296500000000001</v>
      </c>
      <c r="E462" s="10">
        <v>6.09</v>
      </c>
      <c r="F462" s="11">
        <v>31319</v>
      </c>
      <c r="H462" s="12">
        <f>(PrincipalesVariables[[#This Row],[Base monetaria]]-C461)/C461</f>
        <v>-5.4244416499144221E-3</v>
      </c>
      <c r="I462" s="12">
        <f>(PrincipalesVariables[[#This Row],[Dólar  mayorista]]-E461)/E461</f>
        <v>1.6447368421052282E-3</v>
      </c>
      <c r="J462" s="12">
        <f>(PrincipalesVariables[[#This Row],[Reservas internacionales]]-F461)/F461</f>
        <v>-2.5478518424153634E-3</v>
      </c>
    </row>
    <row r="463" spans="1:10" ht="15.75" thickBot="1" x14ac:dyDescent="0.3">
      <c r="A463" s="14">
        <v>41605</v>
      </c>
      <c r="B463" s="15">
        <v>41605</v>
      </c>
      <c r="C463" s="16">
        <v>332866</v>
      </c>
      <c r="D463" s="10">
        <f>PrincipalesVariables[[#This Row],[Base monetaria]]/1000000</f>
        <v>0.332866</v>
      </c>
      <c r="E463" s="10">
        <v>6.11</v>
      </c>
      <c r="F463" s="11">
        <v>31156</v>
      </c>
      <c r="H463" s="12">
        <f>(PrincipalesVariables[[#This Row],[Base monetaria]]-C462)/C462</f>
        <v>-2.9732854804559038E-4</v>
      </c>
      <c r="I463" s="12">
        <f>(PrincipalesVariables[[#This Row],[Dólar  mayorista]]-E462)/E462</f>
        <v>3.2840722495895668E-3</v>
      </c>
      <c r="J463" s="12">
        <f>(PrincipalesVariables[[#This Row],[Reservas internacionales]]-F462)/F462</f>
        <v>-5.2045084453526611E-3</v>
      </c>
    </row>
    <row r="464" spans="1:10" ht="15.75" thickBot="1" x14ac:dyDescent="0.3">
      <c r="A464" s="14">
        <v>41606</v>
      </c>
      <c r="B464" s="15">
        <v>41606</v>
      </c>
      <c r="C464" s="16">
        <v>334026</v>
      </c>
      <c r="D464" s="10">
        <f>PrincipalesVariables[[#This Row],[Base monetaria]]/1000000</f>
        <v>0.33402599999999999</v>
      </c>
      <c r="E464" s="10">
        <v>6.12</v>
      </c>
      <c r="F464" s="11">
        <v>31199</v>
      </c>
      <c r="H464" s="12">
        <f>(PrincipalesVariables[[#This Row],[Base monetaria]]-C463)/C463</f>
        <v>3.4848858099054874E-3</v>
      </c>
      <c r="I464" s="12">
        <f>(PrincipalesVariables[[#This Row],[Dólar  mayorista]]-E463)/E463</f>
        <v>1.6366612111292612E-3</v>
      </c>
      <c r="J464" s="12">
        <f>(PrincipalesVariables[[#This Row],[Reservas internacionales]]-F463)/F463</f>
        <v>1.3801514956990628E-3</v>
      </c>
    </row>
    <row r="465" spans="1:10" ht="15.75" thickBot="1" x14ac:dyDescent="0.3">
      <c r="A465" s="14">
        <v>41607</v>
      </c>
      <c r="B465" s="15">
        <v>41607</v>
      </c>
      <c r="C465" s="16">
        <v>336846</v>
      </c>
      <c r="D465" s="10">
        <f>PrincipalesVariables[[#This Row],[Base monetaria]]/1000000</f>
        <v>0.33684599999999998</v>
      </c>
      <c r="E465" s="10">
        <v>6.14</v>
      </c>
      <c r="F465" s="11">
        <v>30799</v>
      </c>
      <c r="H465" s="12">
        <f>(PrincipalesVariables[[#This Row],[Base monetaria]]-C464)/C464</f>
        <v>8.4424565752366579E-3</v>
      </c>
      <c r="I465" s="12">
        <f>(PrincipalesVariables[[#This Row],[Dólar  mayorista]]-E464)/E464</f>
        <v>3.2679738562090806E-3</v>
      </c>
      <c r="J465" s="12">
        <f>(PrincipalesVariables[[#This Row],[Reservas internacionales]]-F464)/F464</f>
        <v>-1.2820923747556012E-2</v>
      </c>
    </row>
    <row r="466" spans="1:10" ht="15.75" thickBot="1" x14ac:dyDescent="0.3">
      <c r="A466" s="14">
        <v>41610</v>
      </c>
      <c r="B466" s="15">
        <v>41610</v>
      </c>
      <c r="C466" s="16">
        <v>351871</v>
      </c>
      <c r="D466" s="10">
        <f>PrincipalesVariables[[#This Row],[Base monetaria]]/1000000</f>
        <v>0.35187099999999999</v>
      </c>
      <c r="E466" s="10">
        <v>6.15</v>
      </c>
      <c r="F466" s="11">
        <v>30665</v>
      </c>
      <c r="H466" s="12">
        <f>(PrincipalesVariables[[#This Row],[Base monetaria]]-C465)/C465</f>
        <v>4.4604953005230874E-2</v>
      </c>
      <c r="I466" s="12">
        <f>(PrincipalesVariables[[#This Row],[Dólar  mayorista]]-E465)/E465</f>
        <v>1.6286644951141165E-3</v>
      </c>
      <c r="J466" s="12">
        <f>(PrincipalesVariables[[#This Row],[Reservas internacionales]]-F465)/F465</f>
        <v>-4.3507906100847434E-3</v>
      </c>
    </row>
    <row r="467" spans="1:10" ht="15.75" thickBot="1" x14ac:dyDescent="0.3">
      <c r="A467" s="14">
        <v>41611</v>
      </c>
      <c r="B467" s="15">
        <v>41611</v>
      </c>
      <c r="C467" s="16">
        <v>352022</v>
      </c>
      <c r="D467" s="10">
        <f>PrincipalesVariables[[#This Row],[Base monetaria]]/1000000</f>
        <v>0.352022</v>
      </c>
      <c r="E467" s="10">
        <v>6.17</v>
      </c>
      <c r="F467" s="11">
        <v>30589</v>
      </c>
      <c r="H467" s="12">
        <f>(PrincipalesVariables[[#This Row],[Base monetaria]]-C466)/C466</f>
        <v>4.291345407834121E-4</v>
      </c>
      <c r="I467" s="12">
        <f>(PrincipalesVariables[[#This Row],[Dólar  mayorista]]-E466)/E466</f>
        <v>3.2520325203251339E-3</v>
      </c>
      <c r="J467" s="12">
        <f>(PrincipalesVariables[[#This Row],[Reservas internacionales]]-F466)/F466</f>
        <v>-2.4783955649763574E-3</v>
      </c>
    </row>
    <row r="468" spans="1:10" ht="15.75" thickBot="1" x14ac:dyDescent="0.3">
      <c r="A468" s="14">
        <v>41612</v>
      </c>
      <c r="B468" s="15">
        <v>41612</v>
      </c>
      <c r="C468" s="16">
        <v>353834</v>
      </c>
      <c r="D468" s="10">
        <f>PrincipalesVariables[[#This Row],[Base monetaria]]/1000000</f>
        <v>0.35383399999999998</v>
      </c>
      <c r="E468" s="10">
        <v>6.2</v>
      </c>
      <c r="F468" s="11">
        <v>30509</v>
      </c>
      <c r="H468" s="12">
        <f>(PrincipalesVariables[[#This Row],[Base monetaria]]-C467)/C467</f>
        <v>5.1474055598797804E-3</v>
      </c>
      <c r="I468" s="12">
        <f>(PrincipalesVariables[[#This Row],[Dólar  mayorista]]-E467)/E467</f>
        <v>4.862236628849311E-3</v>
      </c>
      <c r="J468" s="12">
        <f>(PrincipalesVariables[[#This Row],[Reservas internacionales]]-F467)/F467</f>
        <v>-2.6153192324038055E-3</v>
      </c>
    </row>
    <row r="469" spans="1:10" ht="15.75" thickBot="1" x14ac:dyDescent="0.3">
      <c r="A469" s="14">
        <v>41613</v>
      </c>
      <c r="B469" s="15">
        <v>41613</v>
      </c>
      <c r="C469" s="16">
        <v>363941</v>
      </c>
      <c r="D469" s="10">
        <f>PrincipalesVariables[[#This Row],[Base monetaria]]/1000000</f>
        <v>0.36394100000000001</v>
      </c>
      <c r="E469" s="10">
        <v>6.22</v>
      </c>
      <c r="F469" s="11">
        <v>30383</v>
      </c>
      <c r="H469" s="12">
        <f>(PrincipalesVariables[[#This Row],[Base monetaria]]-C468)/C468</f>
        <v>2.8564241989181366E-2</v>
      </c>
      <c r="I469" s="12">
        <f>(PrincipalesVariables[[#This Row],[Dólar  mayorista]]-E468)/E468</f>
        <v>3.2258064516128343E-3</v>
      </c>
      <c r="J469" s="12">
        <f>(PrincipalesVariables[[#This Row],[Reservas internacionales]]-F468)/F468</f>
        <v>-4.1299288734471798E-3</v>
      </c>
    </row>
    <row r="470" spans="1:10" ht="15.75" thickBot="1" x14ac:dyDescent="0.3">
      <c r="A470" s="14">
        <v>41614</v>
      </c>
      <c r="B470" s="15">
        <v>41614</v>
      </c>
      <c r="C470" s="16">
        <v>353762</v>
      </c>
      <c r="D470" s="10">
        <f>PrincipalesVariables[[#This Row],[Base monetaria]]/1000000</f>
        <v>0.35376200000000002</v>
      </c>
      <c r="E470" s="10">
        <v>6.24</v>
      </c>
      <c r="F470" s="11">
        <v>30467</v>
      </c>
      <c r="H470" s="12">
        <f>(PrincipalesVariables[[#This Row],[Base monetaria]]-C469)/C469</f>
        <v>-2.7968819121780727E-2</v>
      </c>
      <c r="I470" s="12">
        <f>(PrincipalesVariables[[#This Row],[Dólar  mayorista]]-E469)/E469</f>
        <v>3.2154340836013607E-3</v>
      </c>
      <c r="J470" s="12">
        <f>(PrincipalesVariables[[#This Row],[Reservas internacionales]]-F469)/F469</f>
        <v>2.7647039462857519E-3</v>
      </c>
    </row>
    <row r="471" spans="1:10" ht="15.75" thickBot="1" x14ac:dyDescent="0.3">
      <c r="A471" s="14">
        <v>41617</v>
      </c>
      <c r="B471" s="15">
        <v>41617</v>
      </c>
      <c r="C471" s="16">
        <v>353725</v>
      </c>
      <c r="D471" s="10">
        <f>PrincipalesVariables[[#This Row],[Base monetaria]]/1000000</f>
        <v>0.35372500000000001</v>
      </c>
      <c r="E471" s="10">
        <v>6.25</v>
      </c>
      <c r="F471" s="11">
        <v>30470</v>
      </c>
      <c r="H471" s="12">
        <f>(PrincipalesVariables[[#This Row],[Base monetaria]]-C470)/C470</f>
        <v>-1.0459009164353435E-4</v>
      </c>
      <c r="I471" s="12">
        <f>(PrincipalesVariables[[#This Row],[Dólar  mayorista]]-E470)/E470</f>
        <v>1.6025641025640682E-3</v>
      </c>
      <c r="J471" s="12">
        <f>(PrincipalesVariables[[#This Row],[Reservas internacionales]]-F470)/F470</f>
        <v>9.8467194013194607E-5</v>
      </c>
    </row>
    <row r="472" spans="1:10" ht="15.75" thickBot="1" x14ac:dyDescent="0.3">
      <c r="A472" s="14">
        <v>41618</v>
      </c>
      <c r="B472" s="15">
        <v>41618</v>
      </c>
      <c r="C472" s="16">
        <v>353239</v>
      </c>
      <c r="D472" s="10">
        <f>PrincipalesVariables[[#This Row],[Base monetaria]]/1000000</f>
        <v>0.35323900000000003</v>
      </c>
      <c r="E472" s="10">
        <v>6.26</v>
      </c>
      <c r="F472" s="11">
        <v>30430</v>
      </c>
      <c r="H472" s="12">
        <f>(PrincipalesVariables[[#This Row],[Base monetaria]]-C471)/C471</f>
        <v>-1.3739486889532829E-3</v>
      </c>
      <c r="I472" s="12">
        <f>(PrincipalesVariables[[#This Row],[Dólar  mayorista]]-E471)/E471</f>
        <v>1.5999999999999658E-3</v>
      </c>
      <c r="J472" s="12">
        <f>(PrincipalesVariables[[#This Row],[Reservas internacionales]]-F471)/F471</f>
        <v>-1.3127666557269445E-3</v>
      </c>
    </row>
    <row r="473" spans="1:10" ht="15.75" thickBot="1" x14ac:dyDescent="0.3">
      <c r="A473" s="14">
        <v>41619</v>
      </c>
      <c r="B473" s="15">
        <v>41619</v>
      </c>
      <c r="C473" s="16">
        <v>354969</v>
      </c>
      <c r="D473" s="10">
        <f>PrincipalesVariables[[#This Row],[Base monetaria]]/1000000</f>
        <v>0.35496899999999998</v>
      </c>
      <c r="E473" s="10">
        <v>6.27</v>
      </c>
      <c r="F473" s="11">
        <v>30587</v>
      </c>
      <c r="H473" s="12">
        <f>(PrincipalesVariables[[#This Row],[Base monetaria]]-C472)/C472</f>
        <v>4.8975339642564949E-3</v>
      </c>
      <c r="I473" s="12">
        <f>(PrincipalesVariables[[#This Row],[Dólar  mayorista]]-E472)/E472</f>
        <v>1.5974440894568351E-3</v>
      </c>
      <c r="J473" s="12">
        <f>(PrincipalesVariables[[#This Row],[Reservas internacionales]]-F472)/F472</f>
        <v>5.159382188629642E-3</v>
      </c>
    </row>
    <row r="474" spans="1:10" ht="15.75" thickBot="1" x14ac:dyDescent="0.3">
      <c r="A474" s="14">
        <v>41620</v>
      </c>
      <c r="B474" s="15">
        <v>41620</v>
      </c>
      <c r="C474" s="16">
        <v>370184</v>
      </c>
      <c r="D474" s="10">
        <f>PrincipalesVariables[[#This Row],[Base monetaria]]/1000000</f>
        <v>0.37018400000000001</v>
      </c>
      <c r="E474" s="10">
        <v>6.28</v>
      </c>
      <c r="F474" s="11">
        <v>30525</v>
      </c>
      <c r="H474" s="12">
        <f>(PrincipalesVariables[[#This Row],[Base monetaria]]-C473)/C473</f>
        <v>4.2862897886857723E-2</v>
      </c>
      <c r="I474" s="12">
        <f>(PrincipalesVariables[[#This Row],[Dólar  mayorista]]-E473)/E473</f>
        <v>1.5948963317385448E-3</v>
      </c>
      <c r="J474" s="12">
        <f>(PrincipalesVariables[[#This Row],[Reservas internacionales]]-F473)/F473</f>
        <v>-2.0270049367378299E-3</v>
      </c>
    </row>
    <row r="475" spans="1:10" ht="15.75" thickBot="1" x14ac:dyDescent="0.3">
      <c r="A475" s="14">
        <v>41621</v>
      </c>
      <c r="B475" s="15">
        <v>41621</v>
      </c>
      <c r="C475" s="16">
        <v>356104</v>
      </c>
      <c r="D475" s="10">
        <f>PrincipalesVariables[[#This Row],[Base monetaria]]/1000000</f>
        <v>0.35610399999999998</v>
      </c>
      <c r="E475" s="10">
        <v>6.29</v>
      </c>
      <c r="F475" s="11">
        <v>30509</v>
      </c>
      <c r="H475" s="12">
        <f>(PrincipalesVariables[[#This Row],[Base monetaria]]-C474)/C474</f>
        <v>-3.8035139282086745E-2</v>
      </c>
      <c r="I475" s="12">
        <f>(PrincipalesVariables[[#This Row],[Dólar  mayorista]]-E474)/E474</f>
        <v>1.5923566878980552E-3</v>
      </c>
      <c r="J475" s="12">
        <f>(PrincipalesVariables[[#This Row],[Reservas internacionales]]-F474)/F474</f>
        <v>-5.241605241605242E-4</v>
      </c>
    </row>
    <row r="476" spans="1:10" ht="15.75" thickBot="1" x14ac:dyDescent="0.3">
      <c r="A476" s="14">
        <v>41624</v>
      </c>
      <c r="B476" s="15">
        <v>41624</v>
      </c>
      <c r="C476" s="16">
        <v>355803</v>
      </c>
      <c r="D476" s="10">
        <f>PrincipalesVariables[[#This Row],[Base monetaria]]/1000000</f>
        <v>0.35580299999999998</v>
      </c>
      <c r="E476" s="10">
        <v>6.31</v>
      </c>
      <c r="F476" s="11">
        <v>30610</v>
      </c>
      <c r="H476" s="12">
        <f>(PrincipalesVariables[[#This Row],[Base monetaria]]-C475)/C475</f>
        <v>-8.4525868847303031E-4</v>
      </c>
      <c r="I476" s="12">
        <f>(PrincipalesVariables[[#This Row],[Dólar  mayorista]]-E475)/E475</f>
        <v>3.1796502384737E-3</v>
      </c>
      <c r="J476" s="12">
        <f>(PrincipalesVariables[[#This Row],[Reservas internacionales]]-F475)/F475</f>
        <v>3.3104985414140089E-3</v>
      </c>
    </row>
    <row r="477" spans="1:10" ht="15.75" thickBot="1" x14ac:dyDescent="0.3">
      <c r="A477" s="14">
        <v>41625</v>
      </c>
      <c r="B477" s="15">
        <v>41625</v>
      </c>
      <c r="C477" s="16">
        <v>355936</v>
      </c>
      <c r="D477" s="10">
        <f>PrincipalesVariables[[#This Row],[Base monetaria]]/1000000</f>
        <v>0.35593599999999997</v>
      </c>
      <c r="E477" s="10">
        <v>6.33</v>
      </c>
      <c r="F477" s="11">
        <v>30574</v>
      </c>
      <c r="H477" s="12">
        <f>(PrincipalesVariables[[#This Row],[Base monetaria]]-C476)/C476</f>
        <v>3.7380235692222941E-4</v>
      </c>
      <c r="I477" s="12">
        <f>(PrincipalesVariables[[#This Row],[Dólar  mayorista]]-E476)/E476</f>
        <v>3.1695721077655251E-3</v>
      </c>
      <c r="J477" s="12">
        <f>(PrincipalesVariables[[#This Row],[Reservas internacionales]]-F476)/F476</f>
        <v>-1.1760862463247304E-3</v>
      </c>
    </row>
    <row r="478" spans="1:10" ht="15.75" thickBot="1" x14ac:dyDescent="0.3">
      <c r="A478" s="14">
        <v>41626</v>
      </c>
      <c r="B478" s="15">
        <v>41626</v>
      </c>
      <c r="C478" s="16">
        <v>357772</v>
      </c>
      <c r="D478" s="10">
        <f>PrincipalesVariables[[#This Row],[Base monetaria]]/1000000</f>
        <v>0.35777199999999998</v>
      </c>
      <c r="E478" s="10">
        <v>6.36</v>
      </c>
      <c r="F478" s="11">
        <v>30634</v>
      </c>
      <c r="H478" s="12">
        <f>(PrincipalesVariables[[#This Row],[Base monetaria]]-C477)/C477</f>
        <v>5.1582306931583204E-3</v>
      </c>
      <c r="I478" s="12">
        <f>(PrincipalesVariables[[#This Row],[Dólar  mayorista]]-E477)/E477</f>
        <v>4.7393364928910347E-3</v>
      </c>
      <c r="J478" s="12">
        <f>(PrincipalesVariables[[#This Row],[Reservas internacionales]]-F477)/F477</f>
        <v>1.9624517563943218E-3</v>
      </c>
    </row>
    <row r="479" spans="1:10" ht="15.75" thickBot="1" x14ac:dyDescent="0.3">
      <c r="A479" s="14">
        <v>41627</v>
      </c>
      <c r="B479" s="15">
        <v>41627</v>
      </c>
      <c r="C479" s="16">
        <v>373960</v>
      </c>
      <c r="D479" s="10">
        <f>PrincipalesVariables[[#This Row],[Base monetaria]]/1000000</f>
        <v>0.37396000000000001</v>
      </c>
      <c r="E479" s="10">
        <v>6.4</v>
      </c>
      <c r="F479" s="11">
        <v>30656</v>
      </c>
      <c r="H479" s="12">
        <f>(PrincipalesVariables[[#This Row],[Base monetaria]]-C478)/C478</f>
        <v>4.5246693424862761E-2</v>
      </c>
      <c r="I479" s="12">
        <f>(PrincipalesVariables[[#This Row],[Dólar  mayorista]]-E478)/E478</f>
        <v>6.2893081761006345E-3</v>
      </c>
      <c r="J479" s="12">
        <f>(PrincipalesVariables[[#This Row],[Reservas internacionales]]-F478)/F478</f>
        <v>7.1815629692498532E-4</v>
      </c>
    </row>
    <row r="480" spans="1:10" ht="15.75" thickBot="1" x14ac:dyDescent="0.3">
      <c r="A480" s="14">
        <v>41628</v>
      </c>
      <c r="B480" s="15">
        <v>41628</v>
      </c>
      <c r="C480" s="16">
        <v>365189</v>
      </c>
      <c r="D480" s="10">
        <f>PrincipalesVariables[[#This Row],[Base monetaria]]/1000000</f>
        <v>0.36518899999999999</v>
      </c>
      <c r="E480" s="10">
        <v>6.42</v>
      </c>
      <c r="F480" s="11">
        <v>30680</v>
      </c>
      <c r="H480" s="12">
        <f>(PrincipalesVariables[[#This Row],[Base monetaria]]-C479)/C479</f>
        <v>-2.345438014760937E-2</v>
      </c>
      <c r="I480" s="12">
        <f>(PrincipalesVariables[[#This Row],[Dólar  mayorista]]-E479)/E479</f>
        <v>3.1249999999999334E-3</v>
      </c>
      <c r="J480" s="12">
        <f>(PrincipalesVariables[[#This Row],[Reservas internacionales]]-F479)/F479</f>
        <v>7.828810020876827E-4</v>
      </c>
    </row>
    <row r="481" spans="1:10" ht="15.75" thickBot="1" x14ac:dyDescent="0.3">
      <c r="A481" s="14">
        <v>41631</v>
      </c>
      <c r="B481" s="15">
        <v>41631</v>
      </c>
      <c r="C481" s="16">
        <v>364962</v>
      </c>
      <c r="D481" s="10">
        <f>PrincipalesVariables[[#This Row],[Base monetaria]]/1000000</f>
        <v>0.36496200000000001</v>
      </c>
      <c r="E481" s="10">
        <v>6.44</v>
      </c>
      <c r="F481" s="11">
        <v>30702</v>
      </c>
      <c r="H481" s="12">
        <f>(PrincipalesVariables[[#This Row],[Base monetaria]]-C480)/C480</f>
        <v>-6.2159594073205927E-4</v>
      </c>
      <c r="I481" s="12">
        <f>(PrincipalesVariables[[#This Row],[Dólar  mayorista]]-E480)/E480</f>
        <v>3.1152647975078601E-3</v>
      </c>
      <c r="J481" s="12">
        <f>(PrincipalesVariables[[#This Row],[Reservas internacionales]]-F480)/F480</f>
        <v>7.1707953063885265E-4</v>
      </c>
    </row>
    <row r="482" spans="1:10" ht="15.75" thickBot="1" x14ac:dyDescent="0.3">
      <c r="A482" s="14">
        <v>41634</v>
      </c>
      <c r="B482" s="15">
        <v>41634</v>
      </c>
      <c r="C482" s="16">
        <v>378259</v>
      </c>
      <c r="D482" s="10">
        <f>PrincipalesVariables[[#This Row],[Base monetaria]]/1000000</f>
        <v>0.37825900000000001</v>
      </c>
      <c r="E482" s="10">
        <v>6.47</v>
      </c>
      <c r="F482" s="11">
        <v>30777</v>
      </c>
      <c r="H482" s="12">
        <f>(PrincipalesVariables[[#This Row],[Base monetaria]]-C481)/C481</f>
        <v>3.6433930107792042E-2</v>
      </c>
      <c r="I482" s="12">
        <f>(PrincipalesVariables[[#This Row],[Dólar  mayorista]]-E481)/E481</f>
        <v>4.6583850931676022E-3</v>
      </c>
      <c r="J482" s="12">
        <f>(PrincipalesVariables[[#This Row],[Reservas internacionales]]-F481)/F481</f>
        <v>2.4428376001563415E-3</v>
      </c>
    </row>
    <row r="483" spans="1:10" ht="15.75" thickBot="1" x14ac:dyDescent="0.3">
      <c r="A483" s="14">
        <v>41635</v>
      </c>
      <c r="B483" s="15">
        <v>41635</v>
      </c>
      <c r="C483" s="16">
        <v>374056</v>
      </c>
      <c r="D483" s="10">
        <f>PrincipalesVariables[[#This Row],[Base monetaria]]/1000000</f>
        <v>0.374056</v>
      </c>
      <c r="E483" s="10">
        <v>6.49</v>
      </c>
      <c r="F483" s="11">
        <v>30828</v>
      </c>
      <c r="H483" s="12">
        <f>(PrincipalesVariables[[#This Row],[Base monetaria]]-C482)/C482</f>
        <v>-1.1111434228927798E-2</v>
      </c>
      <c r="I483" s="12">
        <f>(PrincipalesVariables[[#This Row],[Dólar  mayorista]]-E482)/E482</f>
        <v>3.0911901081917253E-3</v>
      </c>
      <c r="J483" s="12">
        <f>(PrincipalesVariables[[#This Row],[Reservas internacionales]]-F482)/F482</f>
        <v>1.6570815868993079E-3</v>
      </c>
    </row>
    <row r="484" spans="1:10" ht="15.75" thickBot="1" x14ac:dyDescent="0.3">
      <c r="A484" s="14">
        <v>41638</v>
      </c>
      <c r="B484" s="15">
        <v>41638</v>
      </c>
      <c r="C484" s="16">
        <v>377196</v>
      </c>
      <c r="D484" s="10">
        <f>PrincipalesVariables[[#This Row],[Base monetaria]]/1000000</f>
        <v>0.37719599999999998</v>
      </c>
      <c r="E484" s="10">
        <v>6.52</v>
      </c>
      <c r="F484" s="11">
        <v>30600</v>
      </c>
      <c r="H484" s="12">
        <f>(PrincipalesVariables[[#This Row],[Base monetaria]]-C483)/C483</f>
        <v>8.394464999893065E-3</v>
      </c>
      <c r="I484" s="12">
        <f>(PrincipalesVariables[[#This Row],[Dólar  mayorista]]-E483)/E483</f>
        <v>4.6224961479197782E-3</v>
      </c>
      <c r="J484" s="12">
        <f>(PrincipalesVariables[[#This Row],[Reservas internacionales]]-F483)/F483</f>
        <v>-7.3958738808875052E-3</v>
      </c>
    </row>
    <row r="485" spans="1:10" ht="15.75" thickBot="1" x14ac:dyDescent="0.3">
      <c r="A485" s="14">
        <v>41641</v>
      </c>
      <c r="B485" s="15">
        <v>41641</v>
      </c>
      <c r="C485" s="16">
        <v>378160</v>
      </c>
      <c r="D485" s="10">
        <f>PrincipalesVariables[[#This Row],[Base monetaria]]/1000000</f>
        <v>0.37816</v>
      </c>
      <c r="E485" s="10">
        <v>6.54</v>
      </c>
      <c r="F485" s="11">
        <v>30586</v>
      </c>
      <c r="H485" s="12">
        <f>(PrincipalesVariables[[#This Row],[Base monetaria]]-C484)/C484</f>
        <v>2.5557004846286811E-3</v>
      </c>
      <c r="I485" s="12">
        <f>(PrincipalesVariables[[#This Row],[Dólar  mayorista]]-E484)/E484</f>
        <v>3.0674846625767583E-3</v>
      </c>
      <c r="J485" s="12">
        <f>(PrincipalesVariables[[#This Row],[Reservas internacionales]]-F484)/F484</f>
        <v>-4.5751633986928104E-4</v>
      </c>
    </row>
    <row r="486" spans="1:10" ht="15.75" thickBot="1" x14ac:dyDescent="0.3">
      <c r="A486" s="14">
        <v>41642</v>
      </c>
      <c r="B486" s="15">
        <v>41642</v>
      </c>
      <c r="C486" s="16">
        <v>376497</v>
      </c>
      <c r="D486" s="10">
        <f>PrincipalesVariables[[#This Row],[Base monetaria]]/1000000</f>
        <v>0.37649700000000003</v>
      </c>
      <c r="E486" s="10">
        <v>6.56</v>
      </c>
      <c r="F486" s="11">
        <v>30529</v>
      </c>
      <c r="H486" s="12">
        <f>(PrincipalesVariables[[#This Row],[Base monetaria]]-C485)/C485</f>
        <v>-4.3976094774698538E-3</v>
      </c>
      <c r="I486" s="12">
        <f>(PrincipalesVariables[[#This Row],[Dólar  mayorista]]-E485)/E485</f>
        <v>3.0581039755351032E-3</v>
      </c>
      <c r="J486" s="12">
        <f>(PrincipalesVariables[[#This Row],[Reservas internacionales]]-F485)/F485</f>
        <v>-1.8635977244490943E-3</v>
      </c>
    </row>
    <row r="487" spans="1:10" ht="15.75" thickBot="1" x14ac:dyDescent="0.3">
      <c r="A487" s="14">
        <v>41645</v>
      </c>
      <c r="B487" s="15">
        <v>41645</v>
      </c>
      <c r="C487" s="16">
        <v>375463</v>
      </c>
      <c r="D487" s="10">
        <f>PrincipalesVariables[[#This Row],[Base monetaria]]/1000000</f>
        <v>0.37546299999999999</v>
      </c>
      <c r="E487" s="10">
        <v>6.59</v>
      </c>
      <c r="F487" s="11">
        <v>30352</v>
      </c>
      <c r="H487" s="12">
        <f>(PrincipalesVariables[[#This Row],[Base monetaria]]-C486)/C486</f>
        <v>-2.7463698249919656E-3</v>
      </c>
      <c r="I487" s="12">
        <f>(PrincipalesVariables[[#This Row],[Dólar  mayorista]]-E486)/E486</f>
        <v>4.573170731707355E-3</v>
      </c>
      <c r="J487" s="12">
        <f>(PrincipalesVariables[[#This Row],[Reservas internacionales]]-F486)/F486</f>
        <v>-5.7977660585017523E-3</v>
      </c>
    </row>
    <row r="488" spans="1:10" ht="15.75" thickBot="1" x14ac:dyDescent="0.3">
      <c r="A488" s="14">
        <v>41646</v>
      </c>
      <c r="B488" s="15">
        <v>41646</v>
      </c>
      <c r="C488" s="16">
        <v>374165</v>
      </c>
      <c r="D488" s="10">
        <f>PrincipalesVariables[[#This Row],[Base monetaria]]/1000000</f>
        <v>0.37416500000000003</v>
      </c>
      <c r="E488" s="10">
        <v>6.6</v>
      </c>
      <c r="F488" s="11">
        <v>30437</v>
      </c>
      <c r="H488" s="12">
        <f>(PrincipalesVariables[[#This Row],[Base monetaria]]-C487)/C487</f>
        <v>-3.4570650104004922E-3</v>
      </c>
      <c r="I488" s="12">
        <f>(PrincipalesVariables[[#This Row],[Dólar  mayorista]]-E487)/E487</f>
        <v>1.517450682852775E-3</v>
      </c>
      <c r="J488" s="12">
        <f>(PrincipalesVariables[[#This Row],[Reservas internacionales]]-F487)/F487</f>
        <v>2.8004744333157616E-3</v>
      </c>
    </row>
    <row r="489" spans="1:10" ht="15.75" thickBot="1" x14ac:dyDescent="0.3">
      <c r="A489" s="14">
        <v>41647</v>
      </c>
      <c r="B489" s="15">
        <v>41647</v>
      </c>
      <c r="C489" s="16">
        <v>371632</v>
      </c>
      <c r="D489" s="10">
        <f>PrincipalesVariables[[#This Row],[Base monetaria]]/1000000</f>
        <v>0.37163200000000002</v>
      </c>
      <c r="E489" s="10">
        <v>6.6</v>
      </c>
      <c r="F489" s="11">
        <v>30230</v>
      </c>
      <c r="H489" s="12">
        <f>(PrincipalesVariables[[#This Row],[Base monetaria]]-C488)/C488</f>
        <v>-6.7697406224526612E-3</v>
      </c>
      <c r="I489" s="12">
        <f>(PrincipalesVariables[[#This Row],[Dólar  mayorista]]-E488)/E488</f>
        <v>0</v>
      </c>
      <c r="J489" s="12">
        <f>(PrincipalesVariables[[#This Row],[Reservas internacionales]]-F488)/F488</f>
        <v>-6.8009330748759729E-3</v>
      </c>
    </row>
    <row r="490" spans="1:10" ht="15.75" thickBot="1" x14ac:dyDescent="0.3">
      <c r="A490" s="14">
        <v>41648</v>
      </c>
      <c r="B490" s="15">
        <v>41648</v>
      </c>
      <c r="C490" s="16">
        <v>374042</v>
      </c>
      <c r="D490" s="10">
        <f>PrincipalesVariables[[#This Row],[Base monetaria]]/1000000</f>
        <v>0.37404199999999999</v>
      </c>
      <c r="E490" s="10">
        <v>6.63</v>
      </c>
      <c r="F490" s="11">
        <v>30222</v>
      </c>
      <c r="H490" s="12">
        <f>(PrincipalesVariables[[#This Row],[Base monetaria]]-C489)/C489</f>
        <v>6.4849098032462218E-3</v>
      </c>
      <c r="I490" s="12">
        <f>(PrincipalesVariables[[#This Row],[Dólar  mayorista]]-E489)/E489</f>
        <v>4.5454545454545834E-3</v>
      </c>
      <c r="J490" s="12">
        <f>(PrincipalesVariables[[#This Row],[Reservas internacionales]]-F489)/F489</f>
        <v>-2.6463777704267285E-4</v>
      </c>
    </row>
    <row r="491" spans="1:10" ht="15.75" thickBot="1" x14ac:dyDescent="0.3">
      <c r="A491" s="14">
        <v>41649</v>
      </c>
      <c r="B491" s="15">
        <v>41649</v>
      </c>
      <c r="C491" s="16">
        <v>375046</v>
      </c>
      <c r="D491" s="10">
        <f>PrincipalesVariables[[#This Row],[Base monetaria]]/1000000</f>
        <v>0.37504599999999999</v>
      </c>
      <c r="E491" s="10">
        <v>6.65</v>
      </c>
      <c r="F491" s="11">
        <v>30156</v>
      </c>
      <c r="H491" s="12">
        <f>(PrincipalesVariables[[#This Row],[Base monetaria]]-C490)/C490</f>
        <v>2.684190545446768E-3</v>
      </c>
      <c r="I491" s="12">
        <f>(PrincipalesVariables[[#This Row],[Dólar  mayorista]]-E490)/E490</f>
        <v>3.016591251885439E-3</v>
      </c>
      <c r="J491" s="12">
        <f>(PrincipalesVariables[[#This Row],[Reservas internacionales]]-F490)/F490</f>
        <v>-2.1838395870557871E-3</v>
      </c>
    </row>
    <row r="492" spans="1:10" ht="15.75" thickBot="1" x14ac:dyDescent="0.3">
      <c r="A492" s="14">
        <v>41652</v>
      </c>
      <c r="B492" s="15">
        <v>41652</v>
      </c>
      <c r="C492" s="16">
        <v>374738</v>
      </c>
      <c r="D492" s="10">
        <f>PrincipalesVariables[[#This Row],[Base monetaria]]/1000000</f>
        <v>0.37473800000000002</v>
      </c>
      <c r="E492" s="10">
        <v>6.69</v>
      </c>
      <c r="F492" s="11">
        <v>30105</v>
      </c>
      <c r="H492" s="12">
        <f>(PrincipalesVariables[[#This Row],[Base monetaria]]-C491)/C491</f>
        <v>-8.2123259546828923E-4</v>
      </c>
      <c r="I492" s="12">
        <f>(PrincipalesVariables[[#This Row],[Dólar  mayorista]]-E491)/E491</f>
        <v>6.0150375939849671E-3</v>
      </c>
      <c r="J492" s="12">
        <f>(PrincipalesVariables[[#This Row],[Reservas internacionales]]-F491)/F491</f>
        <v>-1.6912057302029446E-3</v>
      </c>
    </row>
    <row r="493" spans="1:10" ht="15.75" thickBot="1" x14ac:dyDescent="0.3">
      <c r="A493" s="14">
        <v>41653</v>
      </c>
      <c r="B493" s="15">
        <v>41653</v>
      </c>
      <c r="C493" s="16">
        <v>375069</v>
      </c>
      <c r="D493" s="10">
        <f>PrincipalesVariables[[#This Row],[Base monetaria]]/1000000</f>
        <v>0.37506899999999999</v>
      </c>
      <c r="E493" s="10">
        <v>6.71</v>
      </c>
      <c r="F493" s="11">
        <v>30025</v>
      </c>
      <c r="H493" s="12">
        <f>(PrincipalesVariables[[#This Row],[Base monetaria]]-C492)/C492</f>
        <v>8.8328378760627426E-4</v>
      </c>
      <c r="I493" s="12">
        <f>(PrincipalesVariables[[#This Row],[Dólar  mayorista]]-E492)/E492</f>
        <v>2.9895366218235533E-3</v>
      </c>
      <c r="J493" s="12">
        <f>(PrincipalesVariables[[#This Row],[Reservas internacionales]]-F492)/F492</f>
        <v>-2.6573658860654377E-3</v>
      </c>
    </row>
    <row r="494" spans="1:10" ht="15.75" thickBot="1" x14ac:dyDescent="0.3">
      <c r="A494" s="14">
        <v>41654</v>
      </c>
      <c r="B494" s="15">
        <v>41654</v>
      </c>
      <c r="C494" s="16">
        <v>371442</v>
      </c>
      <c r="D494" s="10">
        <f>PrincipalesVariables[[#This Row],[Base monetaria]]/1000000</f>
        <v>0.37144199999999999</v>
      </c>
      <c r="E494" s="10">
        <v>6.74</v>
      </c>
      <c r="F494" s="11">
        <v>29863</v>
      </c>
      <c r="H494" s="12">
        <f>(PrincipalesVariables[[#This Row],[Base monetaria]]-C493)/C493</f>
        <v>-9.6702206793949919E-3</v>
      </c>
      <c r="I494" s="12">
        <f>(PrincipalesVariables[[#This Row],[Dólar  mayorista]]-E493)/E493</f>
        <v>4.4709388971684427E-3</v>
      </c>
      <c r="J494" s="12">
        <f>(PrincipalesVariables[[#This Row],[Reservas internacionales]]-F493)/F493</f>
        <v>-5.3955037468776017E-3</v>
      </c>
    </row>
    <row r="495" spans="1:10" ht="15.75" thickBot="1" x14ac:dyDescent="0.3">
      <c r="A495" s="14">
        <v>41655</v>
      </c>
      <c r="B495" s="15">
        <v>41655</v>
      </c>
      <c r="C495" s="16">
        <v>367298</v>
      </c>
      <c r="D495" s="10">
        <f>PrincipalesVariables[[#This Row],[Base monetaria]]/1000000</f>
        <v>0.36729800000000001</v>
      </c>
      <c r="E495" s="10">
        <v>6.77</v>
      </c>
      <c r="F495" s="11">
        <v>29692</v>
      </c>
      <c r="H495" s="12">
        <f>(PrincipalesVariables[[#This Row],[Base monetaria]]-C494)/C494</f>
        <v>-1.1156519725825298E-2</v>
      </c>
      <c r="I495" s="12">
        <f>(PrincipalesVariables[[#This Row],[Dólar  mayorista]]-E494)/E494</f>
        <v>4.4510385756675605E-3</v>
      </c>
      <c r="J495" s="12">
        <f>(PrincipalesVariables[[#This Row],[Reservas internacionales]]-F494)/F494</f>
        <v>-5.7261494156648695E-3</v>
      </c>
    </row>
    <row r="496" spans="1:10" ht="15.75" thickBot="1" x14ac:dyDescent="0.3">
      <c r="A496" s="14">
        <v>41656</v>
      </c>
      <c r="B496" s="15">
        <v>41656</v>
      </c>
      <c r="C496" s="16">
        <v>366454</v>
      </c>
      <c r="D496" s="10">
        <f>PrincipalesVariables[[#This Row],[Base monetaria]]/1000000</f>
        <v>0.366454</v>
      </c>
      <c r="E496" s="10">
        <v>6.81</v>
      </c>
      <c r="F496" s="11">
        <v>29681</v>
      </c>
      <c r="H496" s="12">
        <f>(PrincipalesVariables[[#This Row],[Base monetaria]]-C495)/C495</f>
        <v>-2.2978616817951637E-3</v>
      </c>
      <c r="I496" s="12">
        <f>(PrincipalesVariables[[#This Row],[Dólar  mayorista]]-E495)/E495</f>
        <v>5.9084194977843483E-3</v>
      </c>
      <c r="J496" s="12">
        <f>(PrincipalesVariables[[#This Row],[Reservas internacionales]]-F495)/F495</f>
        <v>-3.7047016031254207E-4</v>
      </c>
    </row>
    <row r="497" spans="1:10" ht="15.75" thickBot="1" x14ac:dyDescent="0.3">
      <c r="A497" s="14">
        <v>41659</v>
      </c>
      <c r="B497" s="15">
        <v>41659</v>
      </c>
      <c r="C497" s="16">
        <v>365243</v>
      </c>
      <c r="D497" s="10">
        <f>PrincipalesVariables[[#This Row],[Base monetaria]]/1000000</f>
        <v>0.36524299999999998</v>
      </c>
      <c r="E497" s="10">
        <v>6.83</v>
      </c>
      <c r="F497" s="11">
        <v>29682</v>
      </c>
      <c r="H497" s="12">
        <f>(PrincipalesVariables[[#This Row],[Base monetaria]]-C496)/C496</f>
        <v>-3.3046439662276846E-3</v>
      </c>
      <c r="I497" s="12">
        <f>(PrincipalesVariables[[#This Row],[Dólar  mayorista]]-E496)/E496</f>
        <v>2.9368575624082911E-3</v>
      </c>
      <c r="J497" s="12">
        <f>(PrincipalesVariables[[#This Row],[Reservas internacionales]]-F496)/F496</f>
        <v>3.3691587210673498E-5</v>
      </c>
    </row>
    <row r="498" spans="1:10" ht="15.75" thickBot="1" x14ac:dyDescent="0.3">
      <c r="A498" s="14">
        <v>41660</v>
      </c>
      <c r="B498" s="15">
        <v>41660</v>
      </c>
      <c r="C498" s="16">
        <v>364442</v>
      </c>
      <c r="D498" s="10">
        <f>PrincipalesVariables[[#This Row],[Base monetaria]]/1000000</f>
        <v>0.36444199999999999</v>
      </c>
      <c r="E498" s="10">
        <v>6.88</v>
      </c>
      <c r="F498" s="11">
        <v>29405</v>
      </c>
      <c r="H498" s="12">
        <f>(PrincipalesVariables[[#This Row],[Base monetaria]]-C497)/C497</f>
        <v>-2.1930605103999256E-3</v>
      </c>
      <c r="I498" s="12">
        <f>(PrincipalesVariables[[#This Row],[Dólar  mayorista]]-E497)/E497</f>
        <v>7.320644216691043E-3</v>
      </c>
      <c r="J498" s="12">
        <f>(PrincipalesVariables[[#This Row],[Reservas internacionales]]-F497)/F497</f>
        <v>-9.3322552388653054E-3</v>
      </c>
    </row>
    <row r="499" spans="1:10" ht="15.75" thickBot="1" x14ac:dyDescent="0.3">
      <c r="A499" s="14">
        <v>41661</v>
      </c>
      <c r="B499" s="15">
        <v>41661</v>
      </c>
      <c r="C499" s="16">
        <v>360432</v>
      </c>
      <c r="D499" s="10">
        <f>PrincipalesVariables[[#This Row],[Base monetaria]]/1000000</f>
        <v>0.36043199999999997</v>
      </c>
      <c r="E499" s="10">
        <v>6.91</v>
      </c>
      <c r="F499" s="11">
        <v>29325</v>
      </c>
      <c r="H499" s="12">
        <f>(PrincipalesVariables[[#This Row],[Base monetaria]]-C498)/C498</f>
        <v>-1.1003122581919756E-2</v>
      </c>
      <c r="I499" s="12">
        <f>(PrincipalesVariables[[#This Row],[Dólar  mayorista]]-E498)/E498</f>
        <v>4.3604651162791061E-3</v>
      </c>
      <c r="J499" s="12">
        <f>(PrincipalesVariables[[#This Row],[Reservas internacionales]]-F498)/F498</f>
        <v>-2.7206257439211018E-3</v>
      </c>
    </row>
    <row r="500" spans="1:10" ht="15.75" thickBot="1" x14ac:dyDescent="0.3">
      <c r="A500" s="14">
        <v>41662</v>
      </c>
      <c r="B500" s="15">
        <v>41662</v>
      </c>
      <c r="C500" s="16">
        <v>360573</v>
      </c>
      <c r="D500" s="10">
        <f>PrincipalesVariables[[#This Row],[Base monetaria]]/1000000</f>
        <v>0.36057299999999998</v>
      </c>
      <c r="E500" s="10">
        <v>7.53</v>
      </c>
      <c r="F500" s="11">
        <v>29074</v>
      </c>
      <c r="H500" s="12">
        <f>(PrincipalesVariables[[#This Row],[Base monetaria]]-C499)/C499</f>
        <v>3.9119722999067784E-4</v>
      </c>
      <c r="I500" s="12">
        <f>(PrincipalesVariables[[#This Row],[Dólar  mayorista]]-E499)/E499</f>
        <v>8.9725036179450088E-2</v>
      </c>
      <c r="J500" s="12">
        <f>(PrincipalesVariables[[#This Row],[Reservas internacionales]]-F499)/F499</f>
        <v>-8.5592497868712709E-3</v>
      </c>
    </row>
    <row r="501" spans="1:10" ht="15.75" thickBot="1" x14ac:dyDescent="0.3">
      <c r="A501" s="14">
        <v>41663</v>
      </c>
      <c r="B501" s="15">
        <v>41663</v>
      </c>
      <c r="C501" s="16">
        <v>356532</v>
      </c>
      <c r="D501" s="10">
        <f>PrincipalesVariables[[#This Row],[Base monetaria]]/1000000</f>
        <v>0.35653200000000002</v>
      </c>
      <c r="E501" s="10">
        <v>8.02</v>
      </c>
      <c r="F501" s="11">
        <v>28872</v>
      </c>
      <c r="H501" s="12">
        <f>(PrincipalesVariables[[#This Row],[Base monetaria]]-C500)/C500</f>
        <v>-1.1207161933921841E-2</v>
      </c>
      <c r="I501" s="12">
        <f>(PrincipalesVariables[[#This Row],[Dólar  mayorista]]-E500)/E500</f>
        <v>6.5073041168658613E-2</v>
      </c>
      <c r="J501" s="12">
        <f>(PrincipalesVariables[[#This Row],[Reservas internacionales]]-F500)/F500</f>
        <v>-6.9477884020086676E-3</v>
      </c>
    </row>
    <row r="502" spans="1:10" ht="15.75" thickBot="1" x14ac:dyDescent="0.3">
      <c r="A502" s="14">
        <v>41666</v>
      </c>
      <c r="B502" s="15">
        <v>41666</v>
      </c>
      <c r="C502" s="16">
        <v>353732</v>
      </c>
      <c r="D502" s="10">
        <f>PrincipalesVariables[[#This Row],[Base monetaria]]/1000000</f>
        <v>0.35373199999999999</v>
      </c>
      <c r="E502" s="10">
        <v>8.01</v>
      </c>
      <c r="F502" s="11">
        <v>28704</v>
      </c>
      <c r="H502" s="12">
        <f>(PrincipalesVariables[[#This Row],[Base monetaria]]-C501)/C501</f>
        <v>-7.8534325109667572E-3</v>
      </c>
      <c r="I502" s="12">
        <f>(PrincipalesVariables[[#This Row],[Dólar  mayorista]]-E501)/E501</f>
        <v>-1.2468827930174299E-3</v>
      </c>
      <c r="J502" s="12">
        <f>(PrincipalesVariables[[#This Row],[Reservas internacionales]]-F501)/F501</f>
        <v>-5.8187863674147968E-3</v>
      </c>
    </row>
    <row r="503" spans="1:10" ht="15.75" thickBot="1" x14ac:dyDescent="0.3">
      <c r="A503" s="14">
        <v>41667</v>
      </c>
      <c r="B503" s="15">
        <v>41667</v>
      </c>
      <c r="C503" s="16">
        <v>357207</v>
      </c>
      <c r="D503" s="10">
        <f>PrincipalesVariables[[#This Row],[Base monetaria]]/1000000</f>
        <v>0.357207</v>
      </c>
      <c r="E503" s="10">
        <v>8.02</v>
      </c>
      <c r="F503" s="11">
        <v>28445</v>
      </c>
      <c r="H503" s="12">
        <f>(PrincipalesVariables[[#This Row],[Base monetaria]]-C502)/C502</f>
        <v>9.823821424129001E-3</v>
      </c>
      <c r="I503" s="12">
        <f>(PrincipalesVariables[[#This Row],[Dólar  mayorista]]-E502)/E502</f>
        <v>1.248439450686615E-3</v>
      </c>
      <c r="J503" s="12">
        <f>(PrincipalesVariables[[#This Row],[Reservas internacionales]]-F502)/F502</f>
        <v>-9.023132664437012E-3</v>
      </c>
    </row>
    <row r="504" spans="1:10" ht="15.75" thickBot="1" x14ac:dyDescent="0.3">
      <c r="A504" s="14">
        <v>41668</v>
      </c>
      <c r="B504" s="15">
        <v>41668</v>
      </c>
      <c r="C504" s="16">
        <v>362576</v>
      </c>
      <c r="D504" s="10">
        <f>PrincipalesVariables[[#This Row],[Base monetaria]]/1000000</f>
        <v>0.36257600000000001</v>
      </c>
      <c r="E504" s="10">
        <v>8.02</v>
      </c>
      <c r="F504" s="11">
        <v>28201</v>
      </c>
      <c r="H504" s="12">
        <f>(PrincipalesVariables[[#This Row],[Base monetaria]]-C503)/C503</f>
        <v>1.503050052210623E-2</v>
      </c>
      <c r="I504" s="12">
        <f>(PrincipalesVariables[[#This Row],[Dólar  mayorista]]-E503)/E503</f>
        <v>0</v>
      </c>
      <c r="J504" s="12">
        <f>(PrincipalesVariables[[#This Row],[Reservas internacionales]]-F503)/F503</f>
        <v>-8.5779574617683256E-3</v>
      </c>
    </row>
    <row r="505" spans="1:10" ht="15.75" thickBot="1" x14ac:dyDescent="0.3">
      <c r="A505" s="14">
        <v>41669</v>
      </c>
      <c r="B505" s="15">
        <v>41669</v>
      </c>
      <c r="C505" s="16">
        <v>364446</v>
      </c>
      <c r="D505" s="10">
        <f>PrincipalesVariables[[#This Row],[Base monetaria]]/1000000</f>
        <v>0.36444599999999999</v>
      </c>
      <c r="E505" s="10">
        <v>8.02</v>
      </c>
      <c r="F505" s="11">
        <v>27822</v>
      </c>
      <c r="H505" s="12">
        <f>(PrincipalesVariables[[#This Row],[Base monetaria]]-C504)/C504</f>
        <v>5.1575393848462114E-3</v>
      </c>
      <c r="I505" s="12">
        <f>(PrincipalesVariables[[#This Row],[Dólar  mayorista]]-E504)/E504</f>
        <v>0</v>
      </c>
      <c r="J505" s="12">
        <f>(PrincipalesVariables[[#This Row],[Reservas internacionales]]-F504)/F504</f>
        <v>-1.3439239743271516E-2</v>
      </c>
    </row>
    <row r="506" spans="1:10" ht="15.75" thickBot="1" x14ac:dyDescent="0.3">
      <c r="A506" s="14">
        <v>41670</v>
      </c>
      <c r="B506" s="15">
        <v>41670</v>
      </c>
      <c r="C506" s="16">
        <v>363858</v>
      </c>
      <c r="D506" s="10">
        <f>PrincipalesVariables[[#This Row],[Base monetaria]]/1000000</f>
        <v>0.36385800000000001</v>
      </c>
      <c r="E506" s="10">
        <v>8.02</v>
      </c>
      <c r="F506" s="11">
        <v>27748</v>
      </c>
      <c r="H506" s="12">
        <f>(PrincipalesVariables[[#This Row],[Base monetaria]]-C505)/C505</f>
        <v>-1.6134077476498577E-3</v>
      </c>
      <c r="I506" s="12">
        <f>(PrincipalesVariables[[#This Row],[Dólar  mayorista]]-E505)/E505</f>
        <v>0</v>
      </c>
      <c r="J506" s="12">
        <f>(PrincipalesVariables[[#This Row],[Reservas internacionales]]-F505)/F505</f>
        <v>-2.6597656530802961E-3</v>
      </c>
    </row>
    <row r="507" spans="1:10" ht="15.75" thickBot="1" x14ac:dyDescent="0.3">
      <c r="A507" s="14">
        <v>41673</v>
      </c>
      <c r="B507" s="15">
        <v>41673</v>
      </c>
      <c r="C507" s="16">
        <v>360675</v>
      </c>
      <c r="D507" s="10">
        <f>PrincipalesVariables[[#This Row],[Base monetaria]]/1000000</f>
        <v>0.36067500000000002</v>
      </c>
      <c r="E507" s="10">
        <v>8.02</v>
      </c>
      <c r="F507" s="11">
        <v>27795</v>
      </c>
      <c r="H507" s="12">
        <f>(PrincipalesVariables[[#This Row],[Base monetaria]]-C506)/C506</f>
        <v>-8.7479181438912985E-3</v>
      </c>
      <c r="I507" s="12">
        <f>(PrincipalesVariables[[#This Row],[Dólar  mayorista]]-E506)/E506</f>
        <v>0</v>
      </c>
      <c r="J507" s="12">
        <f>(PrincipalesVariables[[#This Row],[Reservas internacionales]]-F506)/F506</f>
        <v>1.6938157705059824E-3</v>
      </c>
    </row>
    <row r="508" spans="1:10" ht="15.75" thickBot="1" x14ac:dyDescent="0.3">
      <c r="A508" s="14">
        <v>41674</v>
      </c>
      <c r="B508" s="15">
        <v>41674</v>
      </c>
      <c r="C508" s="16">
        <v>358249</v>
      </c>
      <c r="D508" s="10">
        <f>PrincipalesVariables[[#This Row],[Base monetaria]]/1000000</f>
        <v>0.35824899999999998</v>
      </c>
      <c r="E508" s="10">
        <v>8.01</v>
      </c>
      <c r="F508" s="11">
        <v>27779</v>
      </c>
      <c r="H508" s="12">
        <f>(PrincipalesVariables[[#This Row],[Base monetaria]]-C507)/C507</f>
        <v>-6.7262771192902193E-3</v>
      </c>
      <c r="I508" s="12">
        <f>(PrincipalesVariables[[#This Row],[Dólar  mayorista]]-E507)/E507</f>
        <v>-1.2468827930174299E-3</v>
      </c>
      <c r="J508" s="12">
        <f>(PrincipalesVariables[[#This Row],[Reservas internacionales]]-F507)/F507</f>
        <v>-5.7564310127720811E-4</v>
      </c>
    </row>
    <row r="509" spans="1:10" ht="15.75" thickBot="1" x14ac:dyDescent="0.3">
      <c r="A509" s="14">
        <v>41675</v>
      </c>
      <c r="B509" s="15">
        <v>41675</v>
      </c>
      <c r="C509" s="16">
        <v>349439</v>
      </c>
      <c r="D509" s="10">
        <f>PrincipalesVariables[[#This Row],[Base monetaria]]/1000000</f>
        <v>0.349439</v>
      </c>
      <c r="E509" s="10">
        <v>7.97</v>
      </c>
      <c r="F509" s="11">
        <v>27774</v>
      </c>
      <c r="H509" s="12">
        <f>(PrincipalesVariables[[#This Row],[Base monetaria]]-C508)/C508</f>
        <v>-2.4591834171204942E-2</v>
      </c>
      <c r="I509" s="12">
        <f>(PrincipalesVariables[[#This Row],[Dólar  mayorista]]-E508)/E508</f>
        <v>-4.9937578027465712E-3</v>
      </c>
      <c r="J509" s="12">
        <f>(PrincipalesVariables[[#This Row],[Reservas internacionales]]-F508)/F508</f>
        <v>-1.7999208034846466E-4</v>
      </c>
    </row>
    <row r="510" spans="1:10" ht="15.75" thickBot="1" x14ac:dyDescent="0.3">
      <c r="A510" s="14">
        <v>41676</v>
      </c>
      <c r="B510" s="15">
        <v>41676</v>
      </c>
      <c r="C510" s="16">
        <v>351110</v>
      </c>
      <c r="D510" s="10">
        <f>PrincipalesVariables[[#This Row],[Base monetaria]]/1000000</f>
        <v>0.35110999999999998</v>
      </c>
      <c r="E510" s="10">
        <v>7.91</v>
      </c>
      <c r="F510" s="11">
        <v>27735</v>
      </c>
      <c r="H510" s="12">
        <f>(PrincipalesVariables[[#This Row],[Base monetaria]]-C509)/C509</f>
        <v>4.7819504977978993E-3</v>
      </c>
      <c r="I510" s="12">
        <f>(PrincipalesVariables[[#This Row],[Dólar  mayorista]]-E509)/E509</f>
        <v>-7.5282308657465009E-3</v>
      </c>
      <c r="J510" s="12">
        <f>(PrincipalesVariables[[#This Row],[Reservas internacionales]]-F509)/F509</f>
        <v>-1.4041909699719162E-3</v>
      </c>
    </row>
    <row r="511" spans="1:10" ht="15.75" thickBot="1" x14ac:dyDescent="0.3">
      <c r="A511" s="14">
        <v>41677</v>
      </c>
      <c r="B511" s="15">
        <v>41677</v>
      </c>
      <c r="C511" s="16">
        <v>349349</v>
      </c>
      <c r="D511" s="10">
        <f>PrincipalesVariables[[#This Row],[Base monetaria]]/1000000</f>
        <v>0.34934900000000002</v>
      </c>
      <c r="E511" s="10">
        <v>7.86</v>
      </c>
      <c r="F511" s="11">
        <v>27784</v>
      </c>
      <c r="H511" s="12">
        <f>(PrincipalesVariables[[#This Row],[Base monetaria]]-C510)/C510</f>
        <v>-5.0155222010196234E-3</v>
      </c>
      <c r="I511" s="12">
        <f>(PrincipalesVariables[[#This Row],[Dólar  mayorista]]-E510)/E510</f>
        <v>-6.3211125158027584E-3</v>
      </c>
      <c r="J511" s="12">
        <f>(PrincipalesVariables[[#This Row],[Reservas internacionales]]-F510)/F510</f>
        <v>1.7667207499549307E-3</v>
      </c>
    </row>
    <row r="512" spans="1:10" ht="15.75" thickBot="1" x14ac:dyDescent="0.3">
      <c r="A512" s="14">
        <v>41680</v>
      </c>
      <c r="B512" s="15">
        <v>41680</v>
      </c>
      <c r="C512" s="16">
        <v>346753</v>
      </c>
      <c r="D512" s="10">
        <f>PrincipalesVariables[[#This Row],[Base monetaria]]/1000000</f>
        <v>0.34675299999999998</v>
      </c>
      <c r="E512" s="10">
        <v>7.84</v>
      </c>
      <c r="F512" s="11">
        <v>27644</v>
      </c>
      <c r="H512" s="12">
        <f>(PrincipalesVariables[[#This Row],[Base monetaria]]-C511)/C511</f>
        <v>-7.4309644510217572E-3</v>
      </c>
      <c r="I512" s="12">
        <f>(PrincipalesVariables[[#This Row],[Dólar  mayorista]]-E511)/E511</f>
        <v>-2.5445292620865727E-3</v>
      </c>
      <c r="J512" s="12">
        <f>(PrincipalesVariables[[#This Row],[Reservas internacionales]]-F511)/F511</f>
        <v>-5.0388712928304061E-3</v>
      </c>
    </row>
    <row r="513" spans="1:10" ht="15.75" thickBot="1" x14ac:dyDescent="0.3">
      <c r="A513" s="14">
        <v>41681</v>
      </c>
      <c r="B513" s="15">
        <v>41681</v>
      </c>
      <c r="C513" s="16">
        <v>346799</v>
      </c>
      <c r="D513" s="10">
        <f>PrincipalesVariables[[#This Row],[Base monetaria]]/1000000</f>
        <v>0.34679900000000002</v>
      </c>
      <c r="E513" s="10">
        <v>7.82</v>
      </c>
      <c r="F513" s="11">
        <v>27709</v>
      </c>
      <c r="H513" s="12">
        <f>(PrincipalesVariables[[#This Row],[Base monetaria]]-C512)/C512</f>
        <v>1.3265927043169058E-4</v>
      </c>
      <c r="I513" s="12">
        <f>(PrincipalesVariables[[#This Row],[Dólar  mayorista]]-E512)/E512</f>
        <v>-2.5510204081632109E-3</v>
      </c>
      <c r="J513" s="12">
        <f>(PrincipalesVariables[[#This Row],[Reservas internacionales]]-F512)/F512</f>
        <v>2.351323976269715E-3</v>
      </c>
    </row>
    <row r="514" spans="1:10" ht="15.75" thickBot="1" x14ac:dyDescent="0.3">
      <c r="A514" s="14">
        <v>41682</v>
      </c>
      <c r="B514" s="15">
        <v>41682</v>
      </c>
      <c r="C514" s="16">
        <v>352232</v>
      </c>
      <c r="D514" s="10">
        <f>PrincipalesVariables[[#This Row],[Base monetaria]]/1000000</f>
        <v>0.35223199999999999</v>
      </c>
      <c r="E514" s="10">
        <v>7.82</v>
      </c>
      <c r="F514" s="11">
        <v>27728</v>
      </c>
      <c r="H514" s="12">
        <f>(PrincipalesVariables[[#This Row],[Base monetaria]]-C513)/C513</f>
        <v>1.5666135138797978E-2</v>
      </c>
      <c r="I514" s="12">
        <f>(PrincipalesVariables[[#This Row],[Dólar  mayorista]]-E513)/E513</f>
        <v>0</v>
      </c>
      <c r="J514" s="12">
        <f>(PrincipalesVariables[[#This Row],[Reservas internacionales]]-F513)/F513</f>
        <v>6.8569778772240063E-4</v>
      </c>
    </row>
    <row r="515" spans="1:10" ht="15.75" thickBot="1" x14ac:dyDescent="0.3">
      <c r="A515" s="14">
        <v>41683</v>
      </c>
      <c r="B515" s="15">
        <v>41683</v>
      </c>
      <c r="C515" s="16">
        <v>353193</v>
      </c>
      <c r="D515" s="10">
        <f>PrincipalesVariables[[#This Row],[Base monetaria]]/1000000</f>
        <v>0.35319299999999998</v>
      </c>
      <c r="E515" s="10">
        <v>7.8</v>
      </c>
      <c r="F515" s="11">
        <v>27754</v>
      </c>
      <c r="H515" s="12">
        <f>(PrincipalesVariables[[#This Row],[Base monetaria]]-C514)/C514</f>
        <v>2.7283154284676011E-3</v>
      </c>
      <c r="I515" s="12">
        <f>(PrincipalesVariables[[#This Row],[Dólar  mayorista]]-E514)/E514</f>
        <v>-2.5575447570333068E-3</v>
      </c>
      <c r="J515" s="12">
        <f>(PrincipalesVariables[[#This Row],[Reservas internacionales]]-F514)/F514</f>
        <v>9.3768032313906518E-4</v>
      </c>
    </row>
    <row r="516" spans="1:10" ht="15.75" thickBot="1" x14ac:dyDescent="0.3">
      <c r="A516" s="14">
        <v>41684</v>
      </c>
      <c r="B516" s="15">
        <v>41684</v>
      </c>
      <c r="C516" s="16">
        <v>352477</v>
      </c>
      <c r="D516" s="10">
        <f>PrincipalesVariables[[#This Row],[Base monetaria]]/1000000</f>
        <v>0.35247699999999998</v>
      </c>
      <c r="E516" s="10">
        <v>7.78</v>
      </c>
      <c r="F516" s="11">
        <v>27712</v>
      </c>
      <c r="H516" s="12">
        <f>(PrincipalesVariables[[#This Row],[Base monetaria]]-C515)/C515</f>
        <v>-2.0272202450218437E-3</v>
      </c>
      <c r="I516" s="12">
        <f>(PrincipalesVariables[[#This Row],[Dólar  mayorista]]-E515)/E515</f>
        <v>-2.5641025641025095E-3</v>
      </c>
      <c r="J516" s="12">
        <f>(PrincipalesVariables[[#This Row],[Reservas internacionales]]-F515)/F515</f>
        <v>-1.5132953808460043E-3</v>
      </c>
    </row>
    <row r="517" spans="1:10" ht="15.75" thickBot="1" x14ac:dyDescent="0.3">
      <c r="A517" s="14">
        <v>41687</v>
      </c>
      <c r="B517" s="15">
        <v>41687</v>
      </c>
      <c r="C517" s="16">
        <v>346492</v>
      </c>
      <c r="D517" s="10">
        <f>PrincipalesVariables[[#This Row],[Base monetaria]]/1000000</f>
        <v>0.34649200000000002</v>
      </c>
      <c r="E517" s="10">
        <v>7.76</v>
      </c>
      <c r="F517" s="11">
        <v>27728</v>
      </c>
      <c r="H517" s="12">
        <f>(PrincipalesVariables[[#This Row],[Base monetaria]]-C516)/C516</f>
        <v>-1.6979831308142092E-2</v>
      </c>
      <c r="I517" s="12">
        <f>(PrincipalesVariables[[#This Row],[Dólar  mayorista]]-E516)/E516</f>
        <v>-2.5706940874036582E-3</v>
      </c>
      <c r="J517" s="12">
        <f>(PrincipalesVariables[[#This Row],[Reservas internacionales]]-F516)/F516</f>
        <v>5.7736720554272516E-4</v>
      </c>
    </row>
    <row r="518" spans="1:10" ht="15.75" thickBot="1" x14ac:dyDescent="0.3">
      <c r="A518" s="14">
        <v>41688</v>
      </c>
      <c r="B518" s="15">
        <v>41688</v>
      </c>
      <c r="C518" s="16">
        <v>346088</v>
      </c>
      <c r="D518" s="10">
        <f>PrincipalesVariables[[#This Row],[Base monetaria]]/1000000</f>
        <v>0.34608800000000001</v>
      </c>
      <c r="E518" s="10">
        <v>7.76</v>
      </c>
      <c r="F518" s="11">
        <v>27718</v>
      </c>
      <c r="H518" s="12">
        <f>(PrincipalesVariables[[#This Row],[Base monetaria]]-C517)/C517</f>
        <v>-1.165972085935606E-3</v>
      </c>
      <c r="I518" s="12">
        <f>(PrincipalesVariables[[#This Row],[Dólar  mayorista]]-E517)/E517</f>
        <v>0</v>
      </c>
      <c r="J518" s="12">
        <f>(PrincipalesVariables[[#This Row],[Reservas internacionales]]-F517)/F517</f>
        <v>-3.6064627813040971E-4</v>
      </c>
    </row>
    <row r="519" spans="1:10" ht="15.75" thickBot="1" x14ac:dyDescent="0.3">
      <c r="A519" s="14">
        <v>41689</v>
      </c>
      <c r="B519" s="15">
        <v>41689</v>
      </c>
      <c r="C519" s="16">
        <v>342593</v>
      </c>
      <c r="D519" s="10">
        <f>PrincipalesVariables[[#This Row],[Base monetaria]]/1000000</f>
        <v>0.34259299999999998</v>
      </c>
      <c r="E519" s="10">
        <v>7.77</v>
      </c>
      <c r="F519" s="11">
        <v>27716</v>
      </c>
      <c r="H519" s="12">
        <f>(PrincipalesVariables[[#This Row],[Base monetaria]]-C518)/C518</f>
        <v>-1.0098587642449319E-2</v>
      </c>
      <c r="I519" s="12">
        <f>(PrincipalesVariables[[#This Row],[Dólar  mayorista]]-E518)/E518</f>
        <v>1.2886597938144056E-3</v>
      </c>
      <c r="J519" s="12">
        <f>(PrincipalesVariables[[#This Row],[Reservas internacionales]]-F518)/F518</f>
        <v>-7.21552781585973E-5</v>
      </c>
    </row>
    <row r="520" spans="1:10" ht="15.75" thickBot="1" x14ac:dyDescent="0.3">
      <c r="A520" s="14">
        <v>41690</v>
      </c>
      <c r="B520" s="15">
        <v>41690</v>
      </c>
      <c r="C520" s="16">
        <v>345197</v>
      </c>
      <c r="D520" s="10">
        <f>PrincipalesVariables[[#This Row],[Base monetaria]]/1000000</f>
        <v>0.34519699999999998</v>
      </c>
      <c r="E520" s="10">
        <v>7.8</v>
      </c>
      <c r="F520" s="11">
        <v>27606</v>
      </c>
      <c r="H520" s="12">
        <f>(PrincipalesVariables[[#This Row],[Base monetaria]]-C519)/C519</f>
        <v>7.600855826009288E-3</v>
      </c>
      <c r="I520" s="12">
        <f>(PrincipalesVariables[[#This Row],[Dólar  mayorista]]-E519)/E519</f>
        <v>3.8610038610038932E-3</v>
      </c>
      <c r="J520" s="12">
        <f>(PrincipalesVariables[[#This Row],[Reservas internacionales]]-F519)/F519</f>
        <v>-3.9688266705152258E-3</v>
      </c>
    </row>
    <row r="521" spans="1:10" ht="15.75" thickBot="1" x14ac:dyDescent="0.3">
      <c r="A521" s="14">
        <v>41691</v>
      </c>
      <c r="B521" s="15">
        <v>41691</v>
      </c>
      <c r="C521" s="16">
        <v>338736</v>
      </c>
      <c r="D521" s="10">
        <f>PrincipalesVariables[[#This Row],[Base monetaria]]/1000000</f>
        <v>0.33873599999999998</v>
      </c>
      <c r="E521" s="10">
        <v>7.84</v>
      </c>
      <c r="F521" s="11">
        <v>27588</v>
      </c>
      <c r="H521" s="12">
        <f>(PrincipalesVariables[[#This Row],[Base monetaria]]-C520)/C520</f>
        <v>-1.8716848640051912E-2</v>
      </c>
      <c r="I521" s="12">
        <f>(PrincipalesVariables[[#This Row],[Dólar  mayorista]]-E520)/E520</f>
        <v>5.1282051282051325E-3</v>
      </c>
      <c r="J521" s="12">
        <f>(PrincipalesVariables[[#This Row],[Reservas internacionales]]-F520)/F520</f>
        <v>-6.5203216692023478E-4</v>
      </c>
    </row>
    <row r="522" spans="1:10" ht="15.75" thickBot="1" x14ac:dyDescent="0.3">
      <c r="A522" s="14">
        <v>41694</v>
      </c>
      <c r="B522" s="15">
        <v>41694</v>
      </c>
      <c r="C522" s="16">
        <v>340018</v>
      </c>
      <c r="D522" s="10">
        <f>PrincipalesVariables[[#This Row],[Base monetaria]]/1000000</f>
        <v>0.34001799999999999</v>
      </c>
      <c r="E522" s="10">
        <v>7.86</v>
      </c>
      <c r="F522" s="11">
        <v>27575</v>
      </c>
      <c r="H522" s="12">
        <f>(PrincipalesVariables[[#This Row],[Base monetaria]]-C521)/C521</f>
        <v>3.7846582589391147E-3</v>
      </c>
      <c r="I522" s="12">
        <f>(PrincipalesVariables[[#This Row],[Dólar  mayorista]]-E521)/E521</f>
        <v>2.5510204081633241E-3</v>
      </c>
      <c r="J522" s="12">
        <f>(PrincipalesVariables[[#This Row],[Reservas internacionales]]-F521)/F521</f>
        <v>-4.7121937074090183E-4</v>
      </c>
    </row>
    <row r="523" spans="1:10" ht="15.75" thickBot="1" x14ac:dyDescent="0.3">
      <c r="A523" s="14">
        <v>41695</v>
      </c>
      <c r="B523" s="15">
        <v>41695</v>
      </c>
      <c r="C523" s="16">
        <v>330477</v>
      </c>
      <c r="D523" s="10">
        <f>PrincipalesVariables[[#This Row],[Base monetaria]]/1000000</f>
        <v>0.33047700000000002</v>
      </c>
      <c r="E523" s="10">
        <v>7.86</v>
      </c>
      <c r="F523" s="11">
        <v>27575</v>
      </c>
      <c r="H523" s="12">
        <f>(PrincipalesVariables[[#This Row],[Base monetaria]]-C522)/C522</f>
        <v>-2.8060279161691438E-2</v>
      </c>
      <c r="I523" s="12">
        <f>(PrincipalesVariables[[#This Row],[Dólar  mayorista]]-E522)/E522</f>
        <v>0</v>
      </c>
      <c r="J523" s="12">
        <f>(PrincipalesVariables[[#This Row],[Reservas internacionales]]-F522)/F522</f>
        <v>0</v>
      </c>
    </row>
    <row r="524" spans="1:10" ht="15.75" thickBot="1" x14ac:dyDescent="0.3">
      <c r="A524" s="14">
        <v>41696</v>
      </c>
      <c r="B524" s="15">
        <v>41696</v>
      </c>
      <c r="C524" s="16">
        <v>339737</v>
      </c>
      <c r="D524" s="10">
        <f>PrincipalesVariables[[#This Row],[Base monetaria]]/1000000</f>
        <v>0.33973700000000001</v>
      </c>
      <c r="E524" s="10">
        <v>7.87</v>
      </c>
      <c r="F524" s="11">
        <v>27482</v>
      </c>
      <c r="H524" s="12">
        <f>(PrincipalesVariables[[#This Row],[Base monetaria]]-C523)/C523</f>
        <v>2.8020104273519791E-2</v>
      </c>
      <c r="I524" s="12">
        <f>(PrincipalesVariables[[#This Row],[Dólar  mayorista]]-E523)/E523</f>
        <v>1.2722646310432298E-3</v>
      </c>
      <c r="J524" s="12">
        <f>(PrincipalesVariables[[#This Row],[Reservas internacionales]]-F523)/F523</f>
        <v>-3.3726201269265641E-3</v>
      </c>
    </row>
    <row r="525" spans="1:10" ht="15.75" thickBot="1" x14ac:dyDescent="0.3">
      <c r="A525" s="14">
        <v>41697</v>
      </c>
      <c r="B525" s="15">
        <v>41697</v>
      </c>
      <c r="C525" s="16">
        <v>332516</v>
      </c>
      <c r="D525" s="10">
        <f>PrincipalesVariables[[#This Row],[Base monetaria]]/1000000</f>
        <v>0.33251599999999998</v>
      </c>
      <c r="E525" s="10">
        <v>7.89</v>
      </c>
      <c r="F525" s="11">
        <v>27373</v>
      </c>
      <c r="H525" s="12">
        <f>(PrincipalesVariables[[#This Row],[Base monetaria]]-C524)/C524</f>
        <v>-2.1254676411459453E-2</v>
      </c>
      <c r="I525" s="12">
        <f>(PrincipalesVariables[[#This Row],[Dólar  mayorista]]-E524)/E524</f>
        <v>2.5412960609910514E-3</v>
      </c>
      <c r="J525" s="12">
        <f>(PrincipalesVariables[[#This Row],[Reservas internacionales]]-F524)/F524</f>
        <v>-3.9662324430536355E-3</v>
      </c>
    </row>
    <row r="526" spans="1:10" ht="15.75" thickBot="1" x14ac:dyDescent="0.3">
      <c r="A526" s="14">
        <v>41698</v>
      </c>
      <c r="B526" s="15">
        <v>41698</v>
      </c>
      <c r="C526" s="16">
        <v>344819</v>
      </c>
      <c r="D526" s="10">
        <f>PrincipalesVariables[[#This Row],[Base monetaria]]/1000000</f>
        <v>0.34481899999999999</v>
      </c>
      <c r="E526" s="10">
        <v>7.88</v>
      </c>
      <c r="F526" s="11">
        <v>27546</v>
      </c>
      <c r="H526" s="12">
        <f>(PrincipalesVariables[[#This Row],[Base monetaria]]-C525)/C525</f>
        <v>3.6999723321584528E-2</v>
      </c>
      <c r="I526" s="12">
        <f>(PrincipalesVariables[[#This Row],[Dólar  mayorista]]-E525)/E525</f>
        <v>-1.267427122940404E-3</v>
      </c>
      <c r="J526" s="12">
        <f>(PrincipalesVariables[[#This Row],[Reservas internacionales]]-F525)/F525</f>
        <v>6.3200964454024041E-3</v>
      </c>
    </row>
    <row r="527" spans="1:10" ht="15.75" thickBot="1" x14ac:dyDescent="0.3">
      <c r="A527" s="14">
        <v>41703</v>
      </c>
      <c r="B527" s="15">
        <v>41703</v>
      </c>
      <c r="C527" s="16">
        <v>349360</v>
      </c>
      <c r="D527" s="10">
        <f>PrincipalesVariables[[#This Row],[Base monetaria]]/1000000</f>
        <v>0.34936</v>
      </c>
      <c r="E527" s="10">
        <v>7.88</v>
      </c>
      <c r="F527" s="11">
        <v>27646</v>
      </c>
      <c r="H527" s="12">
        <f>(PrincipalesVariables[[#This Row],[Base monetaria]]-C526)/C526</f>
        <v>1.3169227913775053E-2</v>
      </c>
      <c r="I527" s="12">
        <f>(PrincipalesVariables[[#This Row],[Dólar  mayorista]]-E526)/E526</f>
        <v>0</v>
      </c>
      <c r="J527" s="12">
        <f>(PrincipalesVariables[[#This Row],[Reservas internacionales]]-F526)/F526</f>
        <v>3.630291149350178E-3</v>
      </c>
    </row>
    <row r="528" spans="1:10" ht="15.75" thickBot="1" x14ac:dyDescent="0.3">
      <c r="A528" s="14">
        <v>41704</v>
      </c>
      <c r="B528" s="15">
        <v>41704</v>
      </c>
      <c r="C528" s="16">
        <v>351175</v>
      </c>
      <c r="D528" s="10">
        <f>PrincipalesVariables[[#This Row],[Base monetaria]]/1000000</f>
        <v>0.35117500000000001</v>
      </c>
      <c r="E528" s="10">
        <v>7.88</v>
      </c>
      <c r="F528" s="11">
        <v>27644</v>
      </c>
      <c r="H528" s="12">
        <f>(PrincipalesVariables[[#This Row],[Base monetaria]]-C527)/C527</f>
        <v>5.1952141057934505E-3</v>
      </c>
      <c r="I528" s="12">
        <f>(PrincipalesVariables[[#This Row],[Dólar  mayorista]]-E527)/E527</f>
        <v>0</v>
      </c>
      <c r="J528" s="12">
        <f>(PrincipalesVariables[[#This Row],[Reservas internacionales]]-F527)/F527</f>
        <v>-7.2343196122404688E-5</v>
      </c>
    </row>
    <row r="529" spans="1:10" ht="15.75" thickBot="1" x14ac:dyDescent="0.3">
      <c r="A529" s="14">
        <v>41705</v>
      </c>
      <c r="B529" s="15">
        <v>41705</v>
      </c>
      <c r="C529" s="16">
        <v>353422</v>
      </c>
      <c r="D529" s="10">
        <f>PrincipalesVariables[[#This Row],[Base monetaria]]/1000000</f>
        <v>0.35342200000000001</v>
      </c>
      <c r="E529" s="10">
        <v>7.87</v>
      </c>
      <c r="F529" s="11">
        <v>27636</v>
      </c>
      <c r="H529" s="12">
        <f>(PrincipalesVariables[[#This Row],[Base monetaria]]-C528)/C528</f>
        <v>6.3985192567808076E-3</v>
      </c>
      <c r="I529" s="12">
        <f>(PrincipalesVariables[[#This Row],[Dólar  mayorista]]-E528)/E528</f>
        <v>-1.2690355329948969E-3</v>
      </c>
      <c r="J529" s="12">
        <f>(PrincipalesVariables[[#This Row],[Reservas internacionales]]-F528)/F528</f>
        <v>-2.893937201562726E-4</v>
      </c>
    </row>
    <row r="530" spans="1:10" ht="15.75" thickBot="1" x14ac:dyDescent="0.3">
      <c r="A530" s="14">
        <v>41708</v>
      </c>
      <c r="B530" s="15">
        <v>41708</v>
      </c>
      <c r="C530" s="16">
        <v>354643</v>
      </c>
      <c r="D530" s="10">
        <f>PrincipalesVariables[[#This Row],[Base monetaria]]/1000000</f>
        <v>0.35464299999999999</v>
      </c>
      <c r="E530" s="10">
        <v>7.87</v>
      </c>
      <c r="F530" s="11">
        <v>27610</v>
      </c>
      <c r="H530" s="12">
        <f>(PrincipalesVariables[[#This Row],[Base monetaria]]-C529)/C529</f>
        <v>3.4547934197644743E-3</v>
      </c>
      <c r="I530" s="12">
        <f>(PrincipalesVariables[[#This Row],[Dólar  mayorista]]-E529)/E529</f>
        <v>0</v>
      </c>
      <c r="J530" s="12">
        <f>(PrincipalesVariables[[#This Row],[Reservas internacionales]]-F529)/F529</f>
        <v>-9.4080185265595605E-4</v>
      </c>
    </row>
    <row r="531" spans="1:10" ht="15.75" thickBot="1" x14ac:dyDescent="0.3">
      <c r="A531" s="14">
        <v>41709</v>
      </c>
      <c r="B531" s="15">
        <v>41709</v>
      </c>
      <c r="C531" s="16">
        <v>354166</v>
      </c>
      <c r="D531" s="10">
        <f>PrincipalesVariables[[#This Row],[Base monetaria]]/1000000</f>
        <v>0.35416599999999998</v>
      </c>
      <c r="E531" s="10">
        <v>7.87</v>
      </c>
      <c r="F531" s="11">
        <v>27618</v>
      </c>
      <c r="H531" s="12">
        <f>(PrincipalesVariables[[#This Row],[Base monetaria]]-C530)/C530</f>
        <v>-1.3450145639417668E-3</v>
      </c>
      <c r="I531" s="12">
        <f>(PrincipalesVariables[[#This Row],[Dólar  mayorista]]-E530)/E530</f>
        <v>0</v>
      </c>
      <c r="J531" s="12">
        <f>(PrincipalesVariables[[#This Row],[Reservas internacionales]]-F530)/F530</f>
        <v>2.8975009054690328E-4</v>
      </c>
    </row>
    <row r="532" spans="1:10" ht="15.75" thickBot="1" x14ac:dyDescent="0.3">
      <c r="A532" s="14">
        <v>41710</v>
      </c>
      <c r="B532" s="15">
        <v>41710</v>
      </c>
      <c r="C532" s="16">
        <v>353941</v>
      </c>
      <c r="D532" s="10">
        <f>PrincipalesVariables[[#This Row],[Base monetaria]]/1000000</f>
        <v>0.35394100000000001</v>
      </c>
      <c r="E532" s="10">
        <v>7.87</v>
      </c>
      <c r="F532" s="11">
        <v>27462</v>
      </c>
      <c r="H532" s="12">
        <f>(PrincipalesVariables[[#This Row],[Base monetaria]]-C531)/C531</f>
        <v>-6.3529531349706069E-4</v>
      </c>
      <c r="I532" s="12">
        <f>(PrincipalesVariables[[#This Row],[Dólar  mayorista]]-E531)/E531</f>
        <v>0</v>
      </c>
      <c r="J532" s="12">
        <f>(PrincipalesVariables[[#This Row],[Reservas internacionales]]-F531)/F531</f>
        <v>-5.6484901151422984E-3</v>
      </c>
    </row>
    <row r="533" spans="1:10" ht="15.75" thickBot="1" x14ac:dyDescent="0.3">
      <c r="A533" s="14">
        <v>41711</v>
      </c>
      <c r="B533" s="15">
        <v>41711</v>
      </c>
      <c r="C533" s="16">
        <v>355677</v>
      </c>
      <c r="D533" s="10">
        <f>PrincipalesVariables[[#This Row],[Base monetaria]]/1000000</f>
        <v>0.35567700000000002</v>
      </c>
      <c r="E533" s="10">
        <v>7.88</v>
      </c>
      <c r="F533" s="11">
        <v>27472</v>
      </c>
      <c r="H533" s="12">
        <f>(PrincipalesVariables[[#This Row],[Base monetaria]]-C532)/C532</f>
        <v>4.9047722643039381E-3</v>
      </c>
      <c r="I533" s="12">
        <f>(PrincipalesVariables[[#This Row],[Dólar  mayorista]]-E532)/E532</f>
        <v>1.2706480304955257E-3</v>
      </c>
      <c r="J533" s="12">
        <f>(PrincipalesVariables[[#This Row],[Reservas internacionales]]-F532)/F532</f>
        <v>3.6413953827106545E-4</v>
      </c>
    </row>
    <row r="534" spans="1:10" ht="15.75" thickBot="1" x14ac:dyDescent="0.3">
      <c r="A534" s="14">
        <v>41712</v>
      </c>
      <c r="B534" s="15">
        <v>41712</v>
      </c>
      <c r="C534" s="16">
        <v>357331</v>
      </c>
      <c r="D534" s="10">
        <f>PrincipalesVariables[[#This Row],[Base monetaria]]/1000000</f>
        <v>0.35733100000000001</v>
      </c>
      <c r="E534" s="10">
        <v>7.9</v>
      </c>
      <c r="F534" s="11">
        <v>27471</v>
      </c>
      <c r="H534" s="12">
        <f>(PrincipalesVariables[[#This Row],[Base monetaria]]-C533)/C533</f>
        <v>4.6502866364707303E-3</v>
      </c>
      <c r="I534" s="12">
        <f>(PrincipalesVariables[[#This Row],[Dólar  mayorista]]-E533)/E533</f>
        <v>2.5380710659899065E-3</v>
      </c>
      <c r="J534" s="12">
        <f>(PrincipalesVariables[[#This Row],[Reservas internacionales]]-F533)/F533</f>
        <v>-3.6400698893418755E-5</v>
      </c>
    </row>
    <row r="535" spans="1:10" ht="15.75" thickBot="1" x14ac:dyDescent="0.3">
      <c r="A535" s="14">
        <v>41715</v>
      </c>
      <c r="B535" s="15">
        <v>41715</v>
      </c>
      <c r="C535" s="16">
        <v>354661</v>
      </c>
      <c r="D535" s="10">
        <f>PrincipalesVariables[[#This Row],[Base monetaria]]/1000000</f>
        <v>0.354661</v>
      </c>
      <c r="E535" s="10">
        <v>7.91</v>
      </c>
      <c r="F535" s="11">
        <v>27318</v>
      </c>
      <c r="H535" s="12">
        <f>(PrincipalesVariables[[#This Row],[Base monetaria]]-C534)/C534</f>
        <v>-7.4720637168339717E-3</v>
      </c>
      <c r="I535" s="12">
        <f>(PrincipalesVariables[[#This Row],[Dólar  mayorista]]-E534)/E534</f>
        <v>1.2658227848100995E-3</v>
      </c>
      <c r="J535" s="12">
        <f>(PrincipalesVariables[[#This Row],[Reservas internacionales]]-F534)/F534</f>
        <v>-5.5695096647373592E-3</v>
      </c>
    </row>
    <row r="536" spans="1:10" ht="15.75" thickBot="1" x14ac:dyDescent="0.3">
      <c r="A536" s="14">
        <v>41716</v>
      </c>
      <c r="B536" s="15">
        <v>41716</v>
      </c>
      <c r="C536" s="16">
        <v>353961</v>
      </c>
      <c r="D536" s="10">
        <f>PrincipalesVariables[[#This Row],[Base monetaria]]/1000000</f>
        <v>0.35396100000000003</v>
      </c>
      <c r="E536" s="10">
        <v>7.93</v>
      </c>
      <c r="F536" s="11">
        <v>27208</v>
      </c>
      <c r="H536" s="12">
        <f>(PrincipalesVariables[[#This Row],[Base monetaria]]-C535)/C535</f>
        <v>-1.9737157454583392E-3</v>
      </c>
      <c r="I536" s="12">
        <f>(PrincipalesVariables[[#This Row],[Dólar  mayorista]]-E535)/E535</f>
        <v>2.5284450063210585E-3</v>
      </c>
      <c r="J536" s="12">
        <f>(PrincipalesVariables[[#This Row],[Reservas internacionales]]-F535)/F535</f>
        <v>-4.0266490958342487E-3</v>
      </c>
    </row>
    <row r="537" spans="1:10" ht="15.75" thickBot="1" x14ac:dyDescent="0.3">
      <c r="A537" s="14">
        <v>41717</v>
      </c>
      <c r="B537" s="15">
        <v>41717</v>
      </c>
      <c r="C537" s="16">
        <v>354150</v>
      </c>
      <c r="D537" s="10">
        <f>PrincipalesVariables[[#This Row],[Base monetaria]]/1000000</f>
        <v>0.35415000000000002</v>
      </c>
      <c r="E537" s="10">
        <v>7.95</v>
      </c>
      <c r="F537" s="11">
        <v>27165</v>
      </c>
      <c r="H537" s="12">
        <f>(PrincipalesVariables[[#This Row],[Base monetaria]]-C536)/C536</f>
        <v>5.3395713087035009E-4</v>
      </c>
      <c r="I537" s="12">
        <f>(PrincipalesVariables[[#This Row],[Dólar  mayorista]]-E536)/E536</f>
        <v>2.5220680958386462E-3</v>
      </c>
      <c r="J537" s="12">
        <f>(PrincipalesVariables[[#This Row],[Reservas internacionales]]-F536)/F536</f>
        <v>-1.5804175242575714E-3</v>
      </c>
    </row>
    <row r="538" spans="1:10" ht="15.75" thickBot="1" x14ac:dyDescent="0.3">
      <c r="A538" s="14">
        <v>41718</v>
      </c>
      <c r="B538" s="15">
        <v>41718</v>
      </c>
      <c r="C538" s="16">
        <v>353237</v>
      </c>
      <c r="D538" s="10">
        <f>PrincipalesVariables[[#This Row],[Base monetaria]]/1000000</f>
        <v>0.35323700000000002</v>
      </c>
      <c r="E538" s="10">
        <v>7.96</v>
      </c>
      <c r="F538" s="11">
        <v>27133</v>
      </c>
      <c r="H538" s="12">
        <f>(PrincipalesVariables[[#This Row],[Base monetaria]]-C537)/C537</f>
        <v>-2.5780036707609769E-3</v>
      </c>
      <c r="I538" s="12">
        <f>(PrincipalesVariables[[#This Row],[Dólar  mayorista]]-E537)/E537</f>
        <v>1.2578616352200991E-3</v>
      </c>
      <c r="J538" s="12">
        <f>(PrincipalesVariables[[#This Row],[Reservas internacionales]]-F537)/F537</f>
        <v>-1.1779863795324866E-3</v>
      </c>
    </row>
    <row r="539" spans="1:10" ht="15.75" thickBot="1" x14ac:dyDescent="0.3">
      <c r="A539" s="14">
        <v>41719</v>
      </c>
      <c r="B539" s="15">
        <v>41719</v>
      </c>
      <c r="C539" s="16">
        <v>352543</v>
      </c>
      <c r="D539" s="10">
        <f>PrincipalesVariables[[#This Row],[Base monetaria]]/1000000</f>
        <v>0.352543</v>
      </c>
      <c r="E539" s="10">
        <v>7.97</v>
      </c>
      <c r="F539" s="11">
        <v>27156</v>
      </c>
      <c r="H539" s="12">
        <f>(PrincipalesVariables[[#This Row],[Base monetaria]]-C538)/C538</f>
        <v>-1.9646865985160104E-3</v>
      </c>
      <c r="I539" s="12">
        <f>(PrincipalesVariables[[#This Row],[Dólar  mayorista]]-E538)/E538</f>
        <v>1.256281407035149E-3</v>
      </c>
      <c r="J539" s="12">
        <f>(PrincipalesVariables[[#This Row],[Reservas internacionales]]-F538)/F538</f>
        <v>8.4767626137913243E-4</v>
      </c>
    </row>
    <row r="540" spans="1:10" ht="15.75" thickBot="1" x14ac:dyDescent="0.3">
      <c r="A540" s="14">
        <v>41723</v>
      </c>
      <c r="B540" s="15">
        <v>41723</v>
      </c>
      <c r="C540" s="16">
        <v>347238</v>
      </c>
      <c r="D540" s="10">
        <f>PrincipalesVariables[[#This Row],[Base monetaria]]/1000000</f>
        <v>0.34723799999999999</v>
      </c>
      <c r="E540" s="10">
        <v>8</v>
      </c>
      <c r="F540" s="11">
        <v>27089</v>
      </c>
      <c r="H540" s="12">
        <f>(PrincipalesVariables[[#This Row],[Base monetaria]]-C539)/C539</f>
        <v>-1.5047809770723003E-2</v>
      </c>
      <c r="I540" s="12">
        <f>(PrincipalesVariables[[#This Row],[Dólar  mayorista]]-E539)/E539</f>
        <v>3.7641154328733059E-3</v>
      </c>
      <c r="J540" s="12">
        <f>(PrincipalesVariables[[#This Row],[Reservas internacionales]]-F539)/F539</f>
        <v>-2.4672263956400059E-3</v>
      </c>
    </row>
    <row r="541" spans="1:10" ht="15.75" thickBot="1" x14ac:dyDescent="0.3">
      <c r="A541" s="14">
        <v>41724</v>
      </c>
      <c r="B541" s="15">
        <v>41724</v>
      </c>
      <c r="C541" s="16">
        <v>346514</v>
      </c>
      <c r="D541" s="10">
        <f>PrincipalesVariables[[#This Row],[Base monetaria]]/1000000</f>
        <v>0.34651399999999999</v>
      </c>
      <c r="E541" s="10">
        <v>8.01</v>
      </c>
      <c r="F541" s="11">
        <v>27106</v>
      </c>
      <c r="H541" s="12">
        <f>(PrincipalesVariables[[#This Row],[Base monetaria]]-C540)/C540</f>
        <v>-2.0850252564523467E-3</v>
      </c>
      <c r="I541" s="12">
        <f>(PrincipalesVariables[[#This Row],[Dólar  mayorista]]-E540)/E540</f>
        <v>1.2499999999999734E-3</v>
      </c>
      <c r="J541" s="12">
        <f>(PrincipalesVariables[[#This Row],[Reservas internacionales]]-F540)/F540</f>
        <v>6.2756100262099002E-4</v>
      </c>
    </row>
    <row r="542" spans="1:10" ht="15.75" thickBot="1" x14ac:dyDescent="0.3">
      <c r="A542" s="14">
        <v>41725</v>
      </c>
      <c r="B542" s="15">
        <v>41725</v>
      </c>
      <c r="C542" s="16">
        <v>344820</v>
      </c>
      <c r="D542" s="10">
        <f>PrincipalesVariables[[#This Row],[Base monetaria]]/1000000</f>
        <v>0.34482000000000002</v>
      </c>
      <c r="E542" s="10">
        <v>8.01</v>
      </c>
      <c r="F542" s="11">
        <v>26939</v>
      </c>
      <c r="H542" s="12">
        <f>(PrincipalesVariables[[#This Row],[Base monetaria]]-C541)/C541</f>
        <v>-4.888691366005414E-3</v>
      </c>
      <c r="I542" s="12">
        <f>(PrincipalesVariables[[#This Row],[Dólar  mayorista]]-E541)/E541</f>
        <v>0</v>
      </c>
      <c r="J542" s="12">
        <f>(PrincipalesVariables[[#This Row],[Reservas internacionales]]-F541)/F541</f>
        <v>-6.160997565114735E-3</v>
      </c>
    </row>
    <row r="543" spans="1:10" ht="15.75" thickBot="1" x14ac:dyDescent="0.3">
      <c r="A543" s="14">
        <v>41726</v>
      </c>
      <c r="B543" s="15">
        <v>41726</v>
      </c>
      <c r="C543" s="16">
        <v>349184</v>
      </c>
      <c r="D543" s="10">
        <f>PrincipalesVariables[[#This Row],[Base monetaria]]/1000000</f>
        <v>0.34918399999999999</v>
      </c>
      <c r="E543" s="10">
        <v>8</v>
      </c>
      <c r="F543" s="11">
        <v>26910</v>
      </c>
      <c r="H543" s="12">
        <f>(PrincipalesVariables[[#This Row],[Base monetaria]]-C542)/C542</f>
        <v>1.2655878429325446E-2</v>
      </c>
      <c r="I543" s="12">
        <f>(PrincipalesVariables[[#This Row],[Dólar  mayorista]]-E542)/E542</f>
        <v>-1.248439450686615E-3</v>
      </c>
      <c r="J543" s="12">
        <f>(PrincipalesVariables[[#This Row],[Reservas internacionales]]-F542)/F542</f>
        <v>-1.0765061806303129E-3</v>
      </c>
    </row>
    <row r="544" spans="1:10" ht="15.75" thickBot="1" x14ac:dyDescent="0.3">
      <c r="A544" s="14">
        <v>41729</v>
      </c>
      <c r="B544" s="15">
        <v>41729</v>
      </c>
      <c r="C544" s="16">
        <v>349029</v>
      </c>
      <c r="D544" s="10">
        <f>PrincipalesVariables[[#This Row],[Base monetaria]]/1000000</f>
        <v>0.34902899999999998</v>
      </c>
      <c r="E544" s="10">
        <v>8.01</v>
      </c>
      <c r="F544" s="11">
        <v>27007</v>
      </c>
      <c r="H544" s="12">
        <f>(PrincipalesVariables[[#This Row],[Base monetaria]]-C543)/C543</f>
        <v>-4.4389204545454544E-4</v>
      </c>
      <c r="I544" s="12">
        <f>(PrincipalesVariables[[#This Row],[Dólar  mayorista]]-E543)/E543</f>
        <v>1.2499999999999734E-3</v>
      </c>
      <c r="J544" s="12">
        <f>(PrincipalesVariables[[#This Row],[Reservas internacionales]]-F543)/F543</f>
        <v>3.6046079524340393E-3</v>
      </c>
    </row>
    <row r="545" spans="1:10" ht="15.75" thickBot="1" x14ac:dyDescent="0.3">
      <c r="A545" s="14">
        <v>41730</v>
      </c>
      <c r="B545" s="15">
        <v>41730</v>
      </c>
      <c r="C545" s="16">
        <v>363756</v>
      </c>
      <c r="D545" s="10">
        <f>PrincipalesVariables[[#This Row],[Base monetaria]]/1000000</f>
        <v>0.36375600000000002</v>
      </c>
      <c r="E545" s="10">
        <v>8</v>
      </c>
      <c r="F545" s="11">
        <v>26989</v>
      </c>
      <c r="H545" s="12">
        <f>(PrincipalesVariables[[#This Row],[Base monetaria]]-C544)/C544</f>
        <v>4.2194201627944954E-2</v>
      </c>
      <c r="I545" s="12">
        <f>(PrincipalesVariables[[#This Row],[Dólar  mayorista]]-E544)/E544</f>
        <v>-1.248439450686615E-3</v>
      </c>
      <c r="J545" s="12">
        <f>(PrincipalesVariables[[#This Row],[Reservas internacionales]]-F544)/F544</f>
        <v>-6.6649387195912176E-4</v>
      </c>
    </row>
    <row r="546" spans="1:10" ht="15.75" thickBot="1" x14ac:dyDescent="0.3">
      <c r="A546" s="14">
        <v>41732</v>
      </c>
      <c r="B546" s="15">
        <v>41732</v>
      </c>
      <c r="C546" s="16">
        <v>359207</v>
      </c>
      <c r="D546" s="10">
        <f>PrincipalesVariables[[#This Row],[Base monetaria]]/1000000</f>
        <v>0.359207</v>
      </c>
      <c r="E546" s="10">
        <v>8</v>
      </c>
      <c r="F546" s="11">
        <v>26729</v>
      </c>
      <c r="H546" s="12">
        <f>(PrincipalesVariables[[#This Row],[Base monetaria]]-C545)/C545</f>
        <v>-1.2505635645872508E-2</v>
      </c>
      <c r="I546" s="12">
        <f>(PrincipalesVariables[[#This Row],[Dólar  mayorista]]-E545)/E545</f>
        <v>0</v>
      </c>
      <c r="J546" s="12">
        <f>(PrincipalesVariables[[#This Row],[Reservas internacionales]]-F545)/F545</f>
        <v>-9.6335544110563564E-3</v>
      </c>
    </row>
    <row r="547" spans="1:10" ht="15.75" thickBot="1" x14ac:dyDescent="0.3">
      <c r="A547" s="14">
        <v>41733</v>
      </c>
      <c r="B547" s="15">
        <v>41733</v>
      </c>
      <c r="C547" s="16">
        <v>359061</v>
      </c>
      <c r="D547" s="10">
        <f>PrincipalesVariables[[#This Row],[Base monetaria]]/1000000</f>
        <v>0.35906100000000002</v>
      </c>
      <c r="E547" s="10">
        <v>8</v>
      </c>
      <c r="F547" s="11">
        <v>27213</v>
      </c>
      <c r="H547" s="12">
        <f>(PrincipalesVariables[[#This Row],[Base monetaria]]-C546)/C546</f>
        <v>-4.0645087651409914E-4</v>
      </c>
      <c r="I547" s="12">
        <f>(PrincipalesVariables[[#This Row],[Dólar  mayorista]]-E546)/E546</f>
        <v>0</v>
      </c>
      <c r="J547" s="12">
        <f>(PrincipalesVariables[[#This Row],[Reservas internacionales]]-F546)/F546</f>
        <v>1.8107673313629391E-2</v>
      </c>
    </row>
    <row r="548" spans="1:10" ht="15.75" thickBot="1" x14ac:dyDescent="0.3">
      <c r="A548" s="14">
        <v>41736</v>
      </c>
      <c r="B548" s="15">
        <v>41736</v>
      </c>
      <c r="C548" s="16">
        <v>360888</v>
      </c>
      <c r="D548" s="10">
        <f>PrincipalesVariables[[#This Row],[Base monetaria]]/1000000</f>
        <v>0.36088799999999999</v>
      </c>
      <c r="E548" s="10">
        <v>8</v>
      </c>
      <c r="F548" s="11">
        <v>27331</v>
      </c>
      <c r="H548" s="12">
        <f>(PrincipalesVariables[[#This Row],[Base monetaria]]-C547)/C547</f>
        <v>5.0882719092299076E-3</v>
      </c>
      <c r="I548" s="12">
        <f>(PrincipalesVariables[[#This Row],[Dólar  mayorista]]-E547)/E547</f>
        <v>0</v>
      </c>
      <c r="J548" s="12">
        <f>(PrincipalesVariables[[#This Row],[Reservas internacionales]]-F547)/F547</f>
        <v>4.3361628633373757E-3</v>
      </c>
    </row>
    <row r="549" spans="1:10" ht="15.75" thickBot="1" x14ac:dyDescent="0.3">
      <c r="A549" s="14">
        <v>41737</v>
      </c>
      <c r="B549" s="15">
        <v>41737</v>
      </c>
      <c r="C549" s="16">
        <v>364627</v>
      </c>
      <c r="D549" s="10">
        <f>PrincipalesVariables[[#This Row],[Base monetaria]]/1000000</f>
        <v>0.36462699999999998</v>
      </c>
      <c r="E549" s="10">
        <v>8</v>
      </c>
      <c r="F549" s="11">
        <v>27469</v>
      </c>
      <c r="H549" s="12">
        <f>(PrincipalesVariables[[#This Row],[Base monetaria]]-C548)/C548</f>
        <v>1.0360555075258807E-2</v>
      </c>
      <c r="I549" s="12">
        <f>(PrincipalesVariables[[#This Row],[Dólar  mayorista]]-E548)/E548</f>
        <v>0</v>
      </c>
      <c r="J549" s="12">
        <f>(PrincipalesVariables[[#This Row],[Reservas internacionales]]-F548)/F548</f>
        <v>5.0492115180564194E-3</v>
      </c>
    </row>
    <row r="550" spans="1:10" ht="15.75" thickBot="1" x14ac:dyDescent="0.3">
      <c r="A550" s="14">
        <v>41738</v>
      </c>
      <c r="B550" s="15">
        <v>41738</v>
      </c>
      <c r="C550" s="16">
        <v>360894</v>
      </c>
      <c r="D550" s="10">
        <f>PrincipalesVariables[[#This Row],[Base monetaria]]/1000000</f>
        <v>0.36089399999999999</v>
      </c>
      <c r="E550" s="10">
        <v>8</v>
      </c>
      <c r="F550" s="11">
        <v>27608</v>
      </c>
      <c r="H550" s="12">
        <f>(PrincipalesVariables[[#This Row],[Base monetaria]]-C549)/C549</f>
        <v>-1.023785951122654E-2</v>
      </c>
      <c r="I550" s="12">
        <f>(PrincipalesVariables[[#This Row],[Dólar  mayorista]]-E549)/E549</f>
        <v>0</v>
      </c>
      <c r="J550" s="12">
        <f>(PrincipalesVariables[[#This Row],[Reservas internacionales]]-F549)/F549</f>
        <v>5.060249736066111E-3</v>
      </c>
    </row>
    <row r="551" spans="1:10" ht="15.75" thickBot="1" x14ac:dyDescent="0.3">
      <c r="A551" s="14">
        <v>41739</v>
      </c>
      <c r="B551" s="15">
        <v>41739</v>
      </c>
      <c r="C551" s="16">
        <v>361883</v>
      </c>
      <c r="D551" s="10">
        <f>PrincipalesVariables[[#This Row],[Base monetaria]]/1000000</f>
        <v>0.36188300000000001</v>
      </c>
      <c r="E551" s="10">
        <v>8</v>
      </c>
      <c r="F551" s="11">
        <v>27636</v>
      </c>
      <c r="H551" s="12">
        <f>(PrincipalesVariables[[#This Row],[Base monetaria]]-C550)/C550</f>
        <v>2.7404168537021952E-3</v>
      </c>
      <c r="I551" s="12">
        <f>(PrincipalesVariables[[#This Row],[Dólar  mayorista]]-E550)/E550</f>
        <v>0</v>
      </c>
      <c r="J551" s="12">
        <f>(PrincipalesVariables[[#This Row],[Reservas internacionales]]-F550)/F550</f>
        <v>1.0141987829614604E-3</v>
      </c>
    </row>
    <row r="552" spans="1:10" ht="15.75" thickBot="1" x14ac:dyDescent="0.3">
      <c r="A552" s="14">
        <v>41740</v>
      </c>
      <c r="B552" s="15">
        <v>41740</v>
      </c>
      <c r="C552" s="16">
        <v>361521</v>
      </c>
      <c r="D552" s="10">
        <f>PrincipalesVariables[[#This Row],[Base monetaria]]/1000000</f>
        <v>0.36152099999999998</v>
      </c>
      <c r="E552" s="10">
        <v>8</v>
      </c>
      <c r="F552" s="11">
        <v>27743</v>
      </c>
      <c r="H552" s="12">
        <f>(PrincipalesVariables[[#This Row],[Base monetaria]]-C551)/C551</f>
        <v>-1.0003233089147597E-3</v>
      </c>
      <c r="I552" s="12">
        <f>(PrincipalesVariables[[#This Row],[Dólar  mayorista]]-E551)/E551</f>
        <v>0</v>
      </c>
      <c r="J552" s="12">
        <f>(PrincipalesVariables[[#This Row],[Reservas internacionales]]-F551)/F551</f>
        <v>3.871761470545665E-3</v>
      </c>
    </row>
    <row r="553" spans="1:10" ht="15.75" thickBot="1" x14ac:dyDescent="0.3">
      <c r="A553" s="14">
        <v>41743</v>
      </c>
      <c r="B553" s="15">
        <v>41743</v>
      </c>
      <c r="C553" s="16">
        <v>360819</v>
      </c>
      <c r="D553" s="10">
        <f>PrincipalesVariables[[#This Row],[Base monetaria]]/1000000</f>
        <v>0.360819</v>
      </c>
      <c r="E553" s="10">
        <v>8</v>
      </c>
      <c r="F553" s="11">
        <v>27756</v>
      </c>
      <c r="H553" s="12">
        <f>(PrincipalesVariables[[#This Row],[Base monetaria]]-C552)/C552</f>
        <v>-1.9417959122706564E-3</v>
      </c>
      <c r="I553" s="12">
        <f>(PrincipalesVariables[[#This Row],[Dólar  mayorista]]-E552)/E552</f>
        <v>0</v>
      </c>
      <c r="J553" s="12">
        <f>(PrincipalesVariables[[#This Row],[Reservas internacionales]]-F552)/F552</f>
        <v>4.6858667051148038E-4</v>
      </c>
    </row>
    <row r="554" spans="1:10" ht="15.75" thickBot="1" x14ac:dyDescent="0.3">
      <c r="A554" s="14">
        <v>41744</v>
      </c>
      <c r="B554" s="15">
        <v>41744</v>
      </c>
      <c r="C554" s="16">
        <v>364623</v>
      </c>
      <c r="D554" s="10">
        <f>PrincipalesVariables[[#This Row],[Base monetaria]]/1000000</f>
        <v>0.36462299999999997</v>
      </c>
      <c r="E554" s="10">
        <v>8</v>
      </c>
      <c r="F554" s="11">
        <v>27768</v>
      </c>
      <c r="H554" s="12">
        <f>(PrincipalesVariables[[#This Row],[Base monetaria]]-C553)/C553</f>
        <v>1.0542682064968863E-2</v>
      </c>
      <c r="I554" s="12">
        <f>(PrincipalesVariables[[#This Row],[Dólar  mayorista]]-E553)/E553</f>
        <v>0</v>
      </c>
      <c r="J554" s="12">
        <f>(PrincipalesVariables[[#This Row],[Reservas internacionales]]-F553)/F553</f>
        <v>4.3233895373973193E-4</v>
      </c>
    </row>
    <row r="555" spans="1:10" ht="15.75" thickBot="1" x14ac:dyDescent="0.3">
      <c r="A555" s="14">
        <v>41745</v>
      </c>
      <c r="B555" s="15">
        <v>41745</v>
      </c>
      <c r="C555" s="16">
        <v>359004</v>
      </c>
      <c r="D555" s="10">
        <f>PrincipalesVariables[[#This Row],[Base monetaria]]/1000000</f>
        <v>0.35900399999999999</v>
      </c>
      <c r="E555" s="10">
        <v>8</v>
      </c>
      <c r="F555" s="11">
        <v>27813</v>
      </c>
      <c r="H555" s="12">
        <f>(PrincipalesVariables[[#This Row],[Base monetaria]]-C554)/C554</f>
        <v>-1.5410437630100131E-2</v>
      </c>
      <c r="I555" s="12">
        <f>(PrincipalesVariables[[#This Row],[Dólar  mayorista]]-E554)/E554</f>
        <v>0</v>
      </c>
      <c r="J555" s="12">
        <f>(PrincipalesVariables[[#This Row],[Reservas internacionales]]-F554)/F554</f>
        <v>1.6205704407951599E-3</v>
      </c>
    </row>
    <row r="556" spans="1:10" ht="15.75" thickBot="1" x14ac:dyDescent="0.3">
      <c r="A556" s="14">
        <v>41750</v>
      </c>
      <c r="B556" s="15">
        <v>41750</v>
      </c>
      <c r="C556" s="16">
        <v>352501</v>
      </c>
      <c r="D556" s="10">
        <f>PrincipalesVariables[[#This Row],[Base monetaria]]/1000000</f>
        <v>0.35250100000000001</v>
      </c>
      <c r="E556" s="10">
        <v>8</v>
      </c>
      <c r="F556" s="11">
        <v>27817</v>
      </c>
      <c r="H556" s="12">
        <f>(PrincipalesVariables[[#This Row],[Base monetaria]]-C555)/C555</f>
        <v>-1.8114004300787735E-2</v>
      </c>
      <c r="I556" s="12">
        <f>(PrincipalesVariables[[#This Row],[Dólar  mayorista]]-E555)/E555</f>
        <v>0</v>
      </c>
      <c r="J556" s="12">
        <f>(PrincipalesVariables[[#This Row],[Reservas internacionales]]-F555)/F555</f>
        <v>1.4381763923345197E-4</v>
      </c>
    </row>
    <row r="557" spans="1:10" ht="15.75" thickBot="1" x14ac:dyDescent="0.3">
      <c r="A557" s="14">
        <v>41751</v>
      </c>
      <c r="B557" s="15">
        <v>41751</v>
      </c>
      <c r="C557" s="16">
        <v>350943</v>
      </c>
      <c r="D557" s="10">
        <f>PrincipalesVariables[[#This Row],[Base monetaria]]/1000000</f>
        <v>0.350943</v>
      </c>
      <c r="E557" s="10">
        <v>8</v>
      </c>
      <c r="F557" s="11">
        <v>27820</v>
      </c>
      <c r="H557" s="12">
        <f>(PrincipalesVariables[[#This Row],[Base monetaria]]-C556)/C556</f>
        <v>-4.4198456174592412E-3</v>
      </c>
      <c r="I557" s="12">
        <f>(PrincipalesVariables[[#This Row],[Dólar  mayorista]]-E556)/E556</f>
        <v>0</v>
      </c>
      <c r="J557" s="12">
        <f>(PrincipalesVariables[[#This Row],[Reservas internacionales]]-F556)/F556</f>
        <v>1.0784771902074271E-4</v>
      </c>
    </row>
    <row r="558" spans="1:10" ht="15.75" thickBot="1" x14ac:dyDescent="0.3">
      <c r="A558" s="14">
        <v>41752</v>
      </c>
      <c r="B558" s="15">
        <v>41752</v>
      </c>
      <c r="C558" s="16">
        <v>343165</v>
      </c>
      <c r="D558" s="10">
        <f>PrincipalesVariables[[#This Row],[Base monetaria]]/1000000</f>
        <v>0.343165</v>
      </c>
      <c r="E558" s="10">
        <v>8</v>
      </c>
      <c r="F558" s="11">
        <v>27831</v>
      </c>
      <c r="H558" s="12">
        <f>(PrincipalesVariables[[#This Row],[Base monetaria]]-C557)/C557</f>
        <v>-2.2163143302473622E-2</v>
      </c>
      <c r="I558" s="12">
        <f>(PrincipalesVariables[[#This Row],[Dólar  mayorista]]-E557)/E557</f>
        <v>0</v>
      </c>
      <c r="J558" s="12">
        <f>(PrincipalesVariables[[#This Row],[Reservas internacionales]]-F557)/F557</f>
        <v>3.9539899352983467E-4</v>
      </c>
    </row>
    <row r="559" spans="1:10" ht="15.75" thickBot="1" x14ac:dyDescent="0.3">
      <c r="A559" s="14">
        <v>41753</v>
      </c>
      <c r="B559" s="15">
        <v>41753</v>
      </c>
      <c r="C559" s="16">
        <v>345102</v>
      </c>
      <c r="D559" s="10">
        <f>PrincipalesVariables[[#This Row],[Base monetaria]]/1000000</f>
        <v>0.34510200000000002</v>
      </c>
      <c r="E559" s="10">
        <v>8</v>
      </c>
      <c r="F559" s="11">
        <v>27903</v>
      </c>
      <c r="H559" s="12">
        <f>(PrincipalesVariables[[#This Row],[Base monetaria]]-C558)/C558</f>
        <v>5.6445150292133523E-3</v>
      </c>
      <c r="I559" s="12">
        <f>(PrincipalesVariables[[#This Row],[Dólar  mayorista]]-E558)/E558</f>
        <v>0</v>
      </c>
      <c r="J559" s="12">
        <f>(PrincipalesVariables[[#This Row],[Reservas internacionales]]-F558)/F558</f>
        <v>2.5870432251805541E-3</v>
      </c>
    </row>
    <row r="560" spans="1:10" ht="15.75" thickBot="1" x14ac:dyDescent="0.3">
      <c r="A560" s="14">
        <v>41754</v>
      </c>
      <c r="B560" s="15">
        <v>41754</v>
      </c>
      <c r="C560" s="16">
        <v>334778</v>
      </c>
      <c r="D560" s="10">
        <f>PrincipalesVariables[[#This Row],[Base monetaria]]/1000000</f>
        <v>0.33477800000000002</v>
      </c>
      <c r="E560" s="10">
        <v>8</v>
      </c>
      <c r="F560" s="11">
        <v>28105</v>
      </c>
      <c r="H560" s="12">
        <f>(PrincipalesVariables[[#This Row],[Base monetaria]]-C559)/C559</f>
        <v>-2.9915793011921113E-2</v>
      </c>
      <c r="I560" s="12">
        <f>(PrincipalesVariables[[#This Row],[Dólar  mayorista]]-E559)/E559</f>
        <v>0</v>
      </c>
      <c r="J560" s="12">
        <f>(PrincipalesVariables[[#This Row],[Reservas internacionales]]-F559)/F559</f>
        <v>7.239364942837688E-3</v>
      </c>
    </row>
    <row r="561" spans="1:10" ht="15.75" thickBot="1" x14ac:dyDescent="0.3">
      <c r="A561" s="14">
        <v>41757</v>
      </c>
      <c r="B561" s="15">
        <v>41757</v>
      </c>
      <c r="C561" s="16">
        <v>329226</v>
      </c>
      <c r="D561" s="10">
        <f>PrincipalesVariables[[#This Row],[Base monetaria]]/1000000</f>
        <v>0.32922600000000002</v>
      </c>
      <c r="E561" s="10">
        <v>8</v>
      </c>
      <c r="F561" s="11">
        <v>28172</v>
      </c>
      <c r="H561" s="12">
        <f>(PrincipalesVariables[[#This Row],[Base monetaria]]-C560)/C560</f>
        <v>-1.6584124404829471E-2</v>
      </c>
      <c r="I561" s="12">
        <f>(PrincipalesVariables[[#This Row],[Dólar  mayorista]]-E560)/E560</f>
        <v>0</v>
      </c>
      <c r="J561" s="12">
        <f>(PrincipalesVariables[[#This Row],[Reservas internacionales]]-F560)/F560</f>
        <v>2.3839174524106031E-3</v>
      </c>
    </row>
    <row r="562" spans="1:10" ht="15.75" thickBot="1" x14ac:dyDescent="0.3">
      <c r="A562" s="14">
        <v>41758</v>
      </c>
      <c r="B562" s="15">
        <v>41758</v>
      </c>
      <c r="C562" s="16">
        <v>330447</v>
      </c>
      <c r="D562" s="10">
        <f>PrincipalesVariables[[#This Row],[Base monetaria]]/1000000</f>
        <v>0.33044699999999999</v>
      </c>
      <c r="E562" s="10">
        <v>8</v>
      </c>
      <c r="F562" s="11">
        <v>28112</v>
      </c>
      <c r="H562" s="12">
        <f>(PrincipalesVariables[[#This Row],[Base monetaria]]-C561)/C561</f>
        <v>3.7086985839514496E-3</v>
      </c>
      <c r="I562" s="12">
        <f>(PrincipalesVariables[[#This Row],[Dólar  mayorista]]-E561)/E561</f>
        <v>0</v>
      </c>
      <c r="J562" s="12">
        <f>(PrincipalesVariables[[#This Row],[Reservas internacionales]]-F561)/F561</f>
        <v>-2.1297742439301435E-3</v>
      </c>
    </row>
    <row r="563" spans="1:10" ht="15.75" thickBot="1" x14ac:dyDescent="0.3">
      <c r="A563" s="14">
        <v>41759</v>
      </c>
      <c r="B563" s="15">
        <v>41759</v>
      </c>
      <c r="C563" s="16">
        <v>352163</v>
      </c>
      <c r="D563" s="10">
        <f>PrincipalesVariables[[#This Row],[Base monetaria]]/1000000</f>
        <v>0.352163</v>
      </c>
      <c r="E563" s="10">
        <v>8</v>
      </c>
      <c r="F563" s="11">
        <v>28220</v>
      </c>
      <c r="H563" s="12">
        <f>(PrincipalesVariables[[#This Row],[Base monetaria]]-C562)/C562</f>
        <v>6.5717043882982745E-2</v>
      </c>
      <c r="I563" s="12">
        <f>(PrincipalesVariables[[#This Row],[Dólar  mayorista]]-E562)/E562</f>
        <v>0</v>
      </c>
      <c r="J563" s="12">
        <f>(PrincipalesVariables[[#This Row],[Reservas internacionales]]-F562)/F562</f>
        <v>3.8417757541263516E-3</v>
      </c>
    </row>
    <row r="564" spans="1:10" ht="15.75" thickBot="1" x14ac:dyDescent="0.3">
      <c r="A564" s="14">
        <v>41764</v>
      </c>
      <c r="B564" s="15">
        <v>41764</v>
      </c>
      <c r="C564" s="16">
        <v>359549</v>
      </c>
      <c r="D564" s="10">
        <f>PrincipalesVariables[[#This Row],[Base monetaria]]/1000000</f>
        <v>0.35954900000000001</v>
      </c>
      <c r="E564" s="10">
        <v>8</v>
      </c>
      <c r="F564" s="11">
        <v>28249</v>
      </c>
      <c r="H564" s="12">
        <f>(PrincipalesVariables[[#This Row],[Base monetaria]]-C563)/C563</f>
        <v>2.0973242504181304E-2</v>
      </c>
      <c r="I564" s="12">
        <f>(PrincipalesVariables[[#This Row],[Dólar  mayorista]]-E563)/E563</f>
        <v>0</v>
      </c>
      <c r="J564" s="12">
        <f>(PrincipalesVariables[[#This Row],[Reservas internacionales]]-F563)/F563</f>
        <v>1.0276399716513112E-3</v>
      </c>
    </row>
    <row r="565" spans="1:10" ht="15.75" thickBot="1" x14ac:dyDescent="0.3">
      <c r="A565" s="14">
        <v>41765</v>
      </c>
      <c r="B565" s="15">
        <v>41765</v>
      </c>
      <c r="C565" s="16">
        <v>360311</v>
      </c>
      <c r="D565" s="10">
        <f>PrincipalesVariables[[#This Row],[Base monetaria]]/1000000</f>
        <v>0.36031099999999999</v>
      </c>
      <c r="E565" s="10">
        <v>8</v>
      </c>
      <c r="F565" s="11">
        <v>28297</v>
      </c>
      <c r="H565" s="12">
        <f>(PrincipalesVariables[[#This Row],[Base monetaria]]-C564)/C564</f>
        <v>2.1193217058036594E-3</v>
      </c>
      <c r="I565" s="12">
        <f>(PrincipalesVariables[[#This Row],[Dólar  mayorista]]-E564)/E564</f>
        <v>0</v>
      </c>
      <c r="J565" s="12">
        <f>(PrincipalesVariables[[#This Row],[Reservas internacionales]]-F564)/F564</f>
        <v>1.6991751920421962E-3</v>
      </c>
    </row>
    <row r="566" spans="1:10" ht="15.75" thickBot="1" x14ac:dyDescent="0.3">
      <c r="A566" s="14">
        <v>41766</v>
      </c>
      <c r="B566" s="15">
        <v>41766</v>
      </c>
      <c r="C566" s="16">
        <v>360459</v>
      </c>
      <c r="D566" s="10">
        <f>PrincipalesVariables[[#This Row],[Base monetaria]]/1000000</f>
        <v>0.36045899999999997</v>
      </c>
      <c r="E566" s="10">
        <v>8</v>
      </c>
      <c r="F566" s="11">
        <v>28307</v>
      </c>
      <c r="H566" s="12">
        <f>(PrincipalesVariables[[#This Row],[Base monetaria]]-C565)/C565</f>
        <v>4.1075626333917086E-4</v>
      </c>
      <c r="I566" s="12">
        <f>(PrincipalesVariables[[#This Row],[Dólar  mayorista]]-E565)/E565</f>
        <v>0</v>
      </c>
      <c r="J566" s="12">
        <f>(PrincipalesVariables[[#This Row],[Reservas internacionales]]-F565)/F565</f>
        <v>3.533943527582429E-4</v>
      </c>
    </row>
    <row r="567" spans="1:10" ht="15.75" thickBot="1" x14ac:dyDescent="0.3">
      <c r="A567" s="14">
        <v>41767</v>
      </c>
      <c r="B567" s="15">
        <v>41767</v>
      </c>
      <c r="C567" s="16">
        <v>362551</v>
      </c>
      <c r="D567" s="10">
        <f>PrincipalesVariables[[#This Row],[Base monetaria]]/1000000</f>
        <v>0.36255100000000001</v>
      </c>
      <c r="E567" s="10">
        <v>8</v>
      </c>
      <c r="F567" s="11">
        <v>28323</v>
      </c>
      <c r="H567" s="12">
        <f>(PrincipalesVariables[[#This Row],[Base monetaria]]-C566)/C566</f>
        <v>5.8037113791027549E-3</v>
      </c>
      <c r="I567" s="12">
        <f>(PrincipalesVariables[[#This Row],[Dólar  mayorista]]-E566)/E566</f>
        <v>0</v>
      </c>
      <c r="J567" s="12">
        <f>(PrincipalesVariables[[#This Row],[Reservas internacionales]]-F566)/F566</f>
        <v>5.6523121489384254E-4</v>
      </c>
    </row>
    <row r="568" spans="1:10" ht="15.75" thickBot="1" x14ac:dyDescent="0.3">
      <c r="A568" s="14">
        <v>41768</v>
      </c>
      <c r="B568" s="15">
        <v>41768</v>
      </c>
      <c r="C568" s="16">
        <v>362226</v>
      </c>
      <c r="D568" s="10">
        <f>PrincipalesVariables[[#This Row],[Base monetaria]]/1000000</f>
        <v>0.36222599999999999</v>
      </c>
      <c r="E568" s="10">
        <v>8</v>
      </c>
      <c r="F568" s="11">
        <v>28336</v>
      </c>
      <c r="H568" s="12">
        <f>(PrincipalesVariables[[#This Row],[Base monetaria]]-C567)/C567</f>
        <v>-8.96425606328489E-4</v>
      </c>
      <c r="I568" s="12">
        <f>(PrincipalesVariables[[#This Row],[Dólar  mayorista]]-E567)/E567</f>
        <v>0</v>
      </c>
      <c r="J568" s="12">
        <f>(PrincipalesVariables[[#This Row],[Reservas internacionales]]-F567)/F567</f>
        <v>4.5899092610246088E-4</v>
      </c>
    </row>
    <row r="569" spans="1:10" ht="15.75" thickBot="1" x14ac:dyDescent="0.3">
      <c r="A569" s="14">
        <v>41771</v>
      </c>
      <c r="B569" s="15">
        <v>41771</v>
      </c>
      <c r="C569" s="16">
        <v>361342</v>
      </c>
      <c r="D569" s="10">
        <f>PrincipalesVariables[[#This Row],[Base monetaria]]/1000000</f>
        <v>0.361342</v>
      </c>
      <c r="E569" s="10">
        <v>8.01</v>
      </c>
      <c r="F569" s="11">
        <v>28356</v>
      </c>
      <c r="H569" s="12">
        <f>(PrincipalesVariables[[#This Row],[Base monetaria]]-C568)/C568</f>
        <v>-2.4404653448399619E-3</v>
      </c>
      <c r="I569" s="12">
        <f>(PrincipalesVariables[[#This Row],[Dólar  mayorista]]-E568)/E568</f>
        <v>1.2499999999999734E-3</v>
      </c>
      <c r="J569" s="12">
        <f>(PrincipalesVariables[[#This Row],[Reservas internacionales]]-F568)/F568</f>
        <v>7.0581592320722751E-4</v>
      </c>
    </row>
    <row r="570" spans="1:10" ht="15.75" thickBot="1" x14ac:dyDescent="0.3">
      <c r="A570" s="14">
        <v>41772</v>
      </c>
      <c r="B570" s="15">
        <v>41772</v>
      </c>
      <c r="C570" s="16">
        <v>363009</v>
      </c>
      <c r="D570" s="10">
        <f>PrincipalesVariables[[#This Row],[Base monetaria]]/1000000</f>
        <v>0.36300900000000003</v>
      </c>
      <c r="E570" s="10">
        <v>8.02</v>
      </c>
      <c r="F570" s="11">
        <v>28358</v>
      </c>
      <c r="H570" s="12">
        <f>(PrincipalesVariables[[#This Row],[Base monetaria]]-C569)/C569</f>
        <v>4.6133579821886189E-3</v>
      </c>
      <c r="I570" s="12">
        <f>(PrincipalesVariables[[#This Row],[Dólar  mayorista]]-E569)/E569</f>
        <v>1.248439450686615E-3</v>
      </c>
      <c r="J570" s="12">
        <f>(PrincipalesVariables[[#This Row],[Reservas internacionales]]-F569)/F569</f>
        <v>7.0531809846240652E-5</v>
      </c>
    </row>
    <row r="571" spans="1:10" ht="15.75" thickBot="1" x14ac:dyDescent="0.3">
      <c r="A571" s="14">
        <v>41773</v>
      </c>
      <c r="B571" s="15">
        <v>41773</v>
      </c>
      <c r="C571" s="16">
        <v>357519</v>
      </c>
      <c r="D571" s="10">
        <f>PrincipalesVariables[[#This Row],[Base monetaria]]/1000000</f>
        <v>0.35751899999999998</v>
      </c>
      <c r="E571" s="10">
        <v>8.0299999999999994</v>
      </c>
      <c r="F571" s="11">
        <v>28373</v>
      </c>
      <c r="H571" s="12">
        <f>(PrincipalesVariables[[#This Row],[Base monetaria]]-C570)/C570</f>
        <v>-1.5123591977058421E-2</v>
      </c>
      <c r="I571" s="12">
        <f>(PrincipalesVariables[[#This Row],[Dólar  mayorista]]-E570)/E570</f>
        <v>1.2468827930174299E-3</v>
      </c>
      <c r="J571" s="12">
        <f>(PrincipalesVariables[[#This Row],[Reservas internacionales]]-F570)/F570</f>
        <v>5.289512659566965E-4</v>
      </c>
    </row>
    <row r="572" spans="1:10" ht="15.75" thickBot="1" x14ac:dyDescent="0.3">
      <c r="A572" s="14">
        <v>41774</v>
      </c>
      <c r="B572" s="15">
        <v>41774</v>
      </c>
      <c r="C572" s="16">
        <v>355540</v>
      </c>
      <c r="D572" s="10">
        <f>PrincipalesVariables[[#This Row],[Base monetaria]]/1000000</f>
        <v>0.35554000000000002</v>
      </c>
      <c r="E572" s="10">
        <v>8.0500000000000007</v>
      </c>
      <c r="F572" s="11">
        <v>28383</v>
      </c>
      <c r="H572" s="12">
        <f>(PrincipalesVariables[[#This Row],[Base monetaria]]-C571)/C571</f>
        <v>-5.5353701481599578E-3</v>
      </c>
      <c r="I572" s="12">
        <f>(PrincipalesVariables[[#This Row],[Dólar  mayorista]]-E571)/E571</f>
        <v>2.4906600249067685E-3</v>
      </c>
      <c r="J572" s="12">
        <f>(PrincipalesVariables[[#This Row],[Reservas internacionales]]-F571)/F571</f>
        <v>3.5244774962111869E-4</v>
      </c>
    </row>
    <row r="573" spans="1:10" ht="15.75" thickBot="1" x14ac:dyDescent="0.3">
      <c r="A573" s="14">
        <v>41775</v>
      </c>
      <c r="B573" s="15">
        <v>41775</v>
      </c>
      <c r="C573" s="16">
        <v>353321</v>
      </c>
      <c r="D573" s="10">
        <f>PrincipalesVariables[[#This Row],[Base monetaria]]/1000000</f>
        <v>0.353321</v>
      </c>
      <c r="E573" s="10">
        <v>8.06</v>
      </c>
      <c r="F573" s="11">
        <v>28391</v>
      </c>
      <c r="H573" s="12">
        <f>(PrincipalesVariables[[#This Row],[Base monetaria]]-C572)/C572</f>
        <v>-6.2412105529616917E-3</v>
      </c>
      <c r="I573" s="12">
        <f>(PrincipalesVariables[[#This Row],[Dólar  mayorista]]-E572)/E572</f>
        <v>1.2422360248446939E-3</v>
      </c>
      <c r="J573" s="12">
        <f>(PrincipalesVariables[[#This Row],[Reservas internacionales]]-F572)/F572</f>
        <v>2.8185885917626747E-4</v>
      </c>
    </row>
    <row r="574" spans="1:10" ht="15.75" thickBot="1" x14ac:dyDescent="0.3">
      <c r="A574" s="14">
        <v>41778</v>
      </c>
      <c r="B574" s="15">
        <v>41778</v>
      </c>
      <c r="C574" s="16">
        <v>351509</v>
      </c>
      <c r="D574" s="10">
        <f>PrincipalesVariables[[#This Row],[Base monetaria]]/1000000</f>
        <v>0.35150900000000002</v>
      </c>
      <c r="E574" s="10">
        <v>8.06</v>
      </c>
      <c r="F574" s="11">
        <v>28390</v>
      </c>
      <c r="H574" s="12">
        <f>(PrincipalesVariables[[#This Row],[Base monetaria]]-C573)/C573</f>
        <v>-5.128480899804993E-3</v>
      </c>
      <c r="I574" s="12">
        <f>(PrincipalesVariables[[#This Row],[Dólar  mayorista]]-E573)/E573</f>
        <v>0</v>
      </c>
      <c r="J574" s="12">
        <f>(PrincipalesVariables[[#This Row],[Reservas internacionales]]-F573)/F573</f>
        <v>-3.5222429643196789E-5</v>
      </c>
    </row>
    <row r="575" spans="1:10" ht="15.75" thickBot="1" x14ac:dyDescent="0.3">
      <c r="A575" s="14">
        <v>41779</v>
      </c>
      <c r="B575" s="15">
        <v>41779</v>
      </c>
      <c r="C575" s="16">
        <v>350160</v>
      </c>
      <c r="D575" s="10">
        <f>PrincipalesVariables[[#This Row],[Base monetaria]]/1000000</f>
        <v>0.35016000000000003</v>
      </c>
      <c r="E575" s="10">
        <v>8.06</v>
      </c>
      <c r="F575" s="11">
        <v>28398</v>
      </c>
      <c r="H575" s="12">
        <f>(PrincipalesVariables[[#This Row],[Base monetaria]]-C574)/C574</f>
        <v>-3.8377395742356527E-3</v>
      </c>
      <c r="I575" s="12">
        <f>(PrincipalesVariables[[#This Row],[Dólar  mayorista]]-E574)/E574</f>
        <v>0</v>
      </c>
      <c r="J575" s="12">
        <f>(PrincipalesVariables[[#This Row],[Reservas internacionales]]-F574)/F574</f>
        <v>2.8178936245156747E-4</v>
      </c>
    </row>
    <row r="576" spans="1:10" ht="15.75" thickBot="1" x14ac:dyDescent="0.3">
      <c r="A576" s="14">
        <v>41780</v>
      </c>
      <c r="B576" s="15">
        <v>41780</v>
      </c>
      <c r="C576" s="16">
        <v>354183</v>
      </c>
      <c r="D576" s="10">
        <f>PrincipalesVariables[[#This Row],[Base monetaria]]/1000000</f>
        <v>0.35418300000000003</v>
      </c>
      <c r="E576" s="10">
        <v>8.06</v>
      </c>
      <c r="F576" s="11">
        <v>28350</v>
      </c>
      <c r="H576" s="12">
        <f>(PrincipalesVariables[[#This Row],[Base monetaria]]-C575)/C575</f>
        <v>1.1489033584647019E-2</v>
      </c>
      <c r="I576" s="12">
        <f>(PrincipalesVariables[[#This Row],[Dólar  mayorista]]-E575)/E575</f>
        <v>0</v>
      </c>
      <c r="J576" s="12">
        <f>(PrincipalesVariables[[#This Row],[Reservas internacionales]]-F575)/F575</f>
        <v>-1.6902598774561589E-3</v>
      </c>
    </row>
    <row r="577" spans="1:10" ht="15.75" thickBot="1" x14ac:dyDescent="0.3">
      <c r="A577" s="14">
        <v>41781</v>
      </c>
      <c r="B577" s="15">
        <v>41781</v>
      </c>
      <c r="C577" s="16">
        <v>355719</v>
      </c>
      <c r="D577" s="10">
        <f>PrincipalesVariables[[#This Row],[Base monetaria]]/1000000</f>
        <v>0.35571900000000001</v>
      </c>
      <c r="E577" s="10">
        <v>8.06</v>
      </c>
      <c r="F577" s="11">
        <v>28433</v>
      </c>
      <c r="H577" s="12">
        <f>(PrincipalesVariables[[#This Row],[Base monetaria]]-C576)/C576</f>
        <v>4.3367411761716405E-3</v>
      </c>
      <c r="I577" s="12">
        <f>(PrincipalesVariables[[#This Row],[Dólar  mayorista]]-E576)/E576</f>
        <v>0</v>
      </c>
      <c r="J577" s="12">
        <f>(PrincipalesVariables[[#This Row],[Reservas internacionales]]-F576)/F576</f>
        <v>2.9276895943562611E-3</v>
      </c>
    </row>
    <row r="578" spans="1:10" ht="15.75" thickBot="1" x14ac:dyDescent="0.3">
      <c r="A578" s="14">
        <v>41782</v>
      </c>
      <c r="B578" s="15">
        <v>41782</v>
      </c>
      <c r="C578" s="16">
        <v>344832</v>
      </c>
      <c r="D578" s="10">
        <f>PrincipalesVariables[[#This Row],[Base monetaria]]/1000000</f>
        <v>0.34483200000000003</v>
      </c>
      <c r="E578" s="10">
        <v>8.07</v>
      </c>
      <c r="F578" s="11">
        <v>28514</v>
      </c>
      <c r="H578" s="12">
        <f>(PrincipalesVariables[[#This Row],[Base monetaria]]-C577)/C577</f>
        <v>-3.0605618479755087E-2</v>
      </c>
      <c r="I578" s="12">
        <f>(PrincipalesVariables[[#This Row],[Dólar  mayorista]]-E577)/E577</f>
        <v>1.2406947890818594E-3</v>
      </c>
      <c r="J578" s="12">
        <f>(PrincipalesVariables[[#This Row],[Reservas internacionales]]-F577)/F577</f>
        <v>2.8488024478598812E-3</v>
      </c>
    </row>
    <row r="579" spans="1:10" ht="15.75" thickBot="1" x14ac:dyDescent="0.3">
      <c r="A579" s="14">
        <v>41785</v>
      </c>
      <c r="B579" s="15">
        <v>41785</v>
      </c>
      <c r="C579" s="16">
        <v>338075</v>
      </c>
      <c r="D579" s="10">
        <f>PrincipalesVariables[[#This Row],[Base monetaria]]/1000000</f>
        <v>0.33807500000000001</v>
      </c>
      <c r="E579" s="10">
        <v>8.07</v>
      </c>
      <c r="F579" s="11">
        <v>28514</v>
      </c>
      <c r="H579" s="12">
        <f>(PrincipalesVariables[[#This Row],[Base monetaria]]-C578)/C578</f>
        <v>-1.9595049183370454E-2</v>
      </c>
      <c r="I579" s="12">
        <f>(PrincipalesVariables[[#This Row],[Dólar  mayorista]]-E578)/E578</f>
        <v>0</v>
      </c>
      <c r="J579" s="12">
        <f>(PrincipalesVariables[[#This Row],[Reservas internacionales]]-F578)/F578</f>
        <v>0</v>
      </c>
    </row>
    <row r="580" spans="1:10" ht="15.75" thickBot="1" x14ac:dyDescent="0.3">
      <c r="A580" s="14">
        <v>41786</v>
      </c>
      <c r="B580" s="15">
        <v>41786</v>
      </c>
      <c r="C580" s="16">
        <v>345881</v>
      </c>
      <c r="D580" s="10">
        <f>PrincipalesVariables[[#This Row],[Base monetaria]]/1000000</f>
        <v>0.34588099999999999</v>
      </c>
      <c r="E580" s="10">
        <v>8.07</v>
      </c>
      <c r="F580" s="11">
        <v>28499</v>
      </c>
      <c r="H580" s="12">
        <f>(PrincipalesVariables[[#This Row],[Base monetaria]]-C579)/C579</f>
        <v>2.3089551135103158E-2</v>
      </c>
      <c r="I580" s="12">
        <f>(PrincipalesVariables[[#This Row],[Dólar  mayorista]]-E579)/E579</f>
        <v>0</v>
      </c>
      <c r="J580" s="12">
        <f>(PrincipalesVariables[[#This Row],[Reservas internacionales]]-F579)/F579</f>
        <v>-5.2605737532440201E-4</v>
      </c>
    </row>
    <row r="581" spans="1:10" ht="15.75" thickBot="1" x14ac:dyDescent="0.3">
      <c r="A581" s="14">
        <v>41787</v>
      </c>
      <c r="B581" s="15">
        <v>41787</v>
      </c>
      <c r="C581" s="16">
        <v>346225</v>
      </c>
      <c r="D581" s="10">
        <f>PrincipalesVariables[[#This Row],[Base monetaria]]/1000000</f>
        <v>0.346225</v>
      </c>
      <c r="E581" s="10">
        <v>8.07</v>
      </c>
      <c r="F581" s="11">
        <v>28541</v>
      </c>
      <c r="H581" s="12">
        <f>(PrincipalesVariables[[#This Row],[Base monetaria]]-C580)/C580</f>
        <v>9.9456171342166824E-4</v>
      </c>
      <c r="I581" s="12">
        <f>(PrincipalesVariables[[#This Row],[Dólar  mayorista]]-E580)/E580</f>
        <v>0</v>
      </c>
      <c r="J581" s="12">
        <f>(PrincipalesVariables[[#This Row],[Reservas internacionales]]-F580)/F580</f>
        <v>1.473735920558616E-3</v>
      </c>
    </row>
    <row r="582" spans="1:10" ht="15.75" thickBot="1" x14ac:dyDescent="0.3">
      <c r="A582" s="14">
        <v>41788</v>
      </c>
      <c r="B582" s="15">
        <v>41788</v>
      </c>
      <c r="C582" s="16">
        <v>342952</v>
      </c>
      <c r="D582" s="10">
        <f>PrincipalesVariables[[#This Row],[Base monetaria]]/1000000</f>
        <v>0.34295199999999998</v>
      </c>
      <c r="E582" s="10">
        <v>8.08</v>
      </c>
      <c r="F582" s="11">
        <v>28520</v>
      </c>
      <c r="H582" s="12">
        <f>(PrincipalesVariables[[#This Row],[Base monetaria]]-C581)/C581</f>
        <v>-9.4533901364719473E-3</v>
      </c>
      <c r="I582" s="12">
        <f>(PrincipalesVariables[[#This Row],[Dólar  mayorista]]-E581)/E581</f>
        <v>1.2391573729863428E-3</v>
      </c>
      <c r="J582" s="12">
        <f>(PrincipalesVariables[[#This Row],[Reservas internacionales]]-F581)/F581</f>
        <v>-7.3578360954416454E-4</v>
      </c>
    </row>
    <row r="583" spans="1:10" ht="15.75" thickBot="1" x14ac:dyDescent="0.3">
      <c r="A583" s="14">
        <v>41789</v>
      </c>
      <c r="B583" s="15">
        <v>41789</v>
      </c>
      <c r="C583" s="16">
        <v>348928</v>
      </c>
      <c r="D583" s="10">
        <f>PrincipalesVariables[[#This Row],[Base monetaria]]/1000000</f>
        <v>0.34892800000000002</v>
      </c>
      <c r="E583" s="10">
        <v>8.08</v>
      </c>
      <c r="F583" s="11">
        <v>28542</v>
      </c>
      <c r="H583" s="12">
        <f>(PrincipalesVariables[[#This Row],[Base monetaria]]-C582)/C582</f>
        <v>1.7425179033800649E-2</v>
      </c>
      <c r="I583" s="12">
        <f>(PrincipalesVariables[[#This Row],[Dólar  mayorista]]-E582)/E582</f>
        <v>0</v>
      </c>
      <c r="J583" s="12">
        <f>(PrincipalesVariables[[#This Row],[Reservas internacionales]]-F582)/F582</f>
        <v>7.7138849929873768E-4</v>
      </c>
    </row>
    <row r="584" spans="1:10" ht="15.75" thickBot="1" x14ac:dyDescent="0.3">
      <c r="A584" s="14">
        <v>41792</v>
      </c>
      <c r="B584" s="15">
        <v>41792</v>
      </c>
      <c r="C584" s="16">
        <v>365594</v>
      </c>
      <c r="D584" s="10">
        <f>PrincipalesVariables[[#This Row],[Base monetaria]]/1000000</f>
        <v>0.36559399999999997</v>
      </c>
      <c r="E584" s="10">
        <v>8.08</v>
      </c>
      <c r="F584" s="11">
        <v>28599</v>
      </c>
      <c r="H584" s="12">
        <f>(PrincipalesVariables[[#This Row],[Base monetaria]]-C583)/C583</f>
        <v>4.7763435436537049E-2</v>
      </c>
      <c r="I584" s="12">
        <f>(PrincipalesVariables[[#This Row],[Dólar  mayorista]]-E583)/E583</f>
        <v>0</v>
      </c>
      <c r="J584" s="12">
        <f>(PrincipalesVariables[[#This Row],[Reservas internacionales]]-F583)/F583</f>
        <v>1.9970569686777379E-3</v>
      </c>
    </row>
    <row r="585" spans="1:10" ht="15.75" thickBot="1" x14ac:dyDescent="0.3">
      <c r="A585" s="14">
        <v>41793</v>
      </c>
      <c r="B585" s="15">
        <v>41793</v>
      </c>
      <c r="C585" s="16">
        <v>366652</v>
      </c>
      <c r="D585" s="10">
        <f>PrincipalesVariables[[#This Row],[Base monetaria]]/1000000</f>
        <v>0.36665199999999998</v>
      </c>
      <c r="E585" s="10">
        <v>8.09</v>
      </c>
      <c r="F585" s="11">
        <v>28627</v>
      </c>
      <c r="H585" s="12">
        <f>(PrincipalesVariables[[#This Row],[Base monetaria]]-C584)/C584</f>
        <v>2.8939205785652937E-3</v>
      </c>
      <c r="I585" s="12">
        <f>(PrincipalesVariables[[#This Row],[Dólar  mayorista]]-E584)/E584</f>
        <v>1.2376237623762112E-3</v>
      </c>
      <c r="J585" s="12">
        <f>(PrincipalesVariables[[#This Row],[Reservas internacionales]]-F584)/F584</f>
        <v>9.7905521172068953E-4</v>
      </c>
    </row>
    <row r="586" spans="1:10" ht="15.75" thickBot="1" x14ac:dyDescent="0.3">
      <c r="A586" s="14">
        <v>41794</v>
      </c>
      <c r="B586" s="15">
        <v>41794</v>
      </c>
      <c r="C586" s="16">
        <v>370210</v>
      </c>
      <c r="D586" s="10">
        <f>PrincipalesVariables[[#This Row],[Base monetaria]]/1000000</f>
        <v>0.37020999999999998</v>
      </c>
      <c r="E586" s="10">
        <v>8.1</v>
      </c>
      <c r="F586" s="11">
        <v>28639</v>
      </c>
      <c r="H586" s="12">
        <f>(PrincipalesVariables[[#This Row],[Base monetaria]]-C585)/C585</f>
        <v>9.7040245246173482E-3</v>
      </c>
      <c r="I586" s="12">
        <f>(PrincipalesVariables[[#This Row],[Dólar  mayorista]]-E585)/E585</f>
        <v>1.2360939431396523E-3</v>
      </c>
      <c r="J586" s="12">
        <f>(PrincipalesVariables[[#This Row],[Reservas internacionales]]-F585)/F585</f>
        <v>4.1918468578614593E-4</v>
      </c>
    </row>
    <row r="587" spans="1:10" ht="15.75" thickBot="1" x14ac:dyDescent="0.3">
      <c r="A587" s="14">
        <v>41795</v>
      </c>
      <c r="B587" s="15">
        <v>41795</v>
      </c>
      <c r="C587" s="16">
        <v>369670</v>
      </c>
      <c r="D587" s="10">
        <f>PrincipalesVariables[[#This Row],[Base monetaria]]/1000000</f>
        <v>0.36967</v>
      </c>
      <c r="E587" s="10">
        <v>8.1199999999999992</v>
      </c>
      <c r="F587" s="11">
        <v>28635</v>
      </c>
      <c r="H587" s="12">
        <f>(PrincipalesVariables[[#This Row],[Base monetaria]]-C586)/C586</f>
        <v>-1.4586315874773777E-3</v>
      </c>
      <c r="I587" s="12">
        <f>(PrincipalesVariables[[#This Row],[Dólar  mayorista]]-E586)/E586</f>
        <v>2.4691358024690833E-3</v>
      </c>
      <c r="J587" s="12">
        <f>(PrincipalesVariables[[#This Row],[Reservas internacionales]]-F586)/F586</f>
        <v>-1.3966968120395266E-4</v>
      </c>
    </row>
    <row r="588" spans="1:10" ht="15.75" thickBot="1" x14ac:dyDescent="0.3">
      <c r="A588" s="14">
        <v>41796</v>
      </c>
      <c r="B588" s="15">
        <v>41796</v>
      </c>
      <c r="C588" s="16">
        <v>364532</v>
      </c>
      <c r="D588" s="10">
        <f>PrincipalesVariables[[#This Row],[Base monetaria]]/1000000</f>
        <v>0.36453200000000002</v>
      </c>
      <c r="E588" s="10">
        <v>8.14</v>
      </c>
      <c r="F588" s="11">
        <v>28623</v>
      </c>
      <c r="H588" s="12">
        <f>(PrincipalesVariables[[#This Row],[Base monetaria]]-C587)/C587</f>
        <v>-1.389888278735088E-2</v>
      </c>
      <c r="I588" s="12">
        <f>(PrincipalesVariables[[#This Row],[Dólar  mayorista]]-E587)/E587</f>
        <v>2.4630541871922848E-3</v>
      </c>
      <c r="J588" s="12">
        <f>(PrincipalesVariables[[#This Row],[Reservas internacionales]]-F587)/F587</f>
        <v>-4.1906757464641174E-4</v>
      </c>
    </row>
    <row r="589" spans="1:10" ht="15.75" thickBot="1" x14ac:dyDescent="0.3">
      <c r="A589" s="14">
        <v>41799</v>
      </c>
      <c r="B589" s="15">
        <v>41799</v>
      </c>
      <c r="C589" s="16">
        <v>370489</v>
      </c>
      <c r="D589" s="10">
        <f>PrincipalesVariables[[#This Row],[Base monetaria]]/1000000</f>
        <v>0.37048900000000001</v>
      </c>
      <c r="E589" s="10">
        <v>8.1300000000000008</v>
      </c>
      <c r="F589" s="11">
        <v>28789</v>
      </c>
      <c r="H589" s="12">
        <f>(PrincipalesVariables[[#This Row],[Base monetaria]]-C588)/C588</f>
        <v>1.634150088332437E-2</v>
      </c>
      <c r="I589" s="12">
        <f>(PrincipalesVariables[[#This Row],[Dólar  mayorista]]-E588)/E588</f>
        <v>-1.2285012285012022E-3</v>
      </c>
      <c r="J589" s="12">
        <f>(PrincipalesVariables[[#This Row],[Reservas internacionales]]-F588)/F588</f>
        <v>5.7995318450197392E-3</v>
      </c>
    </row>
    <row r="590" spans="1:10" ht="15.75" thickBot="1" x14ac:dyDescent="0.3">
      <c r="A590" s="14">
        <v>41800</v>
      </c>
      <c r="B590" s="15">
        <v>41800</v>
      </c>
      <c r="C590" s="16">
        <v>371807</v>
      </c>
      <c r="D590" s="10">
        <f>PrincipalesVariables[[#This Row],[Base monetaria]]/1000000</f>
        <v>0.371807</v>
      </c>
      <c r="E590" s="10">
        <v>8.1300000000000008</v>
      </c>
      <c r="F590" s="11">
        <v>28781</v>
      </c>
      <c r="H590" s="12">
        <f>(PrincipalesVariables[[#This Row],[Base monetaria]]-C589)/C589</f>
        <v>3.5574605453873123E-3</v>
      </c>
      <c r="I590" s="12">
        <f>(PrincipalesVariables[[#This Row],[Dólar  mayorista]]-E589)/E589</f>
        <v>0</v>
      </c>
      <c r="J590" s="12">
        <f>(PrincipalesVariables[[#This Row],[Reservas internacionales]]-F589)/F589</f>
        <v>-2.7788391399492861E-4</v>
      </c>
    </row>
    <row r="591" spans="1:10" ht="15.75" thickBot="1" x14ac:dyDescent="0.3">
      <c r="A591" s="14">
        <v>41801</v>
      </c>
      <c r="B591" s="15">
        <v>41801</v>
      </c>
      <c r="C591" s="16">
        <v>372553</v>
      </c>
      <c r="D591" s="10">
        <f>PrincipalesVariables[[#This Row],[Base monetaria]]/1000000</f>
        <v>0.37255300000000002</v>
      </c>
      <c r="E591" s="10">
        <v>8.1300000000000008</v>
      </c>
      <c r="F591" s="11">
        <v>28800</v>
      </c>
      <c r="H591" s="12">
        <f>(PrincipalesVariables[[#This Row],[Base monetaria]]-C590)/C590</f>
        <v>2.0064173079043699E-3</v>
      </c>
      <c r="I591" s="12">
        <f>(PrincipalesVariables[[#This Row],[Dólar  mayorista]]-E590)/E590</f>
        <v>0</v>
      </c>
      <c r="J591" s="12">
        <f>(PrincipalesVariables[[#This Row],[Reservas internacionales]]-F590)/F590</f>
        <v>6.6015774295542199E-4</v>
      </c>
    </row>
    <row r="592" spans="1:10" ht="15.75" thickBot="1" x14ac:dyDescent="0.3">
      <c r="A592" s="14">
        <v>41802</v>
      </c>
      <c r="B592" s="15">
        <v>41802</v>
      </c>
      <c r="C592" s="16">
        <v>376810</v>
      </c>
      <c r="D592" s="10">
        <f>PrincipalesVariables[[#This Row],[Base monetaria]]/1000000</f>
        <v>0.37680999999999998</v>
      </c>
      <c r="E592" s="10">
        <v>8.1300000000000008</v>
      </c>
      <c r="F592" s="11">
        <v>28820</v>
      </c>
      <c r="H592" s="12">
        <f>(PrincipalesVariables[[#This Row],[Base monetaria]]-C591)/C591</f>
        <v>1.1426562126730962E-2</v>
      </c>
      <c r="I592" s="12">
        <f>(PrincipalesVariables[[#This Row],[Dólar  mayorista]]-E591)/E591</f>
        <v>0</v>
      </c>
      <c r="J592" s="12">
        <f>(PrincipalesVariables[[#This Row],[Reservas internacionales]]-F591)/F591</f>
        <v>6.9444444444444447E-4</v>
      </c>
    </row>
    <row r="593" spans="1:10" ht="15.75" thickBot="1" x14ac:dyDescent="0.3">
      <c r="A593" s="14">
        <v>41803</v>
      </c>
      <c r="B593" s="15">
        <v>41803</v>
      </c>
      <c r="C593" s="16">
        <v>365174</v>
      </c>
      <c r="D593" s="10">
        <f>PrincipalesVariables[[#This Row],[Base monetaria]]/1000000</f>
        <v>0.365174</v>
      </c>
      <c r="E593" s="10">
        <v>8.1300000000000008</v>
      </c>
      <c r="F593" s="11">
        <v>28844</v>
      </c>
      <c r="H593" s="12">
        <f>(PrincipalesVariables[[#This Row],[Base monetaria]]-C592)/C592</f>
        <v>-3.088028449351132E-2</v>
      </c>
      <c r="I593" s="12">
        <f>(PrincipalesVariables[[#This Row],[Dólar  mayorista]]-E592)/E592</f>
        <v>0</v>
      </c>
      <c r="J593" s="12">
        <f>(PrincipalesVariables[[#This Row],[Reservas internacionales]]-F592)/F592</f>
        <v>8.3275503122831368E-4</v>
      </c>
    </row>
    <row r="594" spans="1:10" ht="15.75" thickBot="1" x14ac:dyDescent="0.3">
      <c r="A594" s="14">
        <v>41806</v>
      </c>
      <c r="B594" s="15">
        <v>41806</v>
      </c>
      <c r="C594" s="16">
        <v>359416</v>
      </c>
      <c r="D594" s="10">
        <f>PrincipalesVariables[[#This Row],[Base monetaria]]/1000000</f>
        <v>0.35941600000000001</v>
      </c>
      <c r="E594" s="10">
        <v>8.14</v>
      </c>
      <c r="F594" s="11">
        <v>28834</v>
      </c>
      <c r="H594" s="12">
        <f>(PrincipalesVariables[[#This Row],[Base monetaria]]-C593)/C593</f>
        <v>-1.5767825748821108E-2</v>
      </c>
      <c r="I594" s="12">
        <f>(PrincipalesVariables[[#This Row],[Dólar  mayorista]]-E593)/E593</f>
        <v>1.2300123001229748E-3</v>
      </c>
      <c r="J594" s="12">
        <f>(PrincipalesVariables[[#This Row],[Reservas internacionales]]-F593)/F593</f>
        <v>-3.4669255304396062E-4</v>
      </c>
    </row>
    <row r="595" spans="1:10" ht="15.75" thickBot="1" x14ac:dyDescent="0.3">
      <c r="A595" s="14">
        <v>41807</v>
      </c>
      <c r="B595" s="15">
        <v>41807</v>
      </c>
      <c r="C595" s="16">
        <v>360009</v>
      </c>
      <c r="D595" s="10">
        <f>PrincipalesVariables[[#This Row],[Base monetaria]]/1000000</f>
        <v>0.36000900000000002</v>
      </c>
      <c r="E595" s="10">
        <v>8.1300000000000008</v>
      </c>
      <c r="F595" s="11">
        <v>28841</v>
      </c>
      <c r="H595" s="12">
        <f>(PrincipalesVariables[[#This Row],[Base monetaria]]-C594)/C594</f>
        <v>1.6498987245976806E-3</v>
      </c>
      <c r="I595" s="12">
        <f>(PrincipalesVariables[[#This Row],[Dólar  mayorista]]-E594)/E594</f>
        <v>-1.2285012285012022E-3</v>
      </c>
      <c r="J595" s="12">
        <f>(PrincipalesVariables[[#This Row],[Reservas internacionales]]-F594)/F594</f>
        <v>2.427689533189984E-4</v>
      </c>
    </row>
    <row r="596" spans="1:10" ht="15.75" thickBot="1" x14ac:dyDescent="0.3">
      <c r="A596" s="14">
        <v>41808</v>
      </c>
      <c r="B596" s="15">
        <v>41808</v>
      </c>
      <c r="C596" s="16">
        <v>362574</v>
      </c>
      <c r="D596" s="10">
        <f>PrincipalesVariables[[#This Row],[Base monetaria]]/1000000</f>
        <v>0.36257400000000001</v>
      </c>
      <c r="E596" s="10">
        <v>8.1300000000000008</v>
      </c>
      <c r="F596" s="11">
        <v>28872</v>
      </c>
      <c r="H596" s="12">
        <f>(PrincipalesVariables[[#This Row],[Base monetaria]]-C595)/C595</f>
        <v>7.1248218794530138E-3</v>
      </c>
      <c r="I596" s="12">
        <f>(PrincipalesVariables[[#This Row],[Dólar  mayorista]]-E595)/E595</f>
        <v>0</v>
      </c>
      <c r="J596" s="12">
        <f>(PrincipalesVariables[[#This Row],[Reservas internacionales]]-F595)/F595</f>
        <v>1.0748587080891786E-3</v>
      </c>
    </row>
    <row r="597" spans="1:10" ht="15.75" thickBot="1" x14ac:dyDescent="0.3">
      <c r="A597" s="14">
        <v>41809</v>
      </c>
      <c r="B597" s="15">
        <v>41809</v>
      </c>
      <c r="C597" s="16">
        <v>362286</v>
      </c>
      <c r="D597" s="10">
        <f>PrincipalesVariables[[#This Row],[Base monetaria]]/1000000</f>
        <v>0.362286</v>
      </c>
      <c r="E597" s="10">
        <v>8.1300000000000008</v>
      </c>
      <c r="F597" s="11">
        <v>28884</v>
      </c>
      <c r="H597" s="12">
        <f>(PrincipalesVariables[[#This Row],[Base monetaria]]-C596)/C596</f>
        <v>-7.9432060765526481E-4</v>
      </c>
      <c r="I597" s="12">
        <f>(PrincipalesVariables[[#This Row],[Dólar  mayorista]]-E596)/E596</f>
        <v>0</v>
      </c>
      <c r="J597" s="12">
        <f>(PrincipalesVariables[[#This Row],[Reservas internacionales]]-F596)/F596</f>
        <v>4.1562759767248546E-4</v>
      </c>
    </row>
    <row r="598" spans="1:10" ht="15.75" thickBot="1" x14ac:dyDescent="0.3">
      <c r="A598" s="14">
        <v>41813</v>
      </c>
      <c r="B598" s="15">
        <v>41813</v>
      </c>
      <c r="C598" s="16">
        <v>363226</v>
      </c>
      <c r="D598" s="10">
        <f>PrincipalesVariables[[#This Row],[Base monetaria]]/1000000</f>
        <v>0.36322599999999999</v>
      </c>
      <c r="E598" s="10">
        <v>8.1300000000000008</v>
      </c>
      <c r="F598" s="11">
        <v>28893</v>
      </c>
      <c r="H598" s="12">
        <f>(PrincipalesVariables[[#This Row],[Base monetaria]]-C597)/C597</f>
        <v>2.5946351777325098E-3</v>
      </c>
      <c r="I598" s="12">
        <f>(PrincipalesVariables[[#This Row],[Dólar  mayorista]]-E597)/E597</f>
        <v>0</v>
      </c>
      <c r="J598" s="12">
        <f>(PrincipalesVariables[[#This Row],[Reservas internacionales]]-F597)/F597</f>
        <v>3.1159119235562942E-4</v>
      </c>
    </row>
    <row r="599" spans="1:10" ht="15.75" thickBot="1" x14ac:dyDescent="0.3">
      <c r="A599" s="14">
        <v>41814</v>
      </c>
      <c r="B599" s="15">
        <v>41814</v>
      </c>
      <c r="C599" s="16">
        <v>362991</v>
      </c>
      <c r="D599" s="10">
        <f>PrincipalesVariables[[#This Row],[Base monetaria]]/1000000</f>
        <v>0.36299100000000001</v>
      </c>
      <c r="E599" s="10">
        <v>8.1300000000000008</v>
      </c>
      <c r="F599" s="11">
        <v>29025</v>
      </c>
      <c r="H599" s="12">
        <f>(PrincipalesVariables[[#This Row],[Base monetaria]]-C598)/C598</f>
        <v>-6.469801170621046E-4</v>
      </c>
      <c r="I599" s="12">
        <f>(PrincipalesVariables[[#This Row],[Dólar  mayorista]]-E598)/E598</f>
        <v>0</v>
      </c>
      <c r="J599" s="12">
        <f>(PrincipalesVariables[[#This Row],[Reservas internacionales]]-F598)/F598</f>
        <v>4.5685806250648948E-3</v>
      </c>
    </row>
    <row r="600" spans="1:10" ht="15.75" thickBot="1" x14ac:dyDescent="0.3">
      <c r="A600" s="14">
        <v>41815</v>
      </c>
      <c r="B600" s="15">
        <v>41815</v>
      </c>
      <c r="C600" s="16">
        <v>365588</v>
      </c>
      <c r="D600" s="10">
        <f>PrincipalesVariables[[#This Row],[Base monetaria]]/1000000</f>
        <v>0.36558800000000002</v>
      </c>
      <c r="E600" s="10">
        <v>8.1300000000000008</v>
      </c>
      <c r="F600" s="11">
        <v>29073</v>
      </c>
      <c r="H600" s="12">
        <f>(PrincipalesVariables[[#This Row],[Base monetaria]]-C599)/C599</f>
        <v>7.1544473554440748E-3</v>
      </c>
      <c r="I600" s="12">
        <f>(PrincipalesVariables[[#This Row],[Dólar  mayorista]]-E599)/E599</f>
        <v>0</v>
      </c>
      <c r="J600" s="12">
        <f>(PrincipalesVariables[[#This Row],[Reservas internacionales]]-F599)/F599</f>
        <v>1.6537467700258397E-3</v>
      </c>
    </row>
    <row r="601" spans="1:10" ht="15.75" thickBot="1" x14ac:dyDescent="0.3">
      <c r="A601" s="14">
        <v>41816</v>
      </c>
      <c r="B601" s="15">
        <v>41816</v>
      </c>
      <c r="C601" s="16">
        <v>372616</v>
      </c>
      <c r="D601" s="10">
        <f>PrincipalesVariables[[#This Row],[Base monetaria]]/1000000</f>
        <v>0.372616</v>
      </c>
      <c r="E601" s="10">
        <v>8.1300000000000008</v>
      </c>
      <c r="F601" s="11">
        <v>29133</v>
      </c>
      <c r="H601" s="12">
        <f>(PrincipalesVariables[[#This Row],[Base monetaria]]-C600)/C600</f>
        <v>1.9223825727321467E-2</v>
      </c>
      <c r="I601" s="12">
        <f>(PrincipalesVariables[[#This Row],[Dólar  mayorista]]-E600)/E600</f>
        <v>0</v>
      </c>
      <c r="J601" s="12">
        <f>(PrincipalesVariables[[#This Row],[Reservas internacionales]]-F600)/F600</f>
        <v>2.0637705087194302E-3</v>
      </c>
    </row>
    <row r="602" spans="1:10" ht="15.75" thickBot="1" x14ac:dyDescent="0.3">
      <c r="A602" s="14">
        <v>41817</v>
      </c>
      <c r="B602" s="15">
        <v>41817</v>
      </c>
      <c r="C602" s="16">
        <v>370707</v>
      </c>
      <c r="D602" s="10">
        <f>PrincipalesVariables[[#This Row],[Base monetaria]]/1000000</f>
        <v>0.37070700000000001</v>
      </c>
      <c r="E602" s="10">
        <v>8.1300000000000008</v>
      </c>
      <c r="F602" s="11">
        <v>29255</v>
      </c>
      <c r="H602" s="12">
        <f>(PrincipalesVariables[[#This Row],[Base monetaria]]-C601)/C601</f>
        <v>-5.1232367906906846E-3</v>
      </c>
      <c r="I602" s="12">
        <f>(PrincipalesVariables[[#This Row],[Dólar  mayorista]]-E601)/E601</f>
        <v>0</v>
      </c>
      <c r="J602" s="12">
        <f>(PrincipalesVariables[[#This Row],[Reservas internacionales]]-F601)/F601</f>
        <v>4.1876909346788864E-3</v>
      </c>
    </row>
    <row r="603" spans="1:10" ht="15.75" thickBot="1" x14ac:dyDescent="0.3">
      <c r="A603" s="14">
        <v>41820</v>
      </c>
      <c r="B603" s="15">
        <v>41820</v>
      </c>
      <c r="C603" s="16">
        <v>370611</v>
      </c>
      <c r="D603" s="10">
        <f>PrincipalesVariables[[#This Row],[Base monetaria]]/1000000</f>
        <v>0.37061100000000002</v>
      </c>
      <c r="E603" s="10">
        <v>8.1300000000000008</v>
      </c>
      <c r="F603" s="11">
        <v>29278</v>
      </c>
      <c r="H603" s="12">
        <f>(PrincipalesVariables[[#This Row],[Base monetaria]]-C602)/C602</f>
        <v>-2.5896462705047381E-4</v>
      </c>
      <c r="I603" s="12">
        <f>(PrincipalesVariables[[#This Row],[Dólar  mayorista]]-E602)/E602</f>
        <v>0</v>
      </c>
      <c r="J603" s="12">
        <f>(PrincipalesVariables[[#This Row],[Reservas internacionales]]-F602)/F602</f>
        <v>7.8619039480430696E-4</v>
      </c>
    </row>
    <row r="604" spans="1:10" ht="15.75" thickBot="1" x14ac:dyDescent="0.3">
      <c r="A604" s="14">
        <v>41821</v>
      </c>
      <c r="B604" s="15">
        <v>41821</v>
      </c>
      <c r="C604" s="16">
        <v>382719</v>
      </c>
      <c r="D604" s="10">
        <f>PrincipalesVariables[[#This Row],[Base monetaria]]/1000000</f>
        <v>0.38271899999999998</v>
      </c>
      <c r="E604" s="10">
        <v>8.1300000000000008</v>
      </c>
      <c r="F604" s="11">
        <v>29339</v>
      </c>
      <c r="H604" s="12">
        <f>(PrincipalesVariables[[#This Row],[Base monetaria]]-C603)/C603</f>
        <v>3.2670374057974537E-2</v>
      </c>
      <c r="I604" s="12">
        <f>(PrincipalesVariables[[#This Row],[Dólar  mayorista]]-E603)/E603</f>
        <v>0</v>
      </c>
      <c r="J604" s="12">
        <f>(PrincipalesVariables[[#This Row],[Reservas internacionales]]-F603)/F603</f>
        <v>2.083475647243664E-3</v>
      </c>
    </row>
    <row r="605" spans="1:10" ht="15.75" thickBot="1" x14ac:dyDescent="0.3">
      <c r="A605" s="14">
        <v>41822</v>
      </c>
      <c r="B605" s="15">
        <v>41822</v>
      </c>
      <c r="C605" s="16">
        <v>385700</v>
      </c>
      <c r="D605" s="10">
        <f>PrincipalesVariables[[#This Row],[Base monetaria]]/1000000</f>
        <v>0.38569999999999999</v>
      </c>
      <c r="E605" s="10">
        <v>8.14</v>
      </c>
      <c r="F605" s="11">
        <v>29352</v>
      </c>
      <c r="H605" s="12">
        <f>(PrincipalesVariables[[#This Row],[Base monetaria]]-C604)/C604</f>
        <v>7.7890044654171861E-3</v>
      </c>
      <c r="I605" s="12">
        <f>(PrincipalesVariables[[#This Row],[Dólar  mayorista]]-E604)/E604</f>
        <v>1.2300123001229748E-3</v>
      </c>
      <c r="J605" s="12">
        <f>(PrincipalesVariables[[#This Row],[Reservas internacionales]]-F604)/F604</f>
        <v>4.4309622004839972E-4</v>
      </c>
    </row>
    <row r="606" spans="1:10" ht="15.75" thickBot="1" x14ac:dyDescent="0.3">
      <c r="A606" s="14">
        <v>41823</v>
      </c>
      <c r="B606" s="15">
        <v>41823</v>
      </c>
      <c r="C606" s="16">
        <v>393233</v>
      </c>
      <c r="D606" s="10">
        <f>PrincipalesVariables[[#This Row],[Base monetaria]]/1000000</f>
        <v>0.393233</v>
      </c>
      <c r="E606" s="10">
        <v>8.14</v>
      </c>
      <c r="F606" s="11">
        <v>29478</v>
      </c>
      <c r="H606" s="12">
        <f>(PrincipalesVariables[[#This Row],[Base monetaria]]-C605)/C605</f>
        <v>1.9530723360124447E-2</v>
      </c>
      <c r="I606" s="12">
        <f>(PrincipalesVariables[[#This Row],[Dólar  mayorista]]-E605)/E605</f>
        <v>0</v>
      </c>
      <c r="J606" s="12">
        <f>(PrincipalesVariables[[#This Row],[Reservas internacionales]]-F605)/F605</f>
        <v>4.2927228127555188E-3</v>
      </c>
    </row>
    <row r="607" spans="1:10" ht="15.75" thickBot="1" x14ac:dyDescent="0.3">
      <c r="A607" s="14">
        <v>41824</v>
      </c>
      <c r="B607" s="15">
        <v>41824</v>
      </c>
      <c r="C607" s="16">
        <v>393392</v>
      </c>
      <c r="D607" s="10">
        <f>PrincipalesVariables[[#This Row],[Base monetaria]]/1000000</f>
        <v>0.39339200000000002</v>
      </c>
      <c r="E607" s="10">
        <v>8.14</v>
      </c>
      <c r="F607" s="11">
        <v>29478</v>
      </c>
      <c r="H607" s="12">
        <f>(PrincipalesVariables[[#This Row],[Base monetaria]]-C606)/C606</f>
        <v>4.0434042921118016E-4</v>
      </c>
      <c r="I607" s="12">
        <f>(PrincipalesVariables[[#This Row],[Dólar  mayorista]]-E606)/E606</f>
        <v>0</v>
      </c>
      <c r="J607" s="12">
        <f>(PrincipalesVariables[[#This Row],[Reservas internacionales]]-F606)/F606</f>
        <v>0</v>
      </c>
    </row>
    <row r="608" spans="1:10" ht="15.75" thickBot="1" x14ac:dyDescent="0.3">
      <c r="A608" s="14">
        <v>41827</v>
      </c>
      <c r="B608" s="15">
        <v>41827</v>
      </c>
      <c r="C608" s="16">
        <v>394783</v>
      </c>
      <c r="D608" s="10">
        <f>PrincipalesVariables[[#This Row],[Base monetaria]]/1000000</f>
        <v>0.394783</v>
      </c>
      <c r="E608" s="10">
        <v>8.14</v>
      </c>
      <c r="F608" s="11">
        <v>29537</v>
      </c>
      <c r="H608" s="12">
        <f>(PrincipalesVariables[[#This Row],[Base monetaria]]-C607)/C607</f>
        <v>3.5359132875096596E-3</v>
      </c>
      <c r="I608" s="12">
        <f>(PrincipalesVariables[[#This Row],[Dólar  mayorista]]-E607)/E607</f>
        <v>0</v>
      </c>
      <c r="J608" s="12">
        <f>(PrincipalesVariables[[#This Row],[Reservas internacionales]]-F607)/F607</f>
        <v>2.0014926385779224E-3</v>
      </c>
    </row>
    <row r="609" spans="1:10" ht="15.75" thickBot="1" x14ac:dyDescent="0.3">
      <c r="A609" s="14">
        <v>41828</v>
      </c>
      <c r="B609" s="15">
        <v>41828</v>
      </c>
      <c r="C609" s="16">
        <v>395724</v>
      </c>
      <c r="D609" s="10">
        <f>PrincipalesVariables[[#This Row],[Base monetaria]]/1000000</f>
        <v>0.39572400000000002</v>
      </c>
      <c r="E609" s="10">
        <v>8.14</v>
      </c>
      <c r="F609" s="11">
        <v>29545</v>
      </c>
      <c r="H609" s="12">
        <f>(PrincipalesVariables[[#This Row],[Base monetaria]]-C608)/C608</f>
        <v>2.383587945782873E-3</v>
      </c>
      <c r="I609" s="12">
        <f>(PrincipalesVariables[[#This Row],[Dólar  mayorista]]-E608)/E608</f>
        <v>0</v>
      </c>
      <c r="J609" s="12">
        <f>(PrincipalesVariables[[#This Row],[Reservas internacionales]]-F608)/F608</f>
        <v>2.708467346040559E-4</v>
      </c>
    </row>
    <row r="610" spans="1:10" ht="15.75" thickBot="1" x14ac:dyDescent="0.3">
      <c r="A610" s="14">
        <v>41830</v>
      </c>
      <c r="B610" s="15">
        <v>41830</v>
      </c>
      <c r="C610" s="16">
        <v>391980</v>
      </c>
      <c r="D610" s="10">
        <f>PrincipalesVariables[[#This Row],[Base monetaria]]/1000000</f>
        <v>0.39198</v>
      </c>
      <c r="E610" s="10">
        <v>8.15</v>
      </c>
      <c r="F610" s="11">
        <v>29621</v>
      </c>
      <c r="H610" s="12">
        <f>(PrincipalesVariables[[#This Row],[Base monetaria]]-C609)/C609</f>
        <v>-9.4611395821330019E-3</v>
      </c>
      <c r="I610" s="12">
        <f>(PrincipalesVariables[[#This Row],[Dólar  mayorista]]-E609)/E609</f>
        <v>1.2285012285012022E-3</v>
      </c>
      <c r="J610" s="12">
        <f>(PrincipalesVariables[[#This Row],[Reservas internacionales]]-F609)/F609</f>
        <v>2.572347266881029E-3</v>
      </c>
    </row>
    <row r="611" spans="1:10" ht="15.75" thickBot="1" x14ac:dyDescent="0.3">
      <c r="A611" s="14">
        <v>41831</v>
      </c>
      <c r="B611" s="15">
        <v>41831</v>
      </c>
      <c r="C611" s="16">
        <v>390326</v>
      </c>
      <c r="D611" s="10">
        <f>PrincipalesVariables[[#This Row],[Base monetaria]]/1000000</f>
        <v>0.39032600000000001</v>
      </c>
      <c r="E611" s="10">
        <v>8.15</v>
      </c>
      <c r="F611" s="11">
        <v>29632</v>
      </c>
      <c r="H611" s="12">
        <f>(PrincipalesVariables[[#This Row],[Base monetaria]]-C610)/C610</f>
        <v>-4.2196030409714785E-3</v>
      </c>
      <c r="I611" s="12">
        <f>(PrincipalesVariables[[#This Row],[Dólar  mayorista]]-E610)/E610</f>
        <v>0</v>
      </c>
      <c r="J611" s="12">
        <f>(PrincipalesVariables[[#This Row],[Reservas internacionales]]-F610)/F610</f>
        <v>3.7135815806353602E-4</v>
      </c>
    </row>
    <row r="612" spans="1:10" ht="15.75" thickBot="1" x14ac:dyDescent="0.3">
      <c r="A612" s="14">
        <v>41834</v>
      </c>
      <c r="B612" s="15">
        <v>41834</v>
      </c>
      <c r="C612" s="16">
        <v>391960</v>
      </c>
      <c r="D612" s="10">
        <f>PrincipalesVariables[[#This Row],[Base monetaria]]/1000000</f>
        <v>0.39195999999999998</v>
      </c>
      <c r="E612" s="10">
        <v>8.15</v>
      </c>
      <c r="F612" s="11">
        <v>29626</v>
      </c>
      <c r="H612" s="12">
        <f>(PrincipalesVariables[[#This Row],[Base monetaria]]-C611)/C611</f>
        <v>4.1862443188514214E-3</v>
      </c>
      <c r="I612" s="12">
        <f>(PrincipalesVariables[[#This Row],[Dólar  mayorista]]-E611)/E611</f>
        <v>0</v>
      </c>
      <c r="J612" s="12">
        <f>(PrincipalesVariables[[#This Row],[Reservas internacionales]]-F611)/F611</f>
        <v>-2.0248380129589633E-4</v>
      </c>
    </row>
    <row r="613" spans="1:10" ht="15.75" thickBot="1" x14ac:dyDescent="0.3">
      <c r="A613" s="14">
        <v>41835</v>
      </c>
      <c r="B613" s="15">
        <v>41835</v>
      </c>
      <c r="C613" s="16">
        <v>391644</v>
      </c>
      <c r="D613" s="10">
        <f>PrincipalesVariables[[#This Row],[Base monetaria]]/1000000</f>
        <v>0.39164399999999999</v>
      </c>
      <c r="E613" s="10">
        <v>8.15</v>
      </c>
      <c r="F613" s="11">
        <v>29633</v>
      </c>
      <c r="H613" s="12">
        <f>(PrincipalesVariables[[#This Row],[Base monetaria]]-C612)/C612</f>
        <v>-8.0620471476681294E-4</v>
      </c>
      <c r="I613" s="12">
        <f>(PrincipalesVariables[[#This Row],[Dólar  mayorista]]-E612)/E612</f>
        <v>0</v>
      </c>
      <c r="J613" s="12">
        <f>(PrincipalesVariables[[#This Row],[Reservas internacionales]]-F612)/F612</f>
        <v>2.362789441706609E-4</v>
      </c>
    </row>
    <row r="614" spans="1:10" ht="15.75" thickBot="1" x14ac:dyDescent="0.3">
      <c r="A614" s="14">
        <v>41836</v>
      </c>
      <c r="B614" s="15">
        <v>41836</v>
      </c>
      <c r="C614" s="16">
        <v>388927</v>
      </c>
      <c r="D614" s="10">
        <f>PrincipalesVariables[[#This Row],[Base monetaria]]/1000000</f>
        <v>0.38892700000000002</v>
      </c>
      <c r="E614" s="10">
        <v>8.15</v>
      </c>
      <c r="F614" s="11">
        <v>29637</v>
      </c>
      <c r="H614" s="12">
        <f>(PrincipalesVariables[[#This Row],[Base monetaria]]-C613)/C613</f>
        <v>-6.9374227614874733E-3</v>
      </c>
      <c r="I614" s="12">
        <f>(PrincipalesVariables[[#This Row],[Dólar  mayorista]]-E613)/E613</f>
        <v>0</v>
      </c>
      <c r="J614" s="12">
        <f>(PrincipalesVariables[[#This Row],[Reservas internacionales]]-F613)/F613</f>
        <v>1.3498464549657478E-4</v>
      </c>
    </row>
    <row r="615" spans="1:10" ht="15.75" thickBot="1" x14ac:dyDescent="0.3">
      <c r="A615" s="14">
        <v>41837</v>
      </c>
      <c r="B615" s="15">
        <v>41837</v>
      </c>
      <c r="C615" s="16">
        <v>381304</v>
      </c>
      <c r="D615" s="10">
        <f>PrincipalesVariables[[#This Row],[Base monetaria]]/1000000</f>
        <v>0.38130399999999998</v>
      </c>
      <c r="E615" s="10">
        <v>8.16</v>
      </c>
      <c r="F615" s="11">
        <v>29672</v>
      </c>
      <c r="H615" s="12">
        <f>(PrincipalesVariables[[#This Row],[Base monetaria]]-C614)/C614</f>
        <v>-1.9600079192239162E-2</v>
      </c>
      <c r="I615" s="12">
        <f>(PrincipalesVariables[[#This Row],[Dólar  mayorista]]-E614)/E614</f>
        <v>1.2269938650306487E-3</v>
      </c>
      <c r="J615" s="12">
        <f>(PrincipalesVariables[[#This Row],[Reservas internacionales]]-F614)/F614</f>
        <v>1.1809562371360124E-3</v>
      </c>
    </row>
    <row r="616" spans="1:10" ht="15.75" thickBot="1" x14ac:dyDescent="0.3">
      <c r="A616" s="14">
        <v>41838</v>
      </c>
      <c r="B616" s="15">
        <v>41838</v>
      </c>
      <c r="C616" s="16">
        <v>380904</v>
      </c>
      <c r="D616" s="10">
        <f>PrincipalesVariables[[#This Row],[Base monetaria]]/1000000</f>
        <v>0.38090400000000002</v>
      </c>
      <c r="E616" s="10">
        <v>8.16</v>
      </c>
      <c r="F616" s="11">
        <v>29676</v>
      </c>
      <c r="H616" s="12">
        <f>(PrincipalesVariables[[#This Row],[Base monetaria]]-C615)/C615</f>
        <v>-1.0490317437005644E-3</v>
      </c>
      <c r="I616" s="12">
        <f>(PrincipalesVariables[[#This Row],[Dólar  mayorista]]-E615)/E615</f>
        <v>0</v>
      </c>
      <c r="J616" s="12">
        <f>(PrincipalesVariables[[#This Row],[Reservas internacionales]]-F615)/F615</f>
        <v>1.3480722566729578E-4</v>
      </c>
    </row>
    <row r="617" spans="1:10" ht="15.75" thickBot="1" x14ac:dyDescent="0.3">
      <c r="A617" s="14">
        <v>41841</v>
      </c>
      <c r="B617" s="15">
        <v>41841</v>
      </c>
      <c r="C617" s="16">
        <v>381109</v>
      </c>
      <c r="D617" s="10">
        <f>PrincipalesVariables[[#This Row],[Base monetaria]]/1000000</f>
        <v>0.38110899999999998</v>
      </c>
      <c r="E617" s="10">
        <v>8.16</v>
      </c>
      <c r="F617" s="11">
        <v>29692</v>
      </c>
      <c r="H617" s="12">
        <f>(PrincipalesVariables[[#This Row],[Base monetaria]]-C616)/C616</f>
        <v>5.3819335055552055E-4</v>
      </c>
      <c r="I617" s="12">
        <f>(PrincipalesVariables[[#This Row],[Dólar  mayorista]]-E616)/E616</f>
        <v>0</v>
      </c>
      <c r="J617" s="12">
        <f>(PrincipalesVariables[[#This Row],[Reservas internacionales]]-F616)/F616</f>
        <v>5.3915622051489416E-4</v>
      </c>
    </row>
    <row r="618" spans="1:10" ht="15.75" thickBot="1" x14ac:dyDescent="0.3">
      <c r="A618" s="14">
        <v>41842</v>
      </c>
      <c r="B618" s="15">
        <v>41842</v>
      </c>
      <c r="C618" s="16">
        <v>377868</v>
      </c>
      <c r="D618" s="10">
        <f>PrincipalesVariables[[#This Row],[Base monetaria]]/1000000</f>
        <v>0.37786799999999998</v>
      </c>
      <c r="E618" s="10">
        <v>8.16</v>
      </c>
      <c r="F618" s="11">
        <v>29694</v>
      </c>
      <c r="H618" s="12">
        <f>(PrincipalesVariables[[#This Row],[Base monetaria]]-C617)/C617</f>
        <v>-8.504128740071738E-3</v>
      </c>
      <c r="I618" s="12">
        <f>(PrincipalesVariables[[#This Row],[Dólar  mayorista]]-E617)/E617</f>
        <v>0</v>
      </c>
      <c r="J618" s="12">
        <f>(PrincipalesVariables[[#This Row],[Reservas internacionales]]-F617)/F617</f>
        <v>6.7358210965916748E-5</v>
      </c>
    </row>
    <row r="619" spans="1:10" ht="15.75" thickBot="1" x14ac:dyDescent="0.3">
      <c r="A619" s="14">
        <v>41843</v>
      </c>
      <c r="B619" s="15">
        <v>41843</v>
      </c>
      <c r="C619" s="16">
        <v>380694</v>
      </c>
      <c r="D619" s="10">
        <f>PrincipalesVariables[[#This Row],[Base monetaria]]/1000000</f>
        <v>0.38069399999999998</v>
      </c>
      <c r="E619" s="10">
        <v>8.17</v>
      </c>
      <c r="F619" s="11">
        <v>29700</v>
      </c>
      <c r="H619" s="12">
        <f>(PrincipalesVariables[[#This Row],[Base monetaria]]-C618)/C618</f>
        <v>7.4788021213757182E-3</v>
      </c>
      <c r="I619" s="12">
        <f>(PrincipalesVariables[[#This Row],[Dólar  mayorista]]-E618)/E618</f>
        <v>1.2254901960784053E-3</v>
      </c>
      <c r="J619" s="12">
        <f>(PrincipalesVariables[[#This Row],[Reservas internacionales]]-F618)/F618</f>
        <v>2.0206102242877348E-4</v>
      </c>
    </row>
    <row r="620" spans="1:10" ht="15.75" thickBot="1" x14ac:dyDescent="0.3">
      <c r="A620" s="14">
        <v>41844</v>
      </c>
      <c r="B620" s="15">
        <v>41844</v>
      </c>
      <c r="C620" s="16">
        <v>376348</v>
      </c>
      <c r="D620" s="10">
        <f>PrincipalesVariables[[#This Row],[Base monetaria]]/1000000</f>
        <v>0.37634800000000002</v>
      </c>
      <c r="E620" s="10">
        <v>8.17</v>
      </c>
      <c r="F620" s="11">
        <v>29713</v>
      </c>
      <c r="H620" s="12">
        <f>(PrincipalesVariables[[#This Row],[Base monetaria]]-C619)/C619</f>
        <v>-1.1415992897182514E-2</v>
      </c>
      <c r="I620" s="12">
        <f>(PrincipalesVariables[[#This Row],[Dólar  mayorista]]-E619)/E619</f>
        <v>0</v>
      </c>
      <c r="J620" s="12">
        <f>(PrincipalesVariables[[#This Row],[Reservas internacionales]]-F619)/F619</f>
        <v>4.3771043771043773E-4</v>
      </c>
    </row>
    <row r="621" spans="1:10" ht="15.75" thickBot="1" x14ac:dyDescent="0.3">
      <c r="A621" s="14">
        <v>41845</v>
      </c>
      <c r="B621" s="15">
        <v>41845</v>
      </c>
      <c r="C621" s="16">
        <v>372437</v>
      </c>
      <c r="D621" s="10">
        <f>PrincipalesVariables[[#This Row],[Base monetaria]]/1000000</f>
        <v>0.37243700000000002</v>
      </c>
      <c r="E621" s="10">
        <v>8.18</v>
      </c>
      <c r="F621" s="11">
        <v>29704</v>
      </c>
      <c r="H621" s="12">
        <f>(PrincipalesVariables[[#This Row],[Base monetaria]]-C620)/C620</f>
        <v>-1.0391977637718283E-2</v>
      </c>
      <c r="I621" s="12">
        <f>(PrincipalesVariables[[#This Row],[Dólar  mayorista]]-E620)/E620</f>
        <v>1.2239902080783092E-3</v>
      </c>
      <c r="J621" s="12">
        <f>(PrincipalesVariables[[#This Row],[Reservas internacionales]]-F620)/F620</f>
        <v>-3.0289772153602803E-4</v>
      </c>
    </row>
    <row r="622" spans="1:10" ht="15.75" thickBot="1" x14ac:dyDescent="0.3">
      <c r="A622" s="14">
        <v>41848</v>
      </c>
      <c r="B622" s="15">
        <v>41848</v>
      </c>
      <c r="C622" s="16">
        <v>369128</v>
      </c>
      <c r="D622" s="10">
        <f>PrincipalesVariables[[#This Row],[Base monetaria]]/1000000</f>
        <v>0.36912800000000001</v>
      </c>
      <c r="E622" s="10">
        <v>8.18</v>
      </c>
      <c r="F622" s="11">
        <v>29018</v>
      </c>
      <c r="H622" s="12">
        <f>(PrincipalesVariables[[#This Row],[Base monetaria]]-C621)/C621</f>
        <v>-8.884724127839071E-3</v>
      </c>
      <c r="I622" s="12">
        <f>(PrincipalesVariables[[#This Row],[Dólar  mayorista]]-E621)/E621</f>
        <v>0</v>
      </c>
      <c r="J622" s="12">
        <f>(PrincipalesVariables[[#This Row],[Reservas internacionales]]-F621)/F621</f>
        <v>-2.3094532722865609E-2</v>
      </c>
    </row>
    <row r="623" spans="1:10" ht="15.75" thickBot="1" x14ac:dyDescent="0.3">
      <c r="A623" s="14">
        <v>41849</v>
      </c>
      <c r="B623" s="15">
        <v>41849</v>
      </c>
      <c r="C623" s="16">
        <v>370496</v>
      </c>
      <c r="D623" s="10">
        <f>PrincipalesVariables[[#This Row],[Base monetaria]]/1000000</f>
        <v>0.37049599999999999</v>
      </c>
      <c r="E623" s="10">
        <v>8.19</v>
      </c>
      <c r="F623" s="11">
        <v>29018</v>
      </c>
      <c r="H623" s="12">
        <f>(PrincipalesVariables[[#This Row],[Base monetaria]]-C622)/C622</f>
        <v>3.7060315121042022E-3</v>
      </c>
      <c r="I623" s="12">
        <f>(PrincipalesVariables[[#This Row],[Dólar  mayorista]]-E622)/E622</f>
        <v>1.2224938875305363E-3</v>
      </c>
      <c r="J623" s="12">
        <f>(PrincipalesVariables[[#This Row],[Reservas internacionales]]-F622)/F622</f>
        <v>0</v>
      </c>
    </row>
    <row r="624" spans="1:10" ht="15.75" thickBot="1" x14ac:dyDescent="0.3">
      <c r="A624" s="14">
        <v>41850</v>
      </c>
      <c r="B624" s="15">
        <v>41850</v>
      </c>
      <c r="C624" s="16">
        <v>370067</v>
      </c>
      <c r="D624" s="10">
        <f>PrincipalesVariables[[#This Row],[Base monetaria]]/1000000</f>
        <v>0.37006699999999998</v>
      </c>
      <c r="E624" s="10">
        <v>8.1999999999999993</v>
      </c>
      <c r="F624" s="11">
        <v>28801</v>
      </c>
      <c r="H624" s="12">
        <f>(PrincipalesVariables[[#This Row],[Base monetaria]]-C623)/C623</f>
        <v>-1.1579072378649163E-3</v>
      </c>
      <c r="I624" s="12">
        <f>(PrincipalesVariables[[#This Row],[Dólar  mayorista]]-E623)/E623</f>
        <v>1.221001221001195E-3</v>
      </c>
      <c r="J624" s="12">
        <f>(PrincipalesVariables[[#This Row],[Reservas internacionales]]-F623)/F623</f>
        <v>-7.4781170308084637E-3</v>
      </c>
    </row>
    <row r="625" spans="1:10" ht="15.75" thickBot="1" x14ac:dyDescent="0.3">
      <c r="A625" s="14">
        <v>41851</v>
      </c>
      <c r="B625" s="15">
        <v>41851</v>
      </c>
      <c r="C625" s="16">
        <v>371689</v>
      </c>
      <c r="D625" s="10">
        <f>PrincipalesVariables[[#This Row],[Base monetaria]]/1000000</f>
        <v>0.37168899999999999</v>
      </c>
      <c r="E625" s="10">
        <v>8.2100000000000009</v>
      </c>
      <c r="F625" s="11">
        <v>29003</v>
      </c>
      <c r="H625" s="12">
        <f>(PrincipalesVariables[[#This Row],[Base monetaria]]-C624)/C624</f>
        <v>4.3829901071968051E-3</v>
      </c>
      <c r="I625" s="12">
        <f>(PrincipalesVariables[[#This Row],[Dólar  mayorista]]-E624)/E624</f>
        <v>1.219512195122142E-3</v>
      </c>
      <c r="J625" s="12">
        <f>(PrincipalesVariables[[#This Row],[Reservas internacionales]]-F624)/F624</f>
        <v>7.0136453595361272E-3</v>
      </c>
    </row>
    <row r="626" spans="1:10" ht="15.75" thickBot="1" x14ac:dyDescent="0.3">
      <c r="A626" s="14">
        <v>41852</v>
      </c>
      <c r="B626" s="15">
        <v>41852</v>
      </c>
      <c r="C626" s="16">
        <v>389897</v>
      </c>
      <c r="D626" s="10">
        <f>PrincipalesVariables[[#This Row],[Base monetaria]]/1000000</f>
        <v>0.38989699999999999</v>
      </c>
      <c r="E626" s="10">
        <v>8.2200000000000006</v>
      </c>
      <c r="F626" s="11">
        <v>28997</v>
      </c>
      <c r="H626" s="12">
        <f>(PrincipalesVariables[[#This Row],[Base monetaria]]-C625)/C625</f>
        <v>4.8987190904223696E-2</v>
      </c>
      <c r="I626" s="12">
        <f>(PrincipalesVariables[[#This Row],[Dólar  mayorista]]-E625)/E625</f>
        <v>1.2180267965894989E-3</v>
      </c>
      <c r="J626" s="12">
        <f>(PrincipalesVariables[[#This Row],[Reservas internacionales]]-F625)/F625</f>
        <v>-2.0687515084646417E-4</v>
      </c>
    </row>
    <row r="627" spans="1:10" ht="15.75" thickBot="1" x14ac:dyDescent="0.3">
      <c r="A627" s="14">
        <v>41855</v>
      </c>
      <c r="B627" s="15">
        <v>41855</v>
      </c>
      <c r="C627" s="16">
        <v>389441</v>
      </c>
      <c r="D627" s="10">
        <f>PrincipalesVariables[[#This Row],[Base monetaria]]/1000000</f>
        <v>0.38944099999999998</v>
      </c>
      <c r="E627" s="10">
        <v>8.25</v>
      </c>
      <c r="F627" s="11">
        <v>28893</v>
      </c>
      <c r="H627" s="12">
        <f>(PrincipalesVariables[[#This Row],[Base monetaria]]-C626)/C626</f>
        <v>-1.1695396476505333E-3</v>
      </c>
      <c r="I627" s="12">
        <f>(PrincipalesVariables[[#This Row],[Dólar  mayorista]]-E626)/E626</f>
        <v>3.6496350364962722E-3</v>
      </c>
      <c r="J627" s="12">
        <f>(PrincipalesVariables[[#This Row],[Reservas internacionales]]-F626)/F626</f>
        <v>-3.5865779218539847E-3</v>
      </c>
    </row>
    <row r="628" spans="1:10" ht="15.75" thickBot="1" x14ac:dyDescent="0.3">
      <c r="A628" s="14">
        <v>41856</v>
      </c>
      <c r="B628" s="15">
        <v>41856</v>
      </c>
      <c r="C628" s="16">
        <v>389325</v>
      </c>
      <c r="D628" s="10">
        <f>PrincipalesVariables[[#This Row],[Base monetaria]]/1000000</f>
        <v>0.38932499999999998</v>
      </c>
      <c r="E628" s="10">
        <v>8.27</v>
      </c>
      <c r="F628" s="11">
        <v>28928</v>
      </c>
      <c r="H628" s="12">
        <f>(PrincipalesVariables[[#This Row],[Base monetaria]]-C627)/C627</f>
        <v>-2.9786283416486709E-4</v>
      </c>
      <c r="I628" s="12">
        <f>(PrincipalesVariables[[#This Row],[Dólar  mayorista]]-E627)/E627</f>
        <v>2.4242424242423726E-3</v>
      </c>
      <c r="J628" s="12">
        <f>(PrincipalesVariables[[#This Row],[Reservas internacionales]]-F627)/F627</f>
        <v>1.211366074827813E-3</v>
      </c>
    </row>
    <row r="629" spans="1:10" ht="15.75" thickBot="1" x14ac:dyDescent="0.3">
      <c r="A629" s="14">
        <v>41857</v>
      </c>
      <c r="B629" s="15">
        <v>41857</v>
      </c>
      <c r="C629" s="16">
        <v>387128</v>
      </c>
      <c r="D629" s="10">
        <f>PrincipalesVariables[[#This Row],[Base monetaria]]/1000000</f>
        <v>0.38712800000000003</v>
      </c>
      <c r="E629" s="10">
        <v>8.27</v>
      </c>
      <c r="F629" s="11">
        <v>28932</v>
      </c>
      <c r="H629" s="12">
        <f>(PrincipalesVariables[[#This Row],[Base monetaria]]-C628)/C628</f>
        <v>-5.6431002375907022E-3</v>
      </c>
      <c r="I629" s="12">
        <f>(PrincipalesVariables[[#This Row],[Dólar  mayorista]]-E628)/E628</f>
        <v>0</v>
      </c>
      <c r="J629" s="12">
        <f>(PrincipalesVariables[[#This Row],[Reservas internacionales]]-F628)/F628</f>
        <v>1.3827433628318584E-4</v>
      </c>
    </row>
    <row r="630" spans="1:10" ht="15.75" thickBot="1" x14ac:dyDescent="0.3">
      <c r="A630" s="14">
        <v>41858</v>
      </c>
      <c r="B630" s="15">
        <v>41858</v>
      </c>
      <c r="C630" s="16">
        <v>387901</v>
      </c>
      <c r="D630" s="10">
        <f>PrincipalesVariables[[#This Row],[Base monetaria]]/1000000</f>
        <v>0.387901</v>
      </c>
      <c r="E630" s="10">
        <v>8.27</v>
      </c>
      <c r="F630" s="11">
        <v>28957</v>
      </c>
      <c r="H630" s="12">
        <f>(PrincipalesVariables[[#This Row],[Base monetaria]]-C629)/C629</f>
        <v>1.996755595048666E-3</v>
      </c>
      <c r="I630" s="12">
        <f>(PrincipalesVariables[[#This Row],[Dólar  mayorista]]-E629)/E629</f>
        <v>0</v>
      </c>
      <c r="J630" s="12">
        <f>(PrincipalesVariables[[#This Row],[Reservas internacionales]]-F629)/F629</f>
        <v>8.6409511959076454E-4</v>
      </c>
    </row>
    <row r="631" spans="1:10" ht="15.75" thickBot="1" x14ac:dyDescent="0.3">
      <c r="A631" s="14">
        <v>41859</v>
      </c>
      <c r="B631" s="15">
        <v>41859</v>
      </c>
      <c r="C631" s="16">
        <v>389667</v>
      </c>
      <c r="D631" s="10">
        <f>PrincipalesVariables[[#This Row],[Base monetaria]]/1000000</f>
        <v>0.38966699999999999</v>
      </c>
      <c r="E631" s="10">
        <v>8.27</v>
      </c>
      <c r="F631" s="11">
        <v>28962</v>
      </c>
      <c r="H631" s="12">
        <f>(PrincipalesVariables[[#This Row],[Base monetaria]]-C630)/C630</f>
        <v>4.5527080363288574E-3</v>
      </c>
      <c r="I631" s="12">
        <f>(PrincipalesVariables[[#This Row],[Dólar  mayorista]]-E630)/E630</f>
        <v>0</v>
      </c>
      <c r="J631" s="12">
        <f>(PrincipalesVariables[[#This Row],[Reservas internacionales]]-F630)/F630</f>
        <v>1.7266982076872604E-4</v>
      </c>
    </row>
    <row r="632" spans="1:10" ht="15.75" thickBot="1" x14ac:dyDescent="0.3">
      <c r="A632" s="14">
        <v>41862</v>
      </c>
      <c r="B632" s="15">
        <v>41862</v>
      </c>
      <c r="C632" s="16">
        <v>387822</v>
      </c>
      <c r="D632" s="10">
        <f>PrincipalesVariables[[#This Row],[Base monetaria]]/1000000</f>
        <v>0.387822</v>
      </c>
      <c r="E632" s="10">
        <v>8.27</v>
      </c>
      <c r="F632" s="11">
        <v>28961</v>
      </c>
      <c r="H632" s="12">
        <f>(PrincipalesVariables[[#This Row],[Base monetaria]]-C631)/C631</f>
        <v>-4.7348120318117777E-3</v>
      </c>
      <c r="I632" s="12">
        <f>(PrincipalesVariables[[#This Row],[Dólar  mayorista]]-E631)/E631</f>
        <v>0</v>
      </c>
      <c r="J632" s="12">
        <f>(PrincipalesVariables[[#This Row],[Reservas internacionales]]-F631)/F631</f>
        <v>-3.4528002209792142E-5</v>
      </c>
    </row>
    <row r="633" spans="1:10" ht="15.75" thickBot="1" x14ac:dyDescent="0.3">
      <c r="A633" s="14">
        <v>41863</v>
      </c>
      <c r="B633" s="15">
        <v>41863</v>
      </c>
      <c r="C633" s="16">
        <v>392732</v>
      </c>
      <c r="D633" s="10">
        <f>PrincipalesVariables[[#This Row],[Base monetaria]]/1000000</f>
        <v>0.39273200000000003</v>
      </c>
      <c r="E633" s="10">
        <v>8.27</v>
      </c>
      <c r="F633" s="11">
        <v>28962</v>
      </c>
      <c r="H633" s="12">
        <f>(PrincipalesVariables[[#This Row],[Base monetaria]]-C632)/C632</f>
        <v>1.2660447318615242E-2</v>
      </c>
      <c r="I633" s="12">
        <f>(PrincipalesVariables[[#This Row],[Dólar  mayorista]]-E632)/E632</f>
        <v>0</v>
      </c>
      <c r="J633" s="12">
        <f>(PrincipalesVariables[[#This Row],[Reservas internacionales]]-F632)/F632</f>
        <v>3.4529194433893859E-5</v>
      </c>
    </row>
    <row r="634" spans="1:10" ht="15.75" thickBot="1" x14ac:dyDescent="0.3">
      <c r="A634" s="14">
        <v>41864</v>
      </c>
      <c r="B634" s="15">
        <v>41864</v>
      </c>
      <c r="C634" s="16">
        <v>393385</v>
      </c>
      <c r="D634" s="10">
        <f>PrincipalesVariables[[#This Row],[Base monetaria]]/1000000</f>
        <v>0.39338499999999998</v>
      </c>
      <c r="E634" s="10">
        <v>8.27</v>
      </c>
      <c r="F634" s="11">
        <v>28970</v>
      </c>
      <c r="H634" s="12">
        <f>(PrincipalesVariables[[#This Row],[Base monetaria]]-C633)/C633</f>
        <v>1.6627114673619669E-3</v>
      </c>
      <c r="I634" s="12">
        <f>(PrincipalesVariables[[#This Row],[Dólar  mayorista]]-E633)/E633</f>
        <v>0</v>
      </c>
      <c r="J634" s="12">
        <f>(PrincipalesVariables[[#This Row],[Reservas internacionales]]-F633)/F633</f>
        <v>2.7622401767833714E-4</v>
      </c>
    </row>
    <row r="635" spans="1:10" ht="15.75" thickBot="1" x14ac:dyDescent="0.3">
      <c r="A635" s="14">
        <v>41865</v>
      </c>
      <c r="B635" s="15">
        <v>41865</v>
      </c>
      <c r="C635" s="16">
        <v>391906</v>
      </c>
      <c r="D635" s="10">
        <f>PrincipalesVariables[[#This Row],[Base monetaria]]/1000000</f>
        <v>0.39190599999999998</v>
      </c>
      <c r="E635" s="10">
        <v>8.2799999999999994</v>
      </c>
      <c r="F635" s="11">
        <v>28971</v>
      </c>
      <c r="H635" s="12">
        <f>(PrincipalesVariables[[#This Row],[Base monetaria]]-C634)/C634</f>
        <v>-3.7596756358274971E-3</v>
      </c>
      <c r="I635" s="12">
        <f>(PrincipalesVariables[[#This Row],[Dólar  mayorista]]-E634)/E634</f>
        <v>1.2091898428052948E-3</v>
      </c>
      <c r="J635" s="12">
        <f>(PrincipalesVariables[[#This Row],[Reservas internacionales]]-F634)/F634</f>
        <v>3.4518467380048323E-5</v>
      </c>
    </row>
    <row r="636" spans="1:10" ht="15.75" thickBot="1" x14ac:dyDescent="0.3">
      <c r="A636" s="14">
        <v>41866</v>
      </c>
      <c r="B636" s="15">
        <v>41866</v>
      </c>
      <c r="C636" s="16">
        <v>391070</v>
      </c>
      <c r="D636" s="10">
        <f>PrincipalesVariables[[#This Row],[Base monetaria]]/1000000</f>
        <v>0.39106999999999997</v>
      </c>
      <c r="E636" s="10">
        <v>8.2799999999999994</v>
      </c>
      <c r="F636" s="11">
        <v>28953</v>
      </c>
      <c r="H636" s="12">
        <f>(PrincipalesVariables[[#This Row],[Base monetaria]]-C635)/C635</f>
        <v>-2.133164585385271E-3</v>
      </c>
      <c r="I636" s="12">
        <f>(PrincipalesVariables[[#This Row],[Dólar  mayorista]]-E635)/E635</f>
        <v>0</v>
      </c>
      <c r="J636" s="12">
        <f>(PrincipalesVariables[[#This Row],[Reservas internacionales]]-F635)/F635</f>
        <v>-6.2131096613855233E-4</v>
      </c>
    </row>
    <row r="637" spans="1:10" ht="15.75" thickBot="1" x14ac:dyDescent="0.3">
      <c r="A637" s="14">
        <v>41870</v>
      </c>
      <c r="B637" s="15">
        <v>41870</v>
      </c>
      <c r="C637" s="16">
        <v>394347</v>
      </c>
      <c r="D637" s="10">
        <f>PrincipalesVariables[[#This Row],[Base monetaria]]/1000000</f>
        <v>0.394347</v>
      </c>
      <c r="E637" s="10">
        <v>8.2799999999999994</v>
      </c>
      <c r="F637" s="11">
        <v>28952</v>
      </c>
      <c r="H637" s="12">
        <f>(PrincipalesVariables[[#This Row],[Base monetaria]]-C636)/C636</f>
        <v>8.3795739893113771E-3</v>
      </c>
      <c r="I637" s="12">
        <f>(PrincipalesVariables[[#This Row],[Dólar  mayorista]]-E636)/E636</f>
        <v>0</v>
      </c>
      <c r="J637" s="12">
        <f>(PrincipalesVariables[[#This Row],[Reservas internacionales]]-F636)/F636</f>
        <v>-3.4538735191517284E-5</v>
      </c>
    </row>
    <row r="638" spans="1:10" ht="15.75" thickBot="1" x14ac:dyDescent="0.3">
      <c r="A638" s="14">
        <v>41871</v>
      </c>
      <c r="B638" s="15">
        <v>41871</v>
      </c>
      <c r="C638" s="16">
        <v>389971</v>
      </c>
      <c r="D638" s="10">
        <f>PrincipalesVariables[[#This Row],[Base monetaria]]/1000000</f>
        <v>0.38997100000000001</v>
      </c>
      <c r="E638" s="10">
        <v>8.3000000000000007</v>
      </c>
      <c r="F638" s="11">
        <v>28923</v>
      </c>
      <c r="H638" s="12">
        <f>(PrincipalesVariables[[#This Row],[Base monetaria]]-C637)/C637</f>
        <v>-1.1096825891917524E-2</v>
      </c>
      <c r="I638" s="12">
        <f>(PrincipalesVariables[[#This Row],[Dólar  mayorista]]-E637)/E637</f>
        <v>2.415458937198231E-3</v>
      </c>
      <c r="J638" s="12">
        <f>(PrincipalesVariables[[#This Row],[Reservas internacionales]]-F637)/F637</f>
        <v>-1.0016579165515337E-3</v>
      </c>
    </row>
    <row r="639" spans="1:10" ht="15.75" thickBot="1" x14ac:dyDescent="0.3">
      <c r="A639" s="14">
        <v>41872</v>
      </c>
      <c r="B639" s="15">
        <v>41872</v>
      </c>
      <c r="C639" s="16">
        <v>396753</v>
      </c>
      <c r="D639" s="10">
        <f>PrincipalesVariables[[#This Row],[Base monetaria]]/1000000</f>
        <v>0.39675300000000002</v>
      </c>
      <c r="E639" s="10">
        <v>8.35</v>
      </c>
      <c r="F639" s="11">
        <v>28859</v>
      </c>
      <c r="H639" s="12">
        <f>(PrincipalesVariables[[#This Row],[Base monetaria]]-C638)/C638</f>
        <v>1.7391036769400802E-2</v>
      </c>
      <c r="I639" s="12">
        <f>(PrincipalesVariables[[#This Row],[Dólar  mayorista]]-E638)/E638</f>
        <v>6.0240963855420398E-3</v>
      </c>
      <c r="J639" s="12">
        <f>(PrincipalesVariables[[#This Row],[Reservas internacionales]]-F638)/F638</f>
        <v>-2.2127718424783047E-3</v>
      </c>
    </row>
    <row r="640" spans="1:10" ht="15.75" thickBot="1" x14ac:dyDescent="0.3">
      <c r="A640" s="14">
        <v>41873</v>
      </c>
      <c r="B640" s="15">
        <v>41873</v>
      </c>
      <c r="C640" s="16">
        <v>396608</v>
      </c>
      <c r="D640" s="10">
        <f>PrincipalesVariables[[#This Row],[Base monetaria]]/1000000</f>
        <v>0.39660800000000002</v>
      </c>
      <c r="E640" s="10">
        <v>8.42</v>
      </c>
      <c r="F640" s="11">
        <v>28781</v>
      </c>
      <c r="H640" s="12">
        <f>(PrincipalesVariables[[#This Row],[Base monetaria]]-C639)/C639</f>
        <v>-3.6546667574032204E-4</v>
      </c>
      <c r="I640" s="12">
        <f>(PrincipalesVariables[[#This Row],[Dólar  mayorista]]-E639)/E639</f>
        <v>8.3832335329341659E-3</v>
      </c>
      <c r="J640" s="12">
        <f>(PrincipalesVariables[[#This Row],[Reservas internacionales]]-F639)/F639</f>
        <v>-2.7027963546900446E-3</v>
      </c>
    </row>
    <row r="641" spans="1:10" ht="15.75" thickBot="1" x14ac:dyDescent="0.3">
      <c r="A641" s="14">
        <v>41876</v>
      </c>
      <c r="B641" s="15">
        <v>41876</v>
      </c>
      <c r="C641" s="16">
        <v>393013</v>
      </c>
      <c r="D641" s="10">
        <f>PrincipalesVariables[[#This Row],[Base monetaria]]/1000000</f>
        <v>0.393013</v>
      </c>
      <c r="E641" s="10">
        <v>8.41</v>
      </c>
      <c r="F641" s="11">
        <v>28675</v>
      </c>
      <c r="H641" s="12">
        <f>(PrincipalesVariables[[#This Row],[Base monetaria]]-C640)/C640</f>
        <v>-9.0643658221720193E-3</v>
      </c>
      <c r="I641" s="12">
        <f>(PrincipalesVariables[[#This Row],[Dólar  mayorista]]-E640)/E640</f>
        <v>-1.1876484560569818E-3</v>
      </c>
      <c r="J641" s="12">
        <f>(PrincipalesVariables[[#This Row],[Reservas internacionales]]-F640)/F640</f>
        <v>-3.6829853028039331E-3</v>
      </c>
    </row>
    <row r="642" spans="1:10" ht="15.75" thickBot="1" x14ac:dyDescent="0.3">
      <c r="A642" s="14">
        <v>41877</v>
      </c>
      <c r="B642" s="15">
        <v>41877</v>
      </c>
      <c r="C642" s="16">
        <v>393358</v>
      </c>
      <c r="D642" s="10">
        <f>PrincipalesVariables[[#This Row],[Base monetaria]]/1000000</f>
        <v>0.39335799999999999</v>
      </c>
      <c r="E642" s="10">
        <v>8.41</v>
      </c>
      <c r="F642" s="11">
        <v>28587</v>
      </c>
      <c r="H642" s="12">
        <f>(PrincipalesVariables[[#This Row],[Base monetaria]]-C641)/C641</f>
        <v>8.7783355766857588E-4</v>
      </c>
      <c r="I642" s="12">
        <f>(PrincipalesVariables[[#This Row],[Dólar  mayorista]]-E641)/E641</f>
        <v>0</v>
      </c>
      <c r="J642" s="12">
        <f>(PrincipalesVariables[[#This Row],[Reservas internacionales]]-F641)/F641</f>
        <v>-3.0688753269398432E-3</v>
      </c>
    </row>
    <row r="643" spans="1:10" ht="15.75" thickBot="1" x14ac:dyDescent="0.3">
      <c r="A643" s="14">
        <v>41878</v>
      </c>
      <c r="B643" s="15">
        <v>41878</v>
      </c>
      <c r="C643" s="16">
        <v>387972</v>
      </c>
      <c r="D643" s="10">
        <f>PrincipalesVariables[[#This Row],[Base monetaria]]/1000000</f>
        <v>0.38797199999999998</v>
      </c>
      <c r="E643" s="10">
        <v>8.41</v>
      </c>
      <c r="F643" s="11">
        <v>28606</v>
      </c>
      <c r="H643" s="12">
        <f>(PrincipalesVariables[[#This Row],[Base monetaria]]-C642)/C642</f>
        <v>-1.3692361665454879E-2</v>
      </c>
      <c r="I643" s="12">
        <f>(PrincipalesVariables[[#This Row],[Dólar  mayorista]]-E642)/E642</f>
        <v>0</v>
      </c>
      <c r="J643" s="12">
        <f>(PrincipalesVariables[[#This Row],[Reservas internacionales]]-F642)/F642</f>
        <v>6.6463777241403436E-4</v>
      </c>
    </row>
    <row r="644" spans="1:10" ht="15.75" thickBot="1" x14ac:dyDescent="0.3">
      <c r="A644" s="14">
        <v>41879</v>
      </c>
      <c r="B644" s="15">
        <v>41879</v>
      </c>
      <c r="C644" s="16">
        <v>385478</v>
      </c>
      <c r="D644" s="10">
        <f>PrincipalesVariables[[#This Row],[Base monetaria]]/1000000</f>
        <v>0.38547799999999999</v>
      </c>
      <c r="E644" s="10">
        <v>8.41</v>
      </c>
      <c r="F644" s="11">
        <v>28635</v>
      </c>
      <c r="H644" s="12">
        <f>(PrincipalesVariables[[#This Row],[Base monetaria]]-C643)/C643</f>
        <v>-6.4282989494087199E-3</v>
      </c>
      <c r="I644" s="12">
        <f>(PrincipalesVariables[[#This Row],[Dólar  mayorista]]-E643)/E643</f>
        <v>0</v>
      </c>
      <c r="J644" s="12">
        <f>(PrincipalesVariables[[#This Row],[Reservas internacionales]]-F643)/F643</f>
        <v>1.0137733342655388E-3</v>
      </c>
    </row>
    <row r="645" spans="1:10" ht="15.75" thickBot="1" x14ac:dyDescent="0.3">
      <c r="A645" s="14">
        <v>41880</v>
      </c>
      <c r="B645" s="15">
        <v>41880</v>
      </c>
      <c r="C645" s="16">
        <v>389193</v>
      </c>
      <c r="D645" s="10">
        <f>PrincipalesVariables[[#This Row],[Base monetaria]]/1000000</f>
        <v>0.38919300000000001</v>
      </c>
      <c r="E645" s="10">
        <v>8.4</v>
      </c>
      <c r="F645" s="11">
        <v>28620</v>
      </c>
      <c r="H645" s="12">
        <f>(PrincipalesVariables[[#This Row],[Base monetaria]]-C644)/C644</f>
        <v>9.6373852723112604E-3</v>
      </c>
      <c r="I645" s="12">
        <f>(PrincipalesVariables[[#This Row],[Dólar  mayorista]]-E644)/E644</f>
        <v>-1.1890606420927215E-3</v>
      </c>
      <c r="J645" s="12">
        <f>(PrincipalesVariables[[#This Row],[Reservas internacionales]]-F644)/F644</f>
        <v>-5.2383446830801469E-4</v>
      </c>
    </row>
    <row r="646" spans="1:10" ht="15.75" thickBot="1" x14ac:dyDescent="0.3">
      <c r="A646" s="14">
        <v>41883</v>
      </c>
      <c r="B646" s="15">
        <v>41883</v>
      </c>
      <c r="C646" s="16">
        <v>405966</v>
      </c>
      <c r="D646" s="10">
        <f>PrincipalesVariables[[#This Row],[Base monetaria]]/1000000</f>
        <v>0.40596599999999999</v>
      </c>
      <c r="E646" s="10">
        <v>8.41</v>
      </c>
      <c r="F646" s="11">
        <v>28614</v>
      </c>
      <c r="H646" s="12">
        <f>(PrincipalesVariables[[#This Row],[Base monetaria]]-C645)/C645</f>
        <v>4.309686967648442E-2</v>
      </c>
      <c r="I646" s="12">
        <f>(PrincipalesVariables[[#This Row],[Dólar  mayorista]]-E645)/E645</f>
        <v>1.190476190476165E-3</v>
      </c>
      <c r="J646" s="12">
        <f>(PrincipalesVariables[[#This Row],[Reservas internacionales]]-F645)/F645</f>
        <v>-2.0964360587002095E-4</v>
      </c>
    </row>
    <row r="647" spans="1:10" ht="15.75" thickBot="1" x14ac:dyDescent="0.3">
      <c r="A647" s="14">
        <v>41884</v>
      </c>
      <c r="B647" s="15">
        <v>41884</v>
      </c>
      <c r="C647" s="16">
        <v>406699</v>
      </c>
      <c r="D647" s="10">
        <f>PrincipalesVariables[[#This Row],[Base monetaria]]/1000000</f>
        <v>0.40669899999999998</v>
      </c>
      <c r="E647" s="10">
        <v>8.41</v>
      </c>
      <c r="F647" s="11">
        <v>28551</v>
      </c>
      <c r="H647" s="12">
        <f>(PrincipalesVariables[[#This Row],[Base monetaria]]-C646)/C646</f>
        <v>1.8055699245749645E-3</v>
      </c>
      <c r="I647" s="12">
        <f>(PrincipalesVariables[[#This Row],[Dólar  mayorista]]-E646)/E646</f>
        <v>0</v>
      </c>
      <c r="J647" s="12">
        <f>(PrincipalesVariables[[#This Row],[Reservas internacionales]]-F646)/F646</f>
        <v>-2.2017194380373243E-3</v>
      </c>
    </row>
    <row r="648" spans="1:10" ht="15.75" thickBot="1" x14ac:dyDescent="0.3">
      <c r="A648" s="14">
        <v>41885</v>
      </c>
      <c r="B648" s="15">
        <v>41885</v>
      </c>
      <c r="C648" s="16">
        <v>404958</v>
      </c>
      <c r="D648" s="10">
        <f>PrincipalesVariables[[#This Row],[Base monetaria]]/1000000</f>
        <v>0.40495799999999998</v>
      </c>
      <c r="E648" s="10">
        <v>8.41</v>
      </c>
      <c r="F648" s="11">
        <v>28507</v>
      </c>
      <c r="H648" s="12">
        <f>(PrincipalesVariables[[#This Row],[Base monetaria]]-C647)/C647</f>
        <v>-4.2808071817240761E-3</v>
      </c>
      <c r="I648" s="12">
        <f>(PrincipalesVariables[[#This Row],[Dólar  mayorista]]-E647)/E647</f>
        <v>0</v>
      </c>
      <c r="J648" s="12">
        <f>(PrincipalesVariables[[#This Row],[Reservas internacionales]]-F647)/F647</f>
        <v>-1.5411018878498126E-3</v>
      </c>
    </row>
    <row r="649" spans="1:10" ht="15.75" thickBot="1" x14ac:dyDescent="0.3">
      <c r="A649" s="14">
        <v>41886</v>
      </c>
      <c r="B649" s="15">
        <v>41886</v>
      </c>
      <c r="C649" s="16">
        <v>407031</v>
      </c>
      <c r="D649" s="10">
        <f>PrincipalesVariables[[#This Row],[Base monetaria]]/1000000</f>
        <v>0.40703099999999998</v>
      </c>
      <c r="E649" s="10">
        <v>8.4</v>
      </c>
      <c r="F649" s="11">
        <v>28471</v>
      </c>
      <c r="H649" s="12">
        <f>(PrincipalesVariables[[#This Row],[Base monetaria]]-C648)/C648</f>
        <v>5.1190493828989674E-3</v>
      </c>
      <c r="I649" s="12">
        <f>(PrincipalesVariables[[#This Row],[Dólar  mayorista]]-E648)/E648</f>
        <v>-1.1890606420927215E-3</v>
      </c>
      <c r="J649" s="12">
        <f>(PrincipalesVariables[[#This Row],[Reservas internacionales]]-F648)/F648</f>
        <v>-1.2628477216122356E-3</v>
      </c>
    </row>
    <row r="650" spans="1:10" ht="15.75" thickBot="1" x14ac:dyDescent="0.3">
      <c r="A650" s="14">
        <v>41887</v>
      </c>
      <c r="B650" s="15">
        <v>41887</v>
      </c>
      <c r="C650" s="16">
        <v>406292</v>
      </c>
      <c r="D650" s="10">
        <f>PrincipalesVariables[[#This Row],[Base monetaria]]/1000000</f>
        <v>0.40629199999999999</v>
      </c>
      <c r="E650" s="10">
        <v>8.41</v>
      </c>
      <c r="F650" s="11">
        <v>28385</v>
      </c>
      <c r="H650" s="12">
        <f>(PrincipalesVariables[[#This Row],[Base monetaria]]-C649)/C649</f>
        <v>-1.8155865278074643E-3</v>
      </c>
      <c r="I650" s="12">
        <f>(PrincipalesVariables[[#This Row],[Dólar  mayorista]]-E649)/E649</f>
        <v>1.190476190476165E-3</v>
      </c>
      <c r="J650" s="12">
        <f>(PrincipalesVariables[[#This Row],[Reservas internacionales]]-F649)/F649</f>
        <v>-3.0206174704084858E-3</v>
      </c>
    </row>
    <row r="651" spans="1:10" ht="15.75" thickBot="1" x14ac:dyDescent="0.3">
      <c r="A651" s="14">
        <v>41890</v>
      </c>
      <c r="B651" s="15">
        <v>41890</v>
      </c>
      <c r="C651" s="16">
        <v>405704</v>
      </c>
      <c r="D651" s="10">
        <f>PrincipalesVariables[[#This Row],[Base monetaria]]/1000000</f>
        <v>0.40570400000000001</v>
      </c>
      <c r="E651" s="10">
        <v>8.42</v>
      </c>
      <c r="F651" s="11">
        <v>28337</v>
      </c>
      <c r="H651" s="12">
        <f>(PrincipalesVariables[[#This Row],[Base monetaria]]-C650)/C650</f>
        <v>-1.4472349935514359E-3</v>
      </c>
      <c r="I651" s="12">
        <f>(PrincipalesVariables[[#This Row],[Dólar  mayorista]]-E650)/E650</f>
        <v>1.1890606420927215E-3</v>
      </c>
      <c r="J651" s="12">
        <f>(PrincipalesVariables[[#This Row],[Reservas internacionales]]-F650)/F650</f>
        <v>-1.6910339968293114E-3</v>
      </c>
    </row>
    <row r="652" spans="1:10" ht="15.75" thickBot="1" x14ac:dyDescent="0.3">
      <c r="A652" s="14">
        <v>41891</v>
      </c>
      <c r="B652" s="15">
        <v>41891</v>
      </c>
      <c r="C652" s="16">
        <v>400542</v>
      </c>
      <c r="D652" s="10">
        <f>PrincipalesVariables[[#This Row],[Base monetaria]]/1000000</f>
        <v>0.40054200000000001</v>
      </c>
      <c r="E652" s="10">
        <v>8.41</v>
      </c>
      <c r="F652" s="11">
        <v>28432</v>
      </c>
      <c r="H652" s="12">
        <f>(PrincipalesVariables[[#This Row],[Base monetaria]]-C651)/C651</f>
        <v>-1.272356200579733E-2</v>
      </c>
      <c r="I652" s="12">
        <f>(PrincipalesVariables[[#This Row],[Dólar  mayorista]]-E651)/E651</f>
        <v>-1.1876484560569818E-3</v>
      </c>
      <c r="J652" s="12">
        <f>(PrincipalesVariables[[#This Row],[Reservas internacionales]]-F651)/F651</f>
        <v>3.3525073225817836E-3</v>
      </c>
    </row>
    <row r="653" spans="1:10" ht="15.75" thickBot="1" x14ac:dyDescent="0.3">
      <c r="A653" s="14">
        <v>41892</v>
      </c>
      <c r="B653" s="15">
        <v>41892</v>
      </c>
      <c r="C653" s="16">
        <v>395835</v>
      </c>
      <c r="D653" s="10">
        <f>PrincipalesVariables[[#This Row],[Base monetaria]]/1000000</f>
        <v>0.39583499999999999</v>
      </c>
      <c r="E653" s="10">
        <v>8.4</v>
      </c>
      <c r="F653" s="11">
        <v>28414</v>
      </c>
      <c r="H653" s="12">
        <f>(PrincipalesVariables[[#This Row],[Base monetaria]]-C652)/C652</f>
        <v>-1.1751576613688452E-2</v>
      </c>
      <c r="I653" s="12">
        <f>(PrincipalesVariables[[#This Row],[Dólar  mayorista]]-E652)/E652</f>
        <v>-1.1890606420927215E-3</v>
      </c>
      <c r="J653" s="12">
        <f>(PrincipalesVariables[[#This Row],[Reservas internacionales]]-F652)/F652</f>
        <v>-6.3308947664603263E-4</v>
      </c>
    </row>
    <row r="654" spans="1:10" ht="15.75" thickBot="1" x14ac:dyDescent="0.3">
      <c r="A654" s="14">
        <v>41893</v>
      </c>
      <c r="B654" s="15">
        <v>41893</v>
      </c>
      <c r="C654" s="16">
        <v>401957</v>
      </c>
      <c r="D654" s="10">
        <f>PrincipalesVariables[[#This Row],[Base monetaria]]/1000000</f>
        <v>0.40195700000000001</v>
      </c>
      <c r="E654" s="10">
        <v>8.4</v>
      </c>
      <c r="F654" s="11">
        <v>28412</v>
      </c>
      <c r="H654" s="12">
        <f>(PrincipalesVariables[[#This Row],[Base monetaria]]-C653)/C653</f>
        <v>1.5466040142988871E-2</v>
      </c>
      <c r="I654" s="12">
        <f>(PrincipalesVariables[[#This Row],[Dólar  mayorista]]-E653)/E653</f>
        <v>0</v>
      </c>
      <c r="J654" s="12">
        <f>(PrincipalesVariables[[#This Row],[Reservas internacionales]]-F653)/F653</f>
        <v>-7.0387836981769552E-5</v>
      </c>
    </row>
    <row r="655" spans="1:10" ht="15.75" thickBot="1" x14ac:dyDescent="0.3">
      <c r="A655" s="14">
        <v>41894</v>
      </c>
      <c r="B655" s="15">
        <v>41894</v>
      </c>
      <c r="C655" s="16">
        <v>402105</v>
      </c>
      <c r="D655" s="10">
        <f>PrincipalesVariables[[#This Row],[Base monetaria]]/1000000</f>
        <v>0.40210499999999999</v>
      </c>
      <c r="E655" s="10">
        <v>8.4</v>
      </c>
      <c r="F655" s="11">
        <v>28394</v>
      </c>
      <c r="H655" s="12">
        <f>(PrincipalesVariables[[#This Row],[Base monetaria]]-C654)/C654</f>
        <v>3.6819858840622254E-4</v>
      </c>
      <c r="I655" s="12">
        <f>(PrincipalesVariables[[#This Row],[Dólar  mayorista]]-E654)/E654</f>
        <v>0</v>
      </c>
      <c r="J655" s="12">
        <f>(PrincipalesVariables[[#This Row],[Reservas internacionales]]-F654)/F654</f>
        <v>-6.3353512600309724E-4</v>
      </c>
    </row>
    <row r="656" spans="1:10" ht="15.75" thickBot="1" x14ac:dyDescent="0.3">
      <c r="A656" s="14">
        <v>41897</v>
      </c>
      <c r="B656" s="15">
        <v>41897</v>
      </c>
      <c r="C656" s="16">
        <v>400662</v>
      </c>
      <c r="D656" s="10">
        <f>PrincipalesVariables[[#This Row],[Base monetaria]]/1000000</f>
        <v>0.40066200000000002</v>
      </c>
      <c r="E656" s="10">
        <v>8.4</v>
      </c>
      <c r="F656" s="11">
        <v>28228</v>
      </c>
      <c r="H656" s="12">
        <f>(PrincipalesVariables[[#This Row],[Base monetaria]]-C655)/C655</f>
        <v>-3.588614914014996E-3</v>
      </c>
      <c r="I656" s="12">
        <f>(PrincipalesVariables[[#This Row],[Dólar  mayorista]]-E655)/E655</f>
        <v>0</v>
      </c>
      <c r="J656" s="12">
        <f>(PrincipalesVariables[[#This Row],[Reservas internacionales]]-F655)/F655</f>
        <v>-5.8463055575121506E-3</v>
      </c>
    </row>
    <row r="657" spans="1:10" ht="15.75" thickBot="1" x14ac:dyDescent="0.3">
      <c r="A657" s="14">
        <v>41898</v>
      </c>
      <c r="B657" s="15">
        <v>41898</v>
      </c>
      <c r="C657" s="16">
        <v>399289</v>
      </c>
      <c r="D657" s="10">
        <f>PrincipalesVariables[[#This Row],[Base monetaria]]/1000000</f>
        <v>0.39928900000000001</v>
      </c>
      <c r="E657" s="10">
        <v>8.4</v>
      </c>
      <c r="F657" s="11">
        <v>28283</v>
      </c>
      <c r="H657" s="12">
        <f>(PrincipalesVariables[[#This Row],[Base monetaria]]-C656)/C656</f>
        <v>-3.4268285986692026E-3</v>
      </c>
      <c r="I657" s="12">
        <f>(PrincipalesVariables[[#This Row],[Dólar  mayorista]]-E656)/E656</f>
        <v>0</v>
      </c>
      <c r="J657" s="12">
        <f>(PrincipalesVariables[[#This Row],[Reservas internacionales]]-F656)/F656</f>
        <v>1.9484200085021963E-3</v>
      </c>
    </row>
    <row r="658" spans="1:10" ht="15.75" thickBot="1" x14ac:dyDescent="0.3">
      <c r="A658" s="14">
        <v>41899</v>
      </c>
      <c r="B658" s="15">
        <v>41899</v>
      </c>
      <c r="C658" s="16">
        <v>390549</v>
      </c>
      <c r="D658" s="10">
        <f>PrincipalesVariables[[#This Row],[Base monetaria]]/1000000</f>
        <v>0.39054899999999998</v>
      </c>
      <c r="E658" s="10">
        <v>8.41</v>
      </c>
      <c r="F658" s="11">
        <v>28272</v>
      </c>
      <c r="H658" s="12">
        <f>(PrincipalesVariables[[#This Row],[Base monetaria]]-C657)/C657</f>
        <v>-2.1888907533140156E-2</v>
      </c>
      <c r="I658" s="12">
        <f>(PrincipalesVariables[[#This Row],[Dólar  mayorista]]-E657)/E657</f>
        <v>1.190476190476165E-3</v>
      </c>
      <c r="J658" s="12">
        <f>(PrincipalesVariables[[#This Row],[Reservas internacionales]]-F657)/F657</f>
        <v>-3.8892621009086728E-4</v>
      </c>
    </row>
    <row r="659" spans="1:10" ht="15.75" thickBot="1" x14ac:dyDescent="0.3">
      <c r="A659" s="14">
        <v>41900</v>
      </c>
      <c r="B659" s="15">
        <v>41900</v>
      </c>
      <c r="C659" s="16">
        <v>386094</v>
      </c>
      <c r="D659" s="10">
        <f>PrincipalesVariables[[#This Row],[Base monetaria]]/1000000</f>
        <v>0.38609399999999999</v>
      </c>
      <c r="E659" s="10">
        <v>8.42</v>
      </c>
      <c r="F659" s="11">
        <v>28275</v>
      </c>
      <c r="H659" s="12">
        <f>(PrincipalesVariables[[#This Row],[Base monetaria]]-C658)/C658</f>
        <v>-1.1407019349684674E-2</v>
      </c>
      <c r="I659" s="12">
        <f>(PrincipalesVariables[[#This Row],[Dólar  mayorista]]-E658)/E658</f>
        <v>1.1890606420927215E-3</v>
      </c>
      <c r="J659" s="12">
        <f>(PrincipalesVariables[[#This Row],[Reservas internacionales]]-F658)/F658</f>
        <v>1.0611205432937182E-4</v>
      </c>
    </row>
    <row r="660" spans="1:10" ht="15.75" thickBot="1" x14ac:dyDescent="0.3">
      <c r="A660" s="14">
        <v>41901</v>
      </c>
      <c r="B660" s="15">
        <v>41901</v>
      </c>
      <c r="C660" s="16">
        <v>384467</v>
      </c>
      <c r="D660" s="10">
        <f>PrincipalesVariables[[#This Row],[Base monetaria]]/1000000</f>
        <v>0.384467</v>
      </c>
      <c r="E660" s="10">
        <v>8.42</v>
      </c>
      <c r="F660" s="11">
        <v>28224</v>
      </c>
      <c r="H660" s="12">
        <f>(PrincipalesVariables[[#This Row],[Base monetaria]]-C659)/C659</f>
        <v>-4.2139996995550306E-3</v>
      </c>
      <c r="I660" s="12">
        <f>(PrincipalesVariables[[#This Row],[Dólar  mayorista]]-E659)/E659</f>
        <v>0</v>
      </c>
      <c r="J660" s="12">
        <f>(PrincipalesVariables[[#This Row],[Reservas internacionales]]-F659)/F659</f>
        <v>-1.8037135278514589E-3</v>
      </c>
    </row>
    <row r="661" spans="1:10" ht="15.75" thickBot="1" x14ac:dyDescent="0.3">
      <c r="A661" s="14">
        <v>41904</v>
      </c>
      <c r="B661" s="15">
        <v>41904</v>
      </c>
      <c r="C661" s="16">
        <v>385343</v>
      </c>
      <c r="D661" s="10">
        <f>PrincipalesVariables[[#This Row],[Base monetaria]]/1000000</f>
        <v>0.38534299999999999</v>
      </c>
      <c r="E661" s="10">
        <v>8.43</v>
      </c>
      <c r="F661" s="11">
        <v>28221</v>
      </c>
      <c r="H661" s="12">
        <f>(PrincipalesVariables[[#This Row],[Base monetaria]]-C660)/C660</f>
        <v>2.2784790372125567E-3</v>
      </c>
      <c r="I661" s="12">
        <f>(PrincipalesVariables[[#This Row],[Dólar  mayorista]]-E660)/E660</f>
        <v>1.1876484560569818E-3</v>
      </c>
      <c r="J661" s="12">
        <f>(PrincipalesVariables[[#This Row],[Reservas internacionales]]-F660)/F660</f>
        <v>-1.0629251700680272E-4</v>
      </c>
    </row>
    <row r="662" spans="1:10" ht="15.75" thickBot="1" x14ac:dyDescent="0.3">
      <c r="A662" s="14">
        <v>41905</v>
      </c>
      <c r="B662" s="15">
        <v>41905</v>
      </c>
      <c r="C662" s="16">
        <v>385881</v>
      </c>
      <c r="D662" s="10">
        <f>PrincipalesVariables[[#This Row],[Base monetaria]]/1000000</f>
        <v>0.38588099999999997</v>
      </c>
      <c r="E662" s="10">
        <v>8.43</v>
      </c>
      <c r="F662" s="11">
        <v>28222</v>
      </c>
      <c r="H662" s="12">
        <f>(PrincipalesVariables[[#This Row],[Base monetaria]]-C661)/C661</f>
        <v>1.3961587468826473E-3</v>
      </c>
      <c r="I662" s="12">
        <f>(PrincipalesVariables[[#This Row],[Dólar  mayorista]]-E661)/E661</f>
        <v>0</v>
      </c>
      <c r="J662" s="12">
        <f>(PrincipalesVariables[[#This Row],[Reservas internacionales]]-F661)/F661</f>
        <v>3.5434605435668471E-5</v>
      </c>
    </row>
    <row r="663" spans="1:10" ht="15.75" thickBot="1" x14ac:dyDescent="0.3">
      <c r="A663" s="14">
        <v>41906</v>
      </c>
      <c r="B663" s="15">
        <v>41906</v>
      </c>
      <c r="C663" s="16">
        <v>386713</v>
      </c>
      <c r="D663" s="10">
        <f>PrincipalesVariables[[#This Row],[Base monetaria]]/1000000</f>
        <v>0.38671299999999997</v>
      </c>
      <c r="E663" s="10">
        <v>8.43</v>
      </c>
      <c r="F663" s="11">
        <v>28215</v>
      </c>
      <c r="H663" s="12">
        <f>(PrincipalesVariables[[#This Row],[Base monetaria]]-C662)/C662</f>
        <v>2.156105120490514E-3</v>
      </c>
      <c r="I663" s="12">
        <f>(PrincipalesVariables[[#This Row],[Dólar  mayorista]]-E662)/E662</f>
        <v>0</v>
      </c>
      <c r="J663" s="12">
        <f>(PrincipalesVariables[[#This Row],[Reservas internacionales]]-F662)/F662</f>
        <v>-2.4803344908227624E-4</v>
      </c>
    </row>
    <row r="664" spans="1:10" ht="15.75" thickBot="1" x14ac:dyDescent="0.3">
      <c r="A664" s="14">
        <v>41907</v>
      </c>
      <c r="B664" s="15">
        <v>41907</v>
      </c>
      <c r="C664" s="16">
        <v>390326</v>
      </c>
      <c r="D664" s="10">
        <f>PrincipalesVariables[[#This Row],[Base monetaria]]/1000000</f>
        <v>0.39032600000000001</v>
      </c>
      <c r="E664" s="10">
        <v>8.43</v>
      </c>
      <c r="F664" s="11">
        <v>28183</v>
      </c>
      <c r="H664" s="12">
        <f>(PrincipalesVariables[[#This Row],[Base monetaria]]-C663)/C663</f>
        <v>9.3428459865585074E-3</v>
      </c>
      <c r="I664" s="12">
        <f>(PrincipalesVariables[[#This Row],[Dólar  mayorista]]-E663)/E663</f>
        <v>0</v>
      </c>
      <c r="J664" s="12">
        <f>(PrincipalesVariables[[#This Row],[Reservas internacionales]]-F663)/F663</f>
        <v>-1.1341485025695552E-3</v>
      </c>
    </row>
    <row r="665" spans="1:10" ht="15.75" thickBot="1" x14ac:dyDescent="0.3">
      <c r="A665" s="14">
        <v>41908</v>
      </c>
      <c r="B665" s="15">
        <v>41908</v>
      </c>
      <c r="C665" s="16">
        <v>388203</v>
      </c>
      <c r="D665" s="10">
        <f>PrincipalesVariables[[#This Row],[Base monetaria]]/1000000</f>
        <v>0.38820300000000002</v>
      </c>
      <c r="E665" s="10">
        <v>8.44</v>
      </c>
      <c r="F665" s="11">
        <v>28008</v>
      </c>
      <c r="H665" s="12">
        <f>(PrincipalesVariables[[#This Row],[Base monetaria]]-C664)/C664</f>
        <v>-5.4390432612739098E-3</v>
      </c>
      <c r="I665" s="12">
        <f>(PrincipalesVariables[[#This Row],[Dólar  mayorista]]-E664)/E664</f>
        <v>1.1862396204032962E-3</v>
      </c>
      <c r="J665" s="12">
        <f>(PrincipalesVariables[[#This Row],[Reservas internacionales]]-F664)/F664</f>
        <v>-6.2094170244473617E-3</v>
      </c>
    </row>
    <row r="666" spans="1:10" ht="15.75" thickBot="1" x14ac:dyDescent="0.3">
      <c r="A666" s="14">
        <v>41911</v>
      </c>
      <c r="B666" s="15">
        <v>41911</v>
      </c>
      <c r="C666" s="16">
        <v>388136</v>
      </c>
      <c r="D666" s="10">
        <f>PrincipalesVariables[[#This Row],[Base monetaria]]/1000000</f>
        <v>0.38813599999999998</v>
      </c>
      <c r="E666" s="10">
        <v>8.4600000000000009</v>
      </c>
      <c r="F666" s="11">
        <v>27881</v>
      </c>
      <c r="H666" s="12">
        <f>(PrincipalesVariables[[#This Row],[Base monetaria]]-C665)/C665</f>
        <v>-1.7259011393523492E-4</v>
      </c>
      <c r="I666" s="12">
        <f>(PrincipalesVariables[[#This Row],[Dólar  mayorista]]-E665)/E665</f>
        <v>2.3696682464456578E-3</v>
      </c>
      <c r="J666" s="12">
        <f>(PrincipalesVariables[[#This Row],[Reservas internacionales]]-F665)/F665</f>
        <v>-4.5344187375035705E-3</v>
      </c>
    </row>
    <row r="667" spans="1:10" ht="15.75" thickBot="1" x14ac:dyDescent="0.3">
      <c r="A667" s="14">
        <v>41912</v>
      </c>
      <c r="B667" s="15">
        <v>41912</v>
      </c>
      <c r="C667" s="16">
        <v>382315</v>
      </c>
      <c r="D667" s="10">
        <f>PrincipalesVariables[[#This Row],[Base monetaria]]/1000000</f>
        <v>0.38231500000000002</v>
      </c>
      <c r="E667" s="10">
        <v>8.4600000000000009</v>
      </c>
      <c r="F667" s="11">
        <v>27866</v>
      </c>
      <c r="H667" s="12">
        <f>(PrincipalesVariables[[#This Row],[Base monetaria]]-C666)/C666</f>
        <v>-1.4997320526825649E-2</v>
      </c>
      <c r="I667" s="12">
        <f>(PrincipalesVariables[[#This Row],[Dólar  mayorista]]-E666)/E666</f>
        <v>0</v>
      </c>
      <c r="J667" s="12">
        <f>(PrincipalesVariables[[#This Row],[Reservas internacionales]]-F666)/F666</f>
        <v>-5.3800078906782395E-4</v>
      </c>
    </row>
    <row r="668" spans="1:10" ht="15.75" thickBot="1" x14ac:dyDescent="0.3">
      <c r="A668" s="14">
        <v>41913</v>
      </c>
      <c r="B668" s="15">
        <v>41913</v>
      </c>
      <c r="C668" s="16">
        <v>412070</v>
      </c>
      <c r="D668" s="10">
        <f>PrincipalesVariables[[#This Row],[Base monetaria]]/1000000</f>
        <v>0.41206999999999999</v>
      </c>
      <c r="E668" s="10">
        <v>8.4499999999999993</v>
      </c>
      <c r="F668" s="11">
        <v>27921</v>
      </c>
      <c r="H668" s="12">
        <f>(PrincipalesVariables[[#This Row],[Base monetaria]]-C667)/C667</f>
        <v>7.7828492211919495E-2</v>
      </c>
      <c r="I668" s="12">
        <f>(PrincipalesVariables[[#This Row],[Dólar  mayorista]]-E667)/E667</f>
        <v>-1.1820330969268987E-3</v>
      </c>
      <c r="J668" s="12">
        <f>(PrincipalesVariables[[#This Row],[Reservas internacionales]]-F667)/F667</f>
        <v>1.9737314289815545E-3</v>
      </c>
    </row>
    <row r="669" spans="1:10" ht="15.75" thickBot="1" x14ac:dyDescent="0.3">
      <c r="A669" s="14">
        <v>41914</v>
      </c>
      <c r="B669" s="15">
        <v>41914</v>
      </c>
      <c r="C669" s="16">
        <v>406542</v>
      </c>
      <c r="D669" s="10">
        <f>PrincipalesVariables[[#This Row],[Base monetaria]]/1000000</f>
        <v>0.40654200000000001</v>
      </c>
      <c r="E669" s="10">
        <v>8.4499999999999993</v>
      </c>
      <c r="F669" s="11">
        <v>27948</v>
      </c>
      <c r="H669" s="12">
        <f>(PrincipalesVariables[[#This Row],[Base monetaria]]-C668)/C668</f>
        <v>-1.3415196447205572E-2</v>
      </c>
      <c r="I669" s="12">
        <f>(PrincipalesVariables[[#This Row],[Dólar  mayorista]]-E668)/E668</f>
        <v>0</v>
      </c>
      <c r="J669" s="12">
        <f>(PrincipalesVariables[[#This Row],[Reservas internacionales]]-F668)/F668</f>
        <v>9.6701407542709793E-4</v>
      </c>
    </row>
    <row r="670" spans="1:10" ht="15.75" thickBot="1" x14ac:dyDescent="0.3">
      <c r="A670" s="14">
        <v>41915</v>
      </c>
      <c r="B670" s="15">
        <v>41915</v>
      </c>
      <c r="C670" s="16">
        <v>406013</v>
      </c>
      <c r="D670" s="10">
        <f>PrincipalesVariables[[#This Row],[Base monetaria]]/1000000</f>
        <v>0.40601300000000001</v>
      </c>
      <c r="E670" s="10">
        <v>8.4600000000000009</v>
      </c>
      <c r="F670" s="11">
        <v>27785</v>
      </c>
      <c r="H670" s="12">
        <f>(PrincipalesVariables[[#This Row],[Base monetaria]]-C669)/C669</f>
        <v>-1.3012185702830211E-3</v>
      </c>
      <c r="I670" s="12">
        <f>(PrincipalesVariables[[#This Row],[Dólar  mayorista]]-E669)/E669</f>
        <v>1.1834319526629071E-3</v>
      </c>
      <c r="J670" s="12">
        <f>(PrincipalesVariables[[#This Row],[Reservas internacionales]]-F669)/F669</f>
        <v>-5.8322599112637756E-3</v>
      </c>
    </row>
    <row r="671" spans="1:10" ht="15.75" thickBot="1" x14ac:dyDescent="0.3">
      <c r="A671" s="14">
        <v>41918</v>
      </c>
      <c r="B671" s="15">
        <v>41918</v>
      </c>
      <c r="C671" s="16">
        <v>404747</v>
      </c>
      <c r="D671" s="10">
        <f>PrincipalesVariables[[#This Row],[Base monetaria]]/1000000</f>
        <v>0.40474700000000002</v>
      </c>
      <c r="E671" s="10">
        <v>8.4600000000000009</v>
      </c>
      <c r="F671" s="11">
        <v>27762</v>
      </c>
      <c r="H671" s="12">
        <f>(PrincipalesVariables[[#This Row],[Base monetaria]]-C670)/C670</f>
        <v>-3.1181267594879965E-3</v>
      </c>
      <c r="I671" s="12">
        <f>(PrincipalesVariables[[#This Row],[Dólar  mayorista]]-E670)/E670</f>
        <v>0</v>
      </c>
      <c r="J671" s="12">
        <f>(PrincipalesVariables[[#This Row],[Reservas internacionales]]-F670)/F670</f>
        <v>-8.2778477595825081E-4</v>
      </c>
    </row>
    <row r="672" spans="1:10" ht="15.75" thickBot="1" x14ac:dyDescent="0.3">
      <c r="A672" s="14">
        <v>41919</v>
      </c>
      <c r="B672" s="15">
        <v>41919</v>
      </c>
      <c r="C672" s="16">
        <v>407712</v>
      </c>
      <c r="D672" s="10">
        <f>PrincipalesVariables[[#This Row],[Base monetaria]]/1000000</f>
        <v>0.40771200000000002</v>
      </c>
      <c r="E672" s="10">
        <v>8.4700000000000006</v>
      </c>
      <c r="F672" s="11">
        <v>27734</v>
      </c>
      <c r="H672" s="12">
        <f>(PrincipalesVariables[[#This Row],[Base monetaria]]-C671)/C671</f>
        <v>7.3255638707637113E-3</v>
      </c>
      <c r="I672" s="12">
        <f>(PrincipalesVariables[[#This Row],[Dólar  mayorista]]-E671)/E671</f>
        <v>1.1820330969266885E-3</v>
      </c>
      <c r="J672" s="12">
        <f>(PrincipalesVariables[[#This Row],[Reservas internacionales]]-F671)/F671</f>
        <v>-1.0085728693898135E-3</v>
      </c>
    </row>
    <row r="673" spans="1:10" ht="15.75" thickBot="1" x14ac:dyDescent="0.3">
      <c r="A673" s="14">
        <v>41920</v>
      </c>
      <c r="B673" s="15">
        <v>41920</v>
      </c>
      <c r="C673" s="16">
        <v>405670</v>
      </c>
      <c r="D673" s="10">
        <f>PrincipalesVariables[[#This Row],[Base monetaria]]/1000000</f>
        <v>0.40566999999999998</v>
      </c>
      <c r="E673" s="10">
        <v>8.4600000000000009</v>
      </c>
      <c r="F673" s="11">
        <v>27676</v>
      </c>
      <c r="H673" s="12">
        <f>(PrincipalesVariables[[#This Row],[Base monetaria]]-C672)/C672</f>
        <v>-5.0084373283101795E-3</v>
      </c>
      <c r="I673" s="12">
        <f>(PrincipalesVariables[[#This Row],[Dólar  mayorista]]-E672)/E672</f>
        <v>-1.1806375442738827E-3</v>
      </c>
      <c r="J673" s="12">
        <f>(PrincipalesVariables[[#This Row],[Reservas internacionales]]-F672)/F672</f>
        <v>-2.0912958823105215E-3</v>
      </c>
    </row>
    <row r="674" spans="1:10" ht="15.75" thickBot="1" x14ac:dyDescent="0.3">
      <c r="A674" s="14">
        <v>41921</v>
      </c>
      <c r="B674" s="15">
        <v>41921</v>
      </c>
      <c r="C674" s="16">
        <v>405355</v>
      </c>
      <c r="D674" s="10">
        <f>PrincipalesVariables[[#This Row],[Base monetaria]]/1000000</f>
        <v>0.40535500000000002</v>
      </c>
      <c r="E674" s="10">
        <v>8.4700000000000006</v>
      </c>
      <c r="F674" s="11">
        <v>27620</v>
      </c>
      <c r="H674" s="12">
        <f>(PrincipalesVariables[[#This Row],[Base monetaria]]-C673)/C673</f>
        <v>-7.7649320876574553E-4</v>
      </c>
      <c r="I674" s="12">
        <f>(PrincipalesVariables[[#This Row],[Dólar  mayorista]]-E673)/E673</f>
        <v>1.1820330969266885E-3</v>
      </c>
      <c r="J674" s="12">
        <f>(PrincipalesVariables[[#This Row],[Reservas internacionales]]-F673)/F673</f>
        <v>-2.0234137881196706E-3</v>
      </c>
    </row>
    <row r="675" spans="1:10" ht="15.75" thickBot="1" x14ac:dyDescent="0.3">
      <c r="A675" s="14">
        <v>41922</v>
      </c>
      <c r="B675" s="15">
        <v>41922</v>
      </c>
      <c r="C675" s="16">
        <v>404809</v>
      </c>
      <c r="D675" s="10">
        <f>PrincipalesVariables[[#This Row],[Base monetaria]]/1000000</f>
        <v>0.40480899999999997</v>
      </c>
      <c r="E675" s="10">
        <v>8.48</v>
      </c>
      <c r="F675" s="11">
        <v>27591</v>
      </c>
      <c r="H675" s="12">
        <f>(PrincipalesVariables[[#This Row],[Base monetaria]]-C674)/C674</f>
        <v>-1.3469674729558042E-3</v>
      </c>
      <c r="I675" s="12">
        <f>(PrincipalesVariables[[#This Row],[Dólar  mayorista]]-E674)/E674</f>
        <v>1.1806375442738827E-3</v>
      </c>
      <c r="J675" s="12">
        <f>(PrincipalesVariables[[#This Row],[Reservas internacionales]]-F674)/F674</f>
        <v>-1.049963794351919E-3</v>
      </c>
    </row>
    <row r="676" spans="1:10" ht="15.75" thickBot="1" x14ac:dyDescent="0.3">
      <c r="A676" s="14">
        <v>41926</v>
      </c>
      <c r="B676" s="15">
        <v>41926</v>
      </c>
      <c r="C676" s="16">
        <v>407122</v>
      </c>
      <c r="D676" s="10">
        <f>PrincipalesVariables[[#This Row],[Base monetaria]]/1000000</f>
        <v>0.40712199999999998</v>
      </c>
      <c r="E676" s="10">
        <v>8.48</v>
      </c>
      <c r="F676" s="11">
        <v>27589</v>
      </c>
      <c r="H676" s="12">
        <f>(PrincipalesVariables[[#This Row],[Base monetaria]]-C675)/C675</f>
        <v>5.7138057701286282E-3</v>
      </c>
      <c r="I676" s="12">
        <f>(PrincipalesVariables[[#This Row],[Dólar  mayorista]]-E675)/E675</f>
        <v>0</v>
      </c>
      <c r="J676" s="12">
        <f>(PrincipalesVariables[[#This Row],[Reservas internacionales]]-F675)/F675</f>
        <v>-7.2487405313326805E-5</v>
      </c>
    </row>
    <row r="677" spans="1:10" ht="15.75" thickBot="1" x14ac:dyDescent="0.3">
      <c r="A677" s="14">
        <v>41927</v>
      </c>
      <c r="B677" s="15">
        <v>41927</v>
      </c>
      <c r="C677" s="16">
        <v>405777</v>
      </c>
      <c r="D677" s="10">
        <f>PrincipalesVariables[[#This Row],[Base monetaria]]/1000000</f>
        <v>0.405777</v>
      </c>
      <c r="E677" s="10">
        <v>8.48</v>
      </c>
      <c r="F677" s="11">
        <v>27437</v>
      </c>
      <c r="H677" s="12">
        <f>(PrincipalesVariables[[#This Row],[Base monetaria]]-C676)/C676</f>
        <v>-3.3036780129789105E-3</v>
      </c>
      <c r="I677" s="12">
        <f>(PrincipalesVariables[[#This Row],[Dólar  mayorista]]-E676)/E676</f>
        <v>0</v>
      </c>
      <c r="J677" s="12">
        <f>(PrincipalesVariables[[#This Row],[Reservas internacionales]]-F676)/F676</f>
        <v>-5.5094421689803911E-3</v>
      </c>
    </row>
    <row r="678" spans="1:10" ht="15.75" thickBot="1" x14ac:dyDescent="0.3">
      <c r="A678" s="14">
        <v>41928</v>
      </c>
      <c r="B678" s="15">
        <v>41928</v>
      </c>
      <c r="C678" s="16">
        <v>408200</v>
      </c>
      <c r="D678" s="10">
        <f>PrincipalesVariables[[#This Row],[Base monetaria]]/1000000</f>
        <v>0.40820000000000001</v>
      </c>
      <c r="E678" s="10">
        <v>8.48</v>
      </c>
      <c r="F678" s="11">
        <v>27446</v>
      </c>
      <c r="H678" s="12">
        <f>(PrincipalesVariables[[#This Row],[Base monetaria]]-C677)/C677</f>
        <v>5.9712600763473537E-3</v>
      </c>
      <c r="I678" s="12">
        <f>(PrincipalesVariables[[#This Row],[Dólar  mayorista]]-E677)/E677</f>
        <v>0</v>
      </c>
      <c r="J678" s="12">
        <f>(PrincipalesVariables[[#This Row],[Reservas internacionales]]-F677)/F677</f>
        <v>3.2802420089659949E-4</v>
      </c>
    </row>
    <row r="679" spans="1:10" ht="15.75" thickBot="1" x14ac:dyDescent="0.3">
      <c r="A679" s="14">
        <v>41929</v>
      </c>
      <c r="B679" s="15">
        <v>41929</v>
      </c>
      <c r="C679" s="16">
        <v>407535</v>
      </c>
      <c r="D679" s="10">
        <f>PrincipalesVariables[[#This Row],[Base monetaria]]/1000000</f>
        <v>0.40753499999999998</v>
      </c>
      <c r="E679" s="10">
        <v>8.48</v>
      </c>
      <c r="F679" s="11">
        <v>27299</v>
      </c>
      <c r="H679" s="12">
        <f>(PrincipalesVariables[[#This Row],[Base monetaria]]-C678)/C678</f>
        <v>-1.6291033806957373E-3</v>
      </c>
      <c r="I679" s="12">
        <f>(PrincipalesVariables[[#This Row],[Dólar  mayorista]]-E678)/E678</f>
        <v>0</v>
      </c>
      <c r="J679" s="12">
        <f>(PrincipalesVariables[[#This Row],[Reservas internacionales]]-F678)/F678</f>
        <v>-5.3559717262989144E-3</v>
      </c>
    </row>
    <row r="680" spans="1:10" ht="15.75" thickBot="1" x14ac:dyDescent="0.3">
      <c r="A680" s="14">
        <v>41932</v>
      </c>
      <c r="B680" s="15">
        <v>41932</v>
      </c>
      <c r="C680" s="16">
        <v>406659</v>
      </c>
      <c r="D680" s="10">
        <f>PrincipalesVariables[[#This Row],[Base monetaria]]/1000000</f>
        <v>0.40665899999999999</v>
      </c>
      <c r="E680" s="10">
        <v>8.48</v>
      </c>
      <c r="F680" s="11">
        <v>27282</v>
      </c>
      <c r="H680" s="12">
        <f>(PrincipalesVariables[[#This Row],[Base monetaria]]-C679)/C679</f>
        <v>-2.1495086311605137E-3</v>
      </c>
      <c r="I680" s="12">
        <f>(PrincipalesVariables[[#This Row],[Dólar  mayorista]]-E679)/E679</f>
        <v>0</v>
      </c>
      <c r="J680" s="12">
        <f>(PrincipalesVariables[[#This Row],[Reservas internacionales]]-F679)/F679</f>
        <v>-6.2273343345910107E-4</v>
      </c>
    </row>
    <row r="681" spans="1:10" ht="15.75" thickBot="1" x14ac:dyDescent="0.3">
      <c r="A681" s="14">
        <v>41933</v>
      </c>
      <c r="B681" s="15">
        <v>41933</v>
      </c>
      <c r="C681" s="16">
        <v>398281</v>
      </c>
      <c r="D681" s="10">
        <f>PrincipalesVariables[[#This Row],[Base monetaria]]/1000000</f>
        <v>0.398281</v>
      </c>
      <c r="E681" s="10">
        <v>8.5</v>
      </c>
      <c r="F681" s="11">
        <v>27359</v>
      </c>
      <c r="H681" s="12">
        <f>(PrincipalesVariables[[#This Row],[Base monetaria]]-C680)/C680</f>
        <v>-2.0602027743145977E-2</v>
      </c>
      <c r="I681" s="12">
        <f>(PrincipalesVariables[[#This Row],[Dólar  mayorista]]-E680)/E680</f>
        <v>2.3584905660376855E-3</v>
      </c>
      <c r="J681" s="12">
        <f>(PrincipalesVariables[[#This Row],[Reservas internacionales]]-F680)/F680</f>
        <v>2.8223737262664029E-3</v>
      </c>
    </row>
    <row r="682" spans="1:10" ht="15.75" thickBot="1" x14ac:dyDescent="0.3">
      <c r="A682" s="14">
        <v>41934</v>
      </c>
      <c r="B682" s="15">
        <v>41934</v>
      </c>
      <c r="C682" s="16">
        <v>396663</v>
      </c>
      <c r="D682" s="10">
        <f>PrincipalesVariables[[#This Row],[Base monetaria]]/1000000</f>
        <v>0.39666299999999999</v>
      </c>
      <c r="E682" s="10">
        <v>8.49</v>
      </c>
      <c r="F682" s="11">
        <v>27377</v>
      </c>
      <c r="H682" s="12">
        <f>(PrincipalesVariables[[#This Row],[Base monetaria]]-C681)/C681</f>
        <v>-4.0624584150386282E-3</v>
      </c>
      <c r="I682" s="12">
        <f>(PrincipalesVariables[[#This Row],[Dólar  mayorista]]-E681)/E681</f>
        <v>-1.1764705882352691E-3</v>
      </c>
      <c r="J682" s="12">
        <f>(PrincipalesVariables[[#This Row],[Reservas internacionales]]-F681)/F681</f>
        <v>6.5791878358127122E-4</v>
      </c>
    </row>
    <row r="683" spans="1:10" ht="15.75" thickBot="1" x14ac:dyDescent="0.3">
      <c r="A683" s="14">
        <v>41935</v>
      </c>
      <c r="B683" s="15">
        <v>41935</v>
      </c>
      <c r="C683" s="16">
        <v>396113</v>
      </c>
      <c r="D683" s="10">
        <f>PrincipalesVariables[[#This Row],[Base monetaria]]/1000000</f>
        <v>0.39611299999999999</v>
      </c>
      <c r="E683" s="10">
        <v>8.49</v>
      </c>
      <c r="F683" s="11">
        <v>27402</v>
      </c>
      <c r="H683" s="12">
        <f>(PrincipalesVariables[[#This Row],[Base monetaria]]-C682)/C682</f>
        <v>-1.3865674388586786E-3</v>
      </c>
      <c r="I683" s="12">
        <f>(PrincipalesVariables[[#This Row],[Dólar  mayorista]]-E682)/E682</f>
        <v>0</v>
      </c>
      <c r="J683" s="12">
        <f>(PrincipalesVariables[[#This Row],[Reservas internacionales]]-F682)/F682</f>
        <v>9.1317529312926913E-4</v>
      </c>
    </row>
    <row r="684" spans="1:10" ht="15.75" thickBot="1" x14ac:dyDescent="0.3">
      <c r="A684" s="14">
        <v>41936</v>
      </c>
      <c r="B684" s="15">
        <v>41936</v>
      </c>
      <c r="C684" s="16">
        <v>388523</v>
      </c>
      <c r="D684" s="10">
        <f>PrincipalesVariables[[#This Row],[Base monetaria]]/1000000</f>
        <v>0.38852300000000001</v>
      </c>
      <c r="E684" s="10">
        <v>8.49</v>
      </c>
      <c r="F684" s="11">
        <v>27412</v>
      </c>
      <c r="H684" s="12">
        <f>(PrincipalesVariables[[#This Row],[Base monetaria]]-C683)/C683</f>
        <v>-1.9161198950804443E-2</v>
      </c>
      <c r="I684" s="12">
        <f>(PrincipalesVariables[[#This Row],[Dólar  mayorista]]-E683)/E683</f>
        <v>0</v>
      </c>
      <c r="J684" s="12">
        <f>(PrincipalesVariables[[#This Row],[Reservas internacionales]]-F683)/F683</f>
        <v>3.6493686592219544E-4</v>
      </c>
    </row>
    <row r="685" spans="1:10" ht="15.75" thickBot="1" x14ac:dyDescent="0.3">
      <c r="A685" s="14">
        <v>41939</v>
      </c>
      <c r="B685" s="15">
        <v>41939</v>
      </c>
      <c r="C685" s="16">
        <v>383094</v>
      </c>
      <c r="D685" s="10">
        <f>PrincipalesVariables[[#This Row],[Base monetaria]]/1000000</f>
        <v>0.38309399999999999</v>
      </c>
      <c r="E685" s="10">
        <v>8.5</v>
      </c>
      <c r="F685" s="11">
        <v>27338</v>
      </c>
      <c r="H685" s="12">
        <f>(PrincipalesVariables[[#This Row],[Base monetaria]]-C684)/C684</f>
        <v>-1.3973432718268931E-2</v>
      </c>
      <c r="I685" s="12">
        <f>(PrincipalesVariables[[#This Row],[Dólar  mayorista]]-E684)/E684</f>
        <v>1.177856301531188E-3</v>
      </c>
      <c r="J685" s="12">
        <f>(PrincipalesVariables[[#This Row],[Reservas internacionales]]-F684)/F684</f>
        <v>-2.6995476433678682E-3</v>
      </c>
    </row>
    <row r="686" spans="1:10" ht="15.75" thickBot="1" x14ac:dyDescent="0.3">
      <c r="A686" s="14">
        <v>41940</v>
      </c>
      <c r="B686" s="15">
        <v>41940</v>
      </c>
      <c r="C686" s="16">
        <v>384187</v>
      </c>
      <c r="D686" s="10">
        <f>PrincipalesVariables[[#This Row],[Base monetaria]]/1000000</f>
        <v>0.384187</v>
      </c>
      <c r="E686" s="10">
        <v>8.5</v>
      </c>
      <c r="F686" s="11">
        <v>27356</v>
      </c>
      <c r="H686" s="12">
        <f>(PrincipalesVariables[[#This Row],[Base monetaria]]-C685)/C685</f>
        <v>2.8530856656590812E-3</v>
      </c>
      <c r="I686" s="12">
        <f>(PrincipalesVariables[[#This Row],[Dólar  mayorista]]-E685)/E685</f>
        <v>0</v>
      </c>
      <c r="J686" s="12">
        <f>(PrincipalesVariables[[#This Row],[Reservas internacionales]]-F685)/F685</f>
        <v>6.584241714829175E-4</v>
      </c>
    </row>
    <row r="687" spans="1:10" ht="15.75" thickBot="1" x14ac:dyDescent="0.3">
      <c r="A687" s="14">
        <v>41941</v>
      </c>
      <c r="B687" s="15">
        <v>41941</v>
      </c>
      <c r="C687" s="16">
        <v>386010</v>
      </c>
      <c r="D687" s="10">
        <f>PrincipalesVariables[[#This Row],[Base monetaria]]/1000000</f>
        <v>0.38601000000000002</v>
      </c>
      <c r="E687" s="10">
        <v>8.5</v>
      </c>
      <c r="F687" s="11">
        <v>27346</v>
      </c>
      <c r="H687" s="12">
        <f>(PrincipalesVariables[[#This Row],[Base monetaria]]-C686)/C686</f>
        <v>4.7450850757573782E-3</v>
      </c>
      <c r="I687" s="12">
        <f>(PrincipalesVariables[[#This Row],[Dólar  mayorista]]-E686)/E686</f>
        <v>0</v>
      </c>
      <c r="J687" s="12">
        <f>(PrincipalesVariables[[#This Row],[Reservas internacionales]]-F686)/F686</f>
        <v>-3.6555051908173709E-4</v>
      </c>
    </row>
    <row r="688" spans="1:10" ht="15.75" thickBot="1" x14ac:dyDescent="0.3">
      <c r="A688" s="14">
        <v>41942</v>
      </c>
      <c r="B688" s="15">
        <v>41942</v>
      </c>
      <c r="C688" s="16">
        <v>387974</v>
      </c>
      <c r="D688" s="10">
        <f>PrincipalesVariables[[#This Row],[Base monetaria]]/1000000</f>
        <v>0.38797399999999999</v>
      </c>
      <c r="E688" s="10">
        <v>8.5</v>
      </c>
      <c r="F688" s="11">
        <v>28109</v>
      </c>
      <c r="H688" s="12">
        <f>(PrincipalesVariables[[#This Row],[Base monetaria]]-C687)/C687</f>
        <v>5.0879510893500172E-3</v>
      </c>
      <c r="I688" s="12">
        <f>(PrincipalesVariables[[#This Row],[Dólar  mayorista]]-E687)/E687</f>
        <v>0</v>
      </c>
      <c r="J688" s="12">
        <f>(PrincipalesVariables[[#This Row],[Reservas internacionales]]-F687)/F687</f>
        <v>2.7901704088349303E-2</v>
      </c>
    </row>
    <row r="689" spans="1:10" ht="15.75" thickBot="1" x14ac:dyDescent="0.3">
      <c r="A689" s="14">
        <v>41943</v>
      </c>
      <c r="B689" s="15">
        <v>41943</v>
      </c>
      <c r="C689" s="16">
        <v>407437</v>
      </c>
      <c r="D689" s="10">
        <f>PrincipalesVariables[[#This Row],[Base monetaria]]/1000000</f>
        <v>0.40743699999999999</v>
      </c>
      <c r="E689" s="10">
        <v>8.5</v>
      </c>
      <c r="F689" s="11">
        <v>28111</v>
      </c>
      <c r="H689" s="12">
        <f>(PrincipalesVariables[[#This Row],[Base monetaria]]-C688)/C688</f>
        <v>5.0165732755287726E-2</v>
      </c>
      <c r="I689" s="12">
        <f>(PrincipalesVariables[[#This Row],[Dólar  mayorista]]-E688)/E688</f>
        <v>0</v>
      </c>
      <c r="J689" s="12">
        <f>(PrincipalesVariables[[#This Row],[Reservas internacionales]]-F688)/F688</f>
        <v>7.1151588459212358E-5</v>
      </c>
    </row>
    <row r="690" spans="1:10" ht="15.75" thickBot="1" x14ac:dyDescent="0.3">
      <c r="A690" s="14">
        <v>41946</v>
      </c>
      <c r="B690" s="15">
        <v>41946</v>
      </c>
      <c r="C690" s="16">
        <v>413948</v>
      </c>
      <c r="D690" s="10">
        <f>PrincipalesVariables[[#This Row],[Base monetaria]]/1000000</f>
        <v>0.41394799999999998</v>
      </c>
      <c r="E690" s="10">
        <v>8.51</v>
      </c>
      <c r="F690" s="11">
        <v>28077</v>
      </c>
      <c r="H690" s="12">
        <f>(PrincipalesVariables[[#This Row],[Base monetaria]]-C689)/C689</f>
        <v>1.5980384697511518E-2</v>
      </c>
      <c r="I690" s="12">
        <f>(PrincipalesVariables[[#This Row],[Dólar  mayorista]]-E689)/E689</f>
        <v>1.1764705882352691E-3</v>
      </c>
      <c r="J690" s="12">
        <f>(PrincipalesVariables[[#This Row],[Reservas internacionales]]-F689)/F689</f>
        <v>-1.2094909466045321E-3</v>
      </c>
    </row>
    <row r="691" spans="1:10" ht="15.75" thickBot="1" x14ac:dyDescent="0.3">
      <c r="A691" s="14">
        <v>41947</v>
      </c>
      <c r="B691" s="15">
        <v>41947</v>
      </c>
      <c r="C691" s="16">
        <v>413963</v>
      </c>
      <c r="D691" s="10">
        <f>PrincipalesVariables[[#This Row],[Base monetaria]]/1000000</f>
        <v>0.41396300000000003</v>
      </c>
      <c r="E691" s="10">
        <v>8.51</v>
      </c>
      <c r="F691" s="11">
        <v>28068</v>
      </c>
      <c r="H691" s="12">
        <f>(PrincipalesVariables[[#This Row],[Base monetaria]]-C690)/C690</f>
        <v>3.6236435494313297E-5</v>
      </c>
      <c r="I691" s="12">
        <f>(PrincipalesVariables[[#This Row],[Dólar  mayorista]]-E690)/E690</f>
        <v>0</v>
      </c>
      <c r="J691" s="12">
        <f>(PrincipalesVariables[[#This Row],[Reservas internacionales]]-F690)/F690</f>
        <v>-3.2054706699433702E-4</v>
      </c>
    </row>
    <row r="692" spans="1:10" ht="15.75" thickBot="1" x14ac:dyDescent="0.3">
      <c r="A692" s="14">
        <v>41948</v>
      </c>
      <c r="B692" s="15">
        <v>41948</v>
      </c>
      <c r="C692" s="16">
        <v>416246</v>
      </c>
      <c r="D692" s="10">
        <f>PrincipalesVariables[[#This Row],[Base monetaria]]/1000000</f>
        <v>0.416246</v>
      </c>
      <c r="E692" s="10">
        <v>8.51</v>
      </c>
      <c r="F692" s="11">
        <v>28075</v>
      </c>
      <c r="H692" s="12">
        <f>(PrincipalesVariables[[#This Row],[Base monetaria]]-C691)/C691</f>
        <v>5.5149856388131309E-3</v>
      </c>
      <c r="I692" s="12">
        <f>(PrincipalesVariables[[#This Row],[Dólar  mayorista]]-E691)/E691</f>
        <v>0</v>
      </c>
      <c r="J692" s="12">
        <f>(PrincipalesVariables[[#This Row],[Reservas internacionales]]-F691)/F691</f>
        <v>2.493943280604247E-4</v>
      </c>
    </row>
    <row r="693" spans="1:10" ht="15.75" thickBot="1" x14ac:dyDescent="0.3">
      <c r="A693" s="14">
        <v>41950</v>
      </c>
      <c r="B693" s="15">
        <v>41950</v>
      </c>
      <c r="C693" s="16">
        <v>417909</v>
      </c>
      <c r="D693" s="10">
        <f>PrincipalesVariables[[#This Row],[Base monetaria]]/1000000</f>
        <v>0.41790899999999997</v>
      </c>
      <c r="E693" s="10">
        <v>8.51</v>
      </c>
      <c r="F693" s="11">
        <v>28108</v>
      </c>
      <c r="H693" s="12">
        <f>(PrincipalesVariables[[#This Row],[Base monetaria]]-C692)/C692</f>
        <v>3.9952335878302731E-3</v>
      </c>
      <c r="I693" s="12">
        <f>(PrincipalesVariables[[#This Row],[Dólar  mayorista]]-E692)/E692</f>
        <v>0</v>
      </c>
      <c r="J693" s="12">
        <f>(PrincipalesVariables[[#This Row],[Reservas internacionales]]-F692)/F692</f>
        <v>1.1754229741763134E-3</v>
      </c>
    </row>
    <row r="694" spans="1:10" ht="15.75" thickBot="1" x14ac:dyDescent="0.3">
      <c r="A694" s="14">
        <v>41953</v>
      </c>
      <c r="B694" s="15">
        <v>41953</v>
      </c>
      <c r="C694" s="16">
        <v>419121</v>
      </c>
      <c r="D694" s="10">
        <f>PrincipalesVariables[[#This Row],[Base monetaria]]/1000000</f>
        <v>0.41912100000000002</v>
      </c>
      <c r="E694" s="10">
        <v>8.51</v>
      </c>
      <c r="F694" s="11">
        <v>28170</v>
      </c>
      <c r="H694" s="12">
        <f>(PrincipalesVariables[[#This Row],[Base monetaria]]-C693)/C693</f>
        <v>2.9001529041011321E-3</v>
      </c>
      <c r="I694" s="12">
        <f>(PrincipalesVariables[[#This Row],[Dólar  mayorista]]-E693)/E693</f>
        <v>0</v>
      </c>
      <c r="J694" s="12">
        <f>(PrincipalesVariables[[#This Row],[Reservas internacionales]]-F693)/F693</f>
        <v>2.2057777145296715E-3</v>
      </c>
    </row>
    <row r="695" spans="1:10" ht="15.75" thickBot="1" x14ac:dyDescent="0.3">
      <c r="A695" s="14">
        <v>41954</v>
      </c>
      <c r="B695" s="15">
        <v>41954</v>
      </c>
      <c r="C695" s="16">
        <v>416612</v>
      </c>
      <c r="D695" s="10">
        <f>PrincipalesVariables[[#This Row],[Base monetaria]]/1000000</f>
        <v>0.41661199999999998</v>
      </c>
      <c r="E695" s="10">
        <v>8.51</v>
      </c>
      <c r="F695" s="11">
        <v>28172</v>
      </c>
      <c r="H695" s="12">
        <f>(PrincipalesVariables[[#This Row],[Base monetaria]]-C694)/C694</f>
        <v>-5.9863380742076868E-3</v>
      </c>
      <c r="I695" s="12">
        <f>(PrincipalesVariables[[#This Row],[Dólar  mayorista]]-E694)/E694</f>
        <v>0</v>
      </c>
      <c r="J695" s="12">
        <f>(PrincipalesVariables[[#This Row],[Reservas internacionales]]-F694)/F694</f>
        <v>7.0997515086971961E-5</v>
      </c>
    </row>
    <row r="696" spans="1:10" ht="15.75" thickBot="1" x14ac:dyDescent="0.3">
      <c r="A696" s="14">
        <v>41955</v>
      </c>
      <c r="B696" s="15">
        <v>41955</v>
      </c>
      <c r="C696" s="16">
        <v>414850</v>
      </c>
      <c r="D696" s="10">
        <f>PrincipalesVariables[[#This Row],[Base monetaria]]/1000000</f>
        <v>0.41485</v>
      </c>
      <c r="E696" s="10">
        <v>8.51</v>
      </c>
      <c r="F696" s="11">
        <v>28176</v>
      </c>
      <c r="H696" s="12">
        <f>(PrincipalesVariables[[#This Row],[Base monetaria]]-C695)/C695</f>
        <v>-4.2293548913617468E-3</v>
      </c>
      <c r="I696" s="12">
        <f>(PrincipalesVariables[[#This Row],[Dólar  mayorista]]-E695)/E695</f>
        <v>0</v>
      </c>
      <c r="J696" s="12">
        <f>(PrincipalesVariables[[#This Row],[Reservas internacionales]]-F695)/F695</f>
        <v>1.419849495953429E-4</v>
      </c>
    </row>
    <row r="697" spans="1:10" ht="15.75" thickBot="1" x14ac:dyDescent="0.3">
      <c r="A697" s="14">
        <v>41956</v>
      </c>
      <c r="B697" s="15">
        <v>41956</v>
      </c>
      <c r="C697" s="16">
        <v>413686</v>
      </c>
      <c r="D697" s="10">
        <f>PrincipalesVariables[[#This Row],[Base monetaria]]/1000000</f>
        <v>0.413686</v>
      </c>
      <c r="E697" s="10">
        <v>8.51</v>
      </c>
      <c r="F697" s="11">
        <v>28207</v>
      </c>
      <c r="H697" s="12">
        <f>(PrincipalesVariables[[#This Row],[Base monetaria]]-C696)/C696</f>
        <v>-2.8058334337712426E-3</v>
      </c>
      <c r="I697" s="12">
        <f>(PrincipalesVariables[[#This Row],[Dólar  mayorista]]-E696)/E696</f>
        <v>0</v>
      </c>
      <c r="J697" s="12">
        <f>(PrincipalesVariables[[#This Row],[Reservas internacionales]]-F696)/F696</f>
        <v>1.1002271436683702E-3</v>
      </c>
    </row>
    <row r="698" spans="1:10" ht="15.75" thickBot="1" x14ac:dyDescent="0.3">
      <c r="A698" s="14">
        <v>41957</v>
      </c>
      <c r="B698" s="15">
        <v>41957</v>
      </c>
      <c r="C698" s="16">
        <v>407488</v>
      </c>
      <c r="D698" s="10">
        <f>PrincipalesVariables[[#This Row],[Base monetaria]]/1000000</f>
        <v>0.40748800000000002</v>
      </c>
      <c r="E698" s="10">
        <v>8.51</v>
      </c>
      <c r="F698" s="11">
        <v>28288</v>
      </c>
      <c r="H698" s="12">
        <f>(PrincipalesVariables[[#This Row],[Base monetaria]]-C697)/C697</f>
        <v>-1.4982377938823165E-2</v>
      </c>
      <c r="I698" s="12">
        <f>(PrincipalesVariables[[#This Row],[Dólar  mayorista]]-E697)/E697</f>
        <v>0</v>
      </c>
      <c r="J698" s="12">
        <f>(PrincipalesVariables[[#This Row],[Reservas internacionales]]-F697)/F697</f>
        <v>2.8716276101676888E-3</v>
      </c>
    </row>
    <row r="699" spans="1:10" ht="15.75" thickBot="1" x14ac:dyDescent="0.3">
      <c r="A699" s="14">
        <v>41960</v>
      </c>
      <c r="B699" s="15">
        <v>41960</v>
      </c>
      <c r="C699" s="16">
        <v>405543</v>
      </c>
      <c r="D699" s="10">
        <f>PrincipalesVariables[[#This Row],[Base monetaria]]/1000000</f>
        <v>0.40554299999999999</v>
      </c>
      <c r="E699" s="10">
        <v>8.51</v>
      </c>
      <c r="F699" s="11">
        <v>28793</v>
      </c>
      <c r="H699" s="12">
        <f>(PrincipalesVariables[[#This Row],[Base monetaria]]-C698)/C698</f>
        <v>-4.7731466938903721E-3</v>
      </c>
      <c r="I699" s="12">
        <f>(PrincipalesVariables[[#This Row],[Dólar  mayorista]]-E698)/E698</f>
        <v>0</v>
      </c>
      <c r="J699" s="12">
        <f>(PrincipalesVariables[[#This Row],[Reservas internacionales]]-F698)/F698</f>
        <v>1.7852092760180995E-2</v>
      </c>
    </row>
    <row r="700" spans="1:10" ht="15.75" thickBot="1" x14ac:dyDescent="0.3">
      <c r="A700" s="14">
        <v>41961</v>
      </c>
      <c r="B700" s="15">
        <v>41961</v>
      </c>
      <c r="C700" s="16">
        <v>405503</v>
      </c>
      <c r="D700" s="10">
        <f>PrincipalesVariables[[#This Row],[Base monetaria]]/1000000</f>
        <v>0.405503</v>
      </c>
      <c r="E700" s="10">
        <v>8.51</v>
      </c>
      <c r="F700" s="11">
        <v>28816</v>
      </c>
      <c r="H700" s="12">
        <f>(PrincipalesVariables[[#This Row],[Base monetaria]]-C699)/C699</f>
        <v>-9.8633190561789997E-5</v>
      </c>
      <c r="I700" s="12">
        <f>(PrincipalesVariables[[#This Row],[Dólar  mayorista]]-E699)/E699</f>
        <v>0</v>
      </c>
      <c r="J700" s="12">
        <f>(PrincipalesVariables[[#This Row],[Reservas internacionales]]-F699)/F699</f>
        <v>7.988052651686174E-4</v>
      </c>
    </row>
    <row r="701" spans="1:10" ht="15.75" thickBot="1" x14ac:dyDescent="0.3">
      <c r="A701" s="14">
        <v>41962</v>
      </c>
      <c r="B701" s="15">
        <v>41962</v>
      </c>
      <c r="C701" s="16">
        <v>402473</v>
      </c>
      <c r="D701" s="10">
        <f>PrincipalesVariables[[#This Row],[Base monetaria]]/1000000</f>
        <v>0.40247300000000003</v>
      </c>
      <c r="E701" s="10">
        <v>8.51</v>
      </c>
      <c r="F701" s="11">
        <v>28817</v>
      </c>
      <c r="H701" s="12">
        <f>(PrincipalesVariables[[#This Row],[Base monetaria]]-C700)/C700</f>
        <v>-7.472201192099689E-3</v>
      </c>
      <c r="I701" s="12">
        <f>(PrincipalesVariables[[#This Row],[Dólar  mayorista]]-E700)/E700</f>
        <v>0</v>
      </c>
      <c r="J701" s="12">
        <f>(PrincipalesVariables[[#This Row],[Reservas internacionales]]-F700)/F700</f>
        <v>3.4702942809550253E-5</v>
      </c>
    </row>
    <row r="702" spans="1:10" ht="15.75" thickBot="1" x14ac:dyDescent="0.3">
      <c r="A702" s="14">
        <v>41963</v>
      </c>
      <c r="B702" s="15">
        <v>41963</v>
      </c>
      <c r="C702" s="16">
        <v>396867</v>
      </c>
      <c r="D702" s="10">
        <f>PrincipalesVariables[[#This Row],[Base monetaria]]/1000000</f>
        <v>0.39686700000000003</v>
      </c>
      <c r="E702" s="10">
        <v>8.51</v>
      </c>
      <c r="F702" s="11">
        <v>28816</v>
      </c>
      <c r="H702" s="12">
        <f>(PrincipalesVariables[[#This Row],[Base monetaria]]-C701)/C701</f>
        <v>-1.3928884670524482E-2</v>
      </c>
      <c r="I702" s="12">
        <f>(PrincipalesVariables[[#This Row],[Dólar  mayorista]]-E701)/E701</f>
        <v>0</v>
      </c>
      <c r="J702" s="12">
        <f>(PrincipalesVariables[[#This Row],[Reservas internacionales]]-F701)/F701</f>
        <v>-3.4701738557101712E-5</v>
      </c>
    </row>
    <row r="703" spans="1:10" ht="15.75" thickBot="1" x14ac:dyDescent="0.3">
      <c r="A703" s="14">
        <v>41964</v>
      </c>
      <c r="B703" s="15">
        <v>41964</v>
      </c>
      <c r="C703" s="16">
        <v>393770</v>
      </c>
      <c r="D703" s="10">
        <f>PrincipalesVariables[[#This Row],[Base monetaria]]/1000000</f>
        <v>0.39377000000000001</v>
      </c>
      <c r="E703" s="10">
        <v>8.52</v>
      </c>
      <c r="F703" s="11">
        <v>28812</v>
      </c>
      <c r="H703" s="12">
        <f>(PrincipalesVariables[[#This Row],[Base monetaria]]-C702)/C702</f>
        <v>-7.8036218682833291E-3</v>
      </c>
      <c r="I703" s="12">
        <f>(PrincipalesVariables[[#This Row],[Dólar  mayorista]]-E702)/E702</f>
        <v>1.1750881316098458E-3</v>
      </c>
      <c r="J703" s="12">
        <f>(PrincipalesVariables[[#This Row],[Reservas internacionales]]-F702)/F702</f>
        <v>-1.3881177123820101E-4</v>
      </c>
    </row>
    <row r="704" spans="1:10" ht="15.75" thickBot="1" x14ac:dyDescent="0.3">
      <c r="A704" s="14">
        <v>41968</v>
      </c>
      <c r="B704" s="15">
        <v>41968</v>
      </c>
      <c r="C704" s="16">
        <v>406794</v>
      </c>
      <c r="D704" s="10">
        <f>PrincipalesVariables[[#This Row],[Base monetaria]]/1000000</f>
        <v>0.40679399999999999</v>
      </c>
      <c r="E704" s="10">
        <v>8.52</v>
      </c>
      <c r="F704" s="11">
        <v>28889</v>
      </c>
      <c r="H704" s="12">
        <f>(PrincipalesVariables[[#This Row],[Base monetaria]]-C703)/C703</f>
        <v>3.3075145389440536E-2</v>
      </c>
      <c r="I704" s="12">
        <f>(PrincipalesVariables[[#This Row],[Dólar  mayorista]]-E703)/E703</f>
        <v>0</v>
      </c>
      <c r="J704" s="12">
        <f>(PrincipalesVariables[[#This Row],[Reservas internacionales]]-F703)/F703</f>
        <v>2.6724975704567541E-3</v>
      </c>
    </row>
    <row r="705" spans="1:10" ht="15.75" thickBot="1" x14ac:dyDescent="0.3">
      <c r="A705" s="14">
        <v>41969</v>
      </c>
      <c r="B705" s="15">
        <v>41969</v>
      </c>
      <c r="C705" s="16">
        <v>405951</v>
      </c>
      <c r="D705" s="10">
        <f>PrincipalesVariables[[#This Row],[Base monetaria]]/1000000</f>
        <v>0.40595100000000001</v>
      </c>
      <c r="E705" s="10">
        <v>8.52</v>
      </c>
      <c r="F705" s="11">
        <v>28895</v>
      </c>
      <c r="H705" s="12">
        <f>(PrincipalesVariables[[#This Row],[Base monetaria]]-C704)/C704</f>
        <v>-2.0723019513562146E-3</v>
      </c>
      <c r="I705" s="12">
        <f>(PrincipalesVariables[[#This Row],[Dólar  mayorista]]-E704)/E704</f>
        <v>0</v>
      </c>
      <c r="J705" s="12">
        <f>(PrincipalesVariables[[#This Row],[Reservas internacionales]]-F704)/F704</f>
        <v>2.07691508878812E-4</v>
      </c>
    </row>
    <row r="706" spans="1:10" ht="15.75" thickBot="1" x14ac:dyDescent="0.3">
      <c r="A706" s="14">
        <v>41970</v>
      </c>
      <c r="B706" s="15">
        <v>41970</v>
      </c>
      <c r="C706" s="16">
        <v>393588</v>
      </c>
      <c r="D706" s="10">
        <f>PrincipalesVariables[[#This Row],[Base monetaria]]/1000000</f>
        <v>0.39358799999999999</v>
      </c>
      <c r="E706" s="10">
        <v>8.5299999999999994</v>
      </c>
      <c r="F706" s="11">
        <v>28872</v>
      </c>
      <c r="H706" s="12">
        <f>(PrincipalesVariables[[#This Row],[Base monetaria]]-C705)/C705</f>
        <v>-3.0454414449034489E-2</v>
      </c>
      <c r="I706" s="12">
        <f>(PrincipalesVariables[[#This Row],[Dólar  mayorista]]-E705)/E705</f>
        <v>1.1737089201877685E-3</v>
      </c>
      <c r="J706" s="12">
        <f>(PrincipalesVariables[[#This Row],[Reservas internacionales]]-F705)/F705</f>
        <v>-7.9598546461325491E-4</v>
      </c>
    </row>
    <row r="707" spans="1:10" ht="15.75" thickBot="1" x14ac:dyDescent="0.3">
      <c r="A707" s="14">
        <v>41971</v>
      </c>
      <c r="B707" s="15">
        <v>41971</v>
      </c>
      <c r="C707" s="16">
        <v>409124</v>
      </c>
      <c r="D707" s="10">
        <f>PrincipalesVariables[[#This Row],[Base monetaria]]/1000000</f>
        <v>0.40912399999999999</v>
      </c>
      <c r="E707" s="10">
        <v>8.5299999999999994</v>
      </c>
      <c r="F707" s="11">
        <v>28911</v>
      </c>
      <c r="H707" s="12">
        <f>(PrincipalesVariables[[#This Row],[Base monetaria]]-C706)/C706</f>
        <v>3.9472748152890841E-2</v>
      </c>
      <c r="I707" s="12">
        <f>(PrincipalesVariables[[#This Row],[Dólar  mayorista]]-E706)/E706</f>
        <v>0</v>
      </c>
      <c r="J707" s="12">
        <f>(PrincipalesVariables[[#This Row],[Reservas internacionales]]-F706)/F706</f>
        <v>1.3507896924355777E-3</v>
      </c>
    </row>
    <row r="708" spans="1:10" ht="15.75" thickBot="1" x14ac:dyDescent="0.3">
      <c r="A708" s="14">
        <v>41974</v>
      </c>
      <c r="B708" s="15">
        <v>41974</v>
      </c>
      <c r="C708" s="16">
        <v>434222</v>
      </c>
      <c r="D708" s="10">
        <f>PrincipalesVariables[[#This Row],[Base monetaria]]/1000000</f>
        <v>0.434222</v>
      </c>
      <c r="E708" s="10">
        <v>8.5299999999999994</v>
      </c>
      <c r="F708" s="11">
        <v>28941</v>
      </c>
      <c r="H708" s="12">
        <f>(PrincipalesVariables[[#This Row],[Base monetaria]]-C707)/C707</f>
        <v>6.1345704480793108E-2</v>
      </c>
      <c r="I708" s="12">
        <f>(PrincipalesVariables[[#This Row],[Dólar  mayorista]]-E707)/E707</f>
        <v>0</v>
      </c>
      <c r="J708" s="12">
        <f>(PrincipalesVariables[[#This Row],[Reservas internacionales]]-F707)/F707</f>
        <v>1.0376673238559717E-3</v>
      </c>
    </row>
    <row r="709" spans="1:10" ht="15.75" thickBot="1" x14ac:dyDescent="0.3">
      <c r="A709" s="14">
        <v>41975</v>
      </c>
      <c r="B709" s="15">
        <v>41975</v>
      </c>
      <c r="C709" s="16">
        <v>437391</v>
      </c>
      <c r="D709" s="10">
        <f>PrincipalesVariables[[#This Row],[Base monetaria]]/1000000</f>
        <v>0.43739099999999997</v>
      </c>
      <c r="E709" s="10">
        <v>8.5399999999999991</v>
      </c>
      <c r="F709" s="11">
        <v>28897</v>
      </c>
      <c r="H709" s="12">
        <f>(PrincipalesVariables[[#This Row],[Base monetaria]]-C708)/C708</f>
        <v>7.2981101832703087E-3</v>
      </c>
      <c r="I709" s="12">
        <f>(PrincipalesVariables[[#This Row],[Dólar  mayorista]]-E708)/E708</f>
        <v>1.172332942555661E-3</v>
      </c>
      <c r="J709" s="12">
        <f>(PrincipalesVariables[[#This Row],[Reservas internacionales]]-F708)/F708</f>
        <v>-1.5203344735841885E-3</v>
      </c>
    </row>
    <row r="710" spans="1:10" ht="15.75" thickBot="1" x14ac:dyDescent="0.3">
      <c r="A710" s="14">
        <v>41976</v>
      </c>
      <c r="B710" s="15">
        <v>41976</v>
      </c>
      <c r="C710" s="16">
        <v>437124</v>
      </c>
      <c r="D710" s="10">
        <f>PrincipalesVariables[[#This Row],[Base monetaria]]/1000000</f>
        <v>0.43712400000000001</v>
      </c>
      <c r="E710" s="10">
        <v>8.5399999999999991</v>
      </c>
      <c r="F710" s="11">
        <v>28909</v>
      </c>
      <c r="H710" s="12">
        <f>(PrincipalesVariables[[#This Row],[Base monetaria]]-C709)/C709</f>
        <v>-6.1043780050343971E-4</v>
      </c>
      <c r="I710" s="12">
        <f>(PrincipalesVariables[[#This Row],[Dólar  mayorista]]-E709)/E709</f>
        <v>0</v>
      </c>
      <c r="J710" s="12">
        <f>(PrincipalesVariables[[#This Row],[Reservas internacionales]]-F709)/F709</f>
        <v>4.1526802090182372E-4</v>
      </c>
    </row>
    <row r="711" spans="1:10" ht="15.75" thickBot="1" x14ac:dyDescent="0.3">
      <c r="A711" s="14">
        <v>41977</v>
      </c>
      <c r="B711" s="15">
        <v>41977</v>
      </c>
      <c r="C711" s="16">
        <v>433521</v>
      </c>
      <c r="D711" s="10">
        <f>PrincipalesVariables[[#This Row],[Base monetaria]]/1000000</f>
        <v>0.43352099999999999</v>
      </c>
      <c r="E711" s="10">
        <v>8.5399999999999991</v>
      </c>
      <c r="F711" s="11">
        <v>28905</v>
      </c>
      <c r="H711" s="12">
        <f>(PrincipalesVariables[[#This Row],[Base monetaria]]-C710)/C710</f>
        <v>-8.2425124221044838E-3</v>
      </c>
      <c r="I711" s="12">
        <f>(PrincipalesVariables[[#This Row],[Dólar  mayorista]]-E710)/E710</f>
        <v>0</v>
      </c>
      <c r="J711" s="12">
        <f>(PrincipalesVariables[[#This Row],[Reservas internacionales]]-F710)/F710</f>
        <v>-1.3836521498495279E-4</v>
      </c>
    </row>
    <row r="712" spans="1:10" ht="15.75" thickBot="1" x14ac:dyDescent="0.3">
      <c r="A712" s="14">
        <v>41978</v>
      </c>
      <c r="B712" s="15">
        <v>41978</v>
      </c>
      <c r="C712" s="16">
        <v>433915</v>
      </c>
      <c r="D712" s="10">
        <f>PrincipalesVariables[[#This Row],[Base monetaria]]/1000000</f>
        <v>0.433915</v>
      </c>
      <c r="E712" s="10">
        <v>8.5500000000000007</v>
      </c>
      <c r="F712" s="11">
        <v>28931</v>
      </c>
      <c r="H712" s="12">
        <f>(PrincipalesVariables[[#This Row],[Base monetaria]]-C711)/C711</f>
        <v>9.0883717282438448E-4</v>
      </c>
      <c r="I712" s="12">
        <f>(PrincipalesVariables[[#This Row],[Dólar  mayorista]]-E711)/E711</f>
        <v>1.1709601873538132E-3</v>
      </c>
      <c r="J712" s="12">
        <f>(PrincipalesVariables[[#This Row],[Reservas internacionales]]-F711)/F711</f>
        <v>8.9949835668569453E-4</v>
      </c>
    </row>
    <row r="713" spans="1:10" ht="15.75" thickBot="1" x14ac:dyDescent="0.3">
      <c r="A713" s="14">
        <v>41982</v>
      </c>
      <c r="B713" s="15">
        <v>41982</v>
      </c>
      <c r="C713" s="16">
        <v>432323</v>
      </c>
      <c r="D713" s="10">
        <f>PrincipalesVariables[[#This Row],[Base monetaria]]/1000000</f>
        <v>0.43232300000000001</v>
      </c>
      <c r="E713" s="10">
        <v>8.56</v>
      </c>
      <c r="F713" s="11">
        <v>29189</v>
      </c>
      <c r="H713" s="12">
        <f>(PrincipalesVariables[[#This Row],[Base monetaria]]-C712)/C712</f>
        <v>-3.6689213325190417E-3</v>
      </c>
      <c r="I713" s="12">
        <f>(PrincipalesVariables[[#This Row],[Dólar  mayorista]]-E712)/E712</f>
        <v>1.1695906432748287E-3</v>
      </c>
      <c r="J713" s="12">
        <f>(PrincipalesVariables[[#This Row],[Reservas internacionales]]-F712)/F712</f>
        <v>8.917769866233452E-3</v>
      </c>
    </row>
    <row r="714" spans="1:10" ht="15.75" thickBot="1" x14ac:dyDescent="0.3">
      <c r="A714" s="14">
        <v>41983</v>
      </c>
      <c r="B714" s="15">
        <v>41983</v>
      </c>
      <c r="C714" s="16">
        <v>427035</v>
      </c>
      <c r="D714" s="10">
        <f>PrincipalesVariables[[#This Row],[Base monetaria]]/1000000</f>
        <v>0.427035</v>
      </c>
      <c r="E714" s="10">
        <v>8.5500000000000007</v>
      </c>
      <c r="F714" s="11">
        <v>29212</v>
      </c>
      <c r="H714" s="12">
        <f>(PrincipalesVariables[[#This Row],[Base monetaria]]-C713)/C713</f>
        <v>-1.2231595358100309E-2</v>
      </c>
      <c r="I714" s="12">
        <f>(PrincipalesVariables[[#This Row],[Dólar  mayorista]]-E713)/E713</f>
        <v>-1.1682242990653955E-3</v>
      </c>
      <c r="J714" s="12">
        <f>(PrincipalesVariables[[#This Row],[Reservas internacionales]]-F713)/F713</f>
        <v>7.8796807016341772E-4</v>
      </c>
    </row>
    <row r="715" spans="1:10" ht="15.75" thickBot="1" x14ac:dyDescent="0.3">
      <c r="A715" s="14">
        <v>41984</v>
      </c>
      <c r="B715" s="15">
        <v>41984</v>
      </c>
      <c r="C715" s="16">
        <v>435026</v>
      </c>
      <c r="D715" s="10">
        <f>PrincipalesVariables[[#This Row],[Base monetaria]]/1000000</f>
        <v>0.43502600000000002</v>
      </c>
      <c r="E715" s="10">
        <v>8.5500000000000007</v>
      </c>
      <c r="F715" s="11">
        <v>30185</v>
      </c>
      <c r="H715" s="12">
        <f>(PrincipalesVariables[[#This Row],[Base monetaria]]-C714)/C714</f>
        <v>1.8712751882164227E-2</v>
      </c>
      <c r="I715" s="12">
        <f>(PrincipalesVariables[[#This Row],[Dólar  mayorista]]-E714)/E714</f>
        <v>0</v>
      </c>
      <c r="J715" s="12">
        <f>(PrincipalesVariables[[#This Row],[Reservas internacionales]]-F714)/F714</f>
        <v>3.3308229494728191E-2</v>
      </c>
    </row>
    <row r="716" spans="1:10" ht="15.75" thickBot="1" x14ac:dyDescent="0.3">
      <c r="A716" s="14">
        <v>41985</v>
      </c>
      <c r="B716" s="15">
        <v>41985</v>
      </c>
      <c r="C716" s="16">
        <v>423742</v>
      </c>
      <c r="D716" s="10">
        <f>PrincipalesVariables[[#This Row],[Base monetaria]]/1000000</f>
        <v>0.42374200000000001</v>
      </c>
      <c r="E716" s="10">
        <v>8.5500000000000007</v>
      </c>
      <c r="F716" s="11">
        <v>30269</v>
      </c>
      <c r="H716" s="12">
        <f>(PrincipalesVariables[[#This Row],[Base monetaria]]-C715)/C715</f>
        <v>-2.5938679527200675E-2</v>
      </c>
      <c r="I716" s="12">
        <f>(PrincipalesVariables[[#This Row],[Dólar  mayorista]]-E715)/E715</f>
        <v>0</v>
      </c>
      <c r="J716" s="12">
        <f>(PrincipalesVariables[[#This Row],[Reservas internacionales]]-F715)/F715</f>
        <v>2.7828391585224448E-3</v>
      </c>
    </row>
    <row r="717" spans="1:10" ht="15.75" thickBot="1" x14ac:dyDescent="0.3">
      <c r="A717" s="14">
        <v>41988</v>
      </c>
      <c r="B717" s="15">
        <v>41988</v>
      </c>
      <c r="C717" s="16">
        <v>433948</v>
      </c>
      <c r="D717" s="10">
        <f>PrincipalesVariables[[#This Row],[Base monetaria]]/1000000</f>
        <v>0.433948</v>
      </c>
      <c r="E717" s="10">
        <v>8.5500000000000007</v>
      </c>
      <c r="F717" s="11">
        <v>30271</v>
      </c>
      <c r="H717" s="12">
        <f>(PrincipalesVariables[[#This Row],[Base monetaria]]-C716)/C716</f>
        <v>2.4085410462026422E-2</v>
      </c>
      <c r="I717" s="12">
        <f>(PrincipalesVariables[[#This Row],[Dólar  mayorista]]-E716)/E716</f>
        <v>0</v>
      </c>
      <c r="J717" s="12">
        <f>(PrincipalesVariables[[#This Row],[Reservas internacionales]]-F716)/F716</f>
        <v>6.6074201328091451E-5</v>
      </c>
    </row>
    <row r="718" spans="1:10" ht="15.75" thickBot="1" x14ac:dyDescent="0.3">
      <c r="A718" s="14">
        <v>41989</v>
      </c>
      <c r="B718" s="15">
        <v>41989</v>
      </c>
      <c r="C718" s="16">
        <v>443259</v>
      </c>
      <c r="D718" s="10">
        <f>PrincipalesVariables[[#This Row],[Base monetaria]]/1000000</f>
        <v>0.44325900000000001</v>
      </c>
      <c r="E718" s="10">
        <v>8.5500000000000007</v>
      </c>
      <c r="F718" s="11">
        <v>30442</v>
      </c>
      <c r="H718" s="12">
        <f>(PrincipalesVariables[[#This Row],[Base monetaria]]-C717)/C717</f>
        <v>2.1456487874123166E-2</v>
      </c>
      <c r="I718" s="12">
        <f>(PrincipalesVariables[[#This Row],[Dólar  mayorista]]-E717)/E717</f>
        <v>0</v>
      </c>
      <c r="J718" s="12">
        <f>(PrincipalesVariables[[#This Row],[Reservas internacionales]]-F717)/F717</f>
        <v>5.648970962307159E-3</v>
      </c>
    </row>
    <row r="719" spans="1:10" ht="15.75" thickBot="1" x14ac:dyDescent="0.3">
      <c r="A719" s="14">
        <v>41990</v>
      </c>
      <c r="B719" s="15">
        <v>41990</v>
      </c>
      <c r="C719" s="16">
        <v>447690</v>
      </c>
      <c r="D719" s="10">
        <f>PrincipalesVariables[[#This Row],[Base monetaria]]/1000000</f>
        <v>0.44768999999999998</v>
      </c>
      <c r="E719" s="10">
        <v>8.5500000000000007</v>
      </c>
      <c r="F719" s="11">
        <v>30715</v>
      </c>
      <c r="H719" s="12">
        <f>(PrincipalesVariables[[#This Row],[Base monetaria]]-C718)/C718</f>
        <v>9.9964129323939274E-3</v>
      </c>
      <c r="I719" s="12">
        <f>(PrincipalesVariables[[#This Row],[Dólar  mayorista]]-E718)/E718</f>
        <v>0</v>
      </c>
      <c r="J719" s="12">
        <f>(PrincipalesVariables[[#This Row],[Reservas internacionales]]-F718)/F718</f>
        <v>8.9678733328953427E-3</v>
      </c>
    </row>
    <row r="720" spans="1:10" ht="15.75" thickBot="1" x14ac:dyDescent="0.3">
      <c r="A720" s="14">
        <v>41991</v>
      </c>
      <c r="B720" s="15">
        <v>41991</v>
      </c>
      <c r="C720" s="16">
        <v>450631</v>
      </c>
      <c r="D720" s="10">
        <f>PrincipalesVariables[[#This Row],[Base monetaria]]/1000000</f>
        <v>0.450631</v>
      </c>
      <c r="E720" s="10">
        <v>8.5500000000000007</v>
      </c>
      <c r="F720" s="11">
        <v>30823</v>
      </c>
      <c r="H720" s="12">
        <f>(PrincipalesVariables[[#This Row],[Base monetaria]]-C719)/C719</f>
        <v>6.5692778485112466E-3</v>
      </c>
      <c r="I720" s="12">
        <f>(PrincipalesVariables[[#This Row],[Dólar  mayorista]]-E719)/E719</f>
        <v>0</v>
      </c>
      <c r="J720" s="12">
        <f>(PrincipalesVariables[[#This Row],[Reservas internacionales]]-F719)/F719</f>
        <v>3.5161972977372619E-3</v>
      </c>
    </row>
    <row r="721" spans="1:10" ht="15.75" thickBot="1" x14ac:dyDescent="0.3">
      <c r="A721" s="14">
        <v>41992</v>
      </c>
      <c r="B721" s="15">
        <v>41992</v>
      </c>
      <c r="C721" s="16">
        <v>455507</v>
      </c>
      <c r="D721" s="10">
        <f>PrincipalesVariables[[#This Row],[Base monetaria]]/1000000</f>
        <v>0.455507</v>
      </c>
      <c r="E721" s="10">
        <v>8.5500000000000007</v>
      </c>
      <c r="F721" s="11">
        <v>30855</v>
      </c>
      <c r="H721" s="12">
        <f>(PrincipalesVariables[[#This Row],[Base monetaria]]-C720)/C720</f>
        <v>1.0820382974096323E-2</v>
      </c>
      <c r="I721" s="12">
        <f>(PrincipalesVariables[[#This Row],[Dólar  mayorista]]-E720)/E720</f>
        <v>0</v>
      </c>
      <c r="J721" s="12">
        <f>(PrincipalesVariables[[#This Row],[Reservas internacionales]]-F720)/F720</f>
        <v>1.0381857703662849E-3</v>
      </c>
    </row>
    <row r="722" spans="1:10" ht="15.75" thickBot="1" x14ac:dyDescent="0.3">
      <c r="A722" s="14">
        <v>41995</v>
      </c>
      <c r="B722" s="15">
        <v>41995</v>
      </c>
      <c r="C722" s="16">
        <v>456595</v>
      </c>
      <c r="D722" s="10">
        <f>PrincipalesVariables[[#This Row],[Base monetaria]]/1000000</f>
        <v>0.45659499999999997</v>
      </c>
      <c r="E722" s="10">
        <v>8.5500000000000007</v>
      </c>
      <c r="F722" s="11">
        <v>30930</v>
      </c>
      <c r="H722" s="12">
        <f>(PrincipalesVariables[[#This Row],[Base monetaria]]-C721)/C721</f>
        <v>2.3885472671111531E-3</v>
      </c>
      <c r="I722" s="12">
        <f>(PrincipalesVariables[[#This Row],[Dólar  mayorista]]-E721)/E721</f>
        <v>0</v>
      </c>
      <c r="J722" s="12">
        <f>(PrincipalesVariables[[#This Row],[Reservas internacionales]]-F721)/F721</f>
        <v>2.4307243558580457E-3</v>
      </c>
    </row>
    <row r="723" spans="1:10" ht="15.75" thickBot="1" x14ac:dyDescent="0.3">
      <c r="A723" s="14">
        <v>41996</v>
      </c>
      <c r="B723" s="15">
        <v>41996</v>
      </c>
      <c r="C723" s="16">
        <v>447979</v>
      </c>
      <c r="D723" s="10">
        <f>PrincipalesVariables[[#This Row],[Base monetaria]]/1000000</f>
        <v>0.44797900000000002</v>
      </c>
      <c r="E723" s="10">
        <v>8.5500000000000007</v>
      </c>
      <c r="F723" s="11">
        <v>31076</v>
      </c>
      <c r="H723" s="12">
        <f>(PrincipalesVariables[[#This Row],[Base monetaria]]-C722)/C722</f>
        <v>-1.8870114653029488E-2</v>
      </c>
      <c r="I723" s="12">
        <f>(PrincipalesVariables[[#This Row],[Dólar  mayorista]]-E722)/E722</f>
        <v>0</v>
      </c>
      <c r="J723" s="12">
        <f>(PrincipalesVariables[[#This Row],[Reservas internacionales]]-F722)/F722</f>
        <v>4.7203362431296478E-3</v>
      </c>
    </row>
    <row r="724" spans="1:10" ht="15.75" thickBot="1" x14ac:dyDescent="0.3">
      <c r="A724" s="14">
        <v>41997</v>
      </c>
      <c r="B724" s="15">
        <v>41997</v>
      </c>
      <c r="C724" s="16">
        <v>447363</v>
      </c>
      <c r="D724" s="10">
        <f>PrincipalesVariables[[#This Row],[Base monetaria]]/1000000</f>
        <v>0.44736300000000001</v>
      </c>
      <c r="E724" s="10">
        <v>8.5500000000000007</v>
      </c>
      <c r="F724" s="11">
        <v>31116</v>
      </c>
      <c r="H724" s="12">
        <f>(PrincipalesVariables[[#This Row],[Base monetaria]]-C723)/C723</f>
        <v>-1.3750644561463818E-3</v>
      </c>
      <c r="I724" s="12">
        <f>(PrincipalesVariables[[#This Row],[Dólar  mayorista]]-E723)/E723</f>
        <v>0</v>
      </c>
      <c r="J724" s="12">
        <f>(PrincipalesVariables[[#This Row],[Reservas internacionales]]-F723)/F723</f>
        <v>1.2871669455528382E-3</v>
      </c>
    </row>
    <row r="725" spans="1:10" ht="15.75" thickBot="1" x14ac:dyDescent="0.3">
      <c r="A725" s="14">
        <v>42002</v>
      </c>
      <c r="B725" s="15">
        <v>42002</v>
      </c>
      <c r="C725" s="16">
        <v>476590</v>
      </c>
      <c r="D725" s="10">
        <f>PrincipalesVariables[[#This Row],[Base monetaria]]/1000000</f>
        <v>0.47659000000000001</v>
      </c>
      <c r="E725" s="10">
        <v>8.5500000000000007</v>
      </c>
      <c r="F725" s="11">
        <v>31159</v>
      </c>
      <c r="H725" s="12">
        <f>(PrincipalesVariables[[#This Row],[Base monetaria]]-C724)/C724</f>
        <v>6.533173284335092E-2</v>
      </c>
      <c r="I725" s="12">
        <f>(PrincipalesVariables[[#This Row],[Dólar  mayorista]]-E724)/E724</f>
        <v>0</v>
      </c>
      <c r="J725" s="12">
        <f>(PrincipalesVariables[[#This Row],[Reservas internacionales]]-F724)/F724</f>
        <v>1.3819256973904102E-3</v>
      </c>
    </row>
    <row r="726" spans="1:10" ht="15.75" thickBot="1" x14ac:dyDescent="0.3">
      <c r="A726" s="14">
        <v>42003</v>
      </c>
      <c r="B726" s="15">
        <v>42003</v>
      </c>
      <c r="C726" s="16">
        <v>462564</v>
      </c>
      <c r="D726" s="10">
        <f>PrincipalesVariables[[#This Row],[Base monetaria]]/1000000</f>
        <v>0.46256399999999998</v>
      </c>
      <c r="E726" s="10">
        <v>8.5500000000000007</v>
      </c>
      <c r="F726" s="11">
        <v>31407</v>
      </c>
      <c r="H726" s="12">
        <f>(PrincipalesVariables[[#This Row],[Base monetaria]]-C725)/C725</f>
        <v>-2.9429908306930486E-2</v>
      </c>
      <c r="I726" s="12">
        <f>(PrincipalesVariables[[#This Row],[Dólar  mayorista]]-E725)/E725</f>
        <v>0</v>
      </c>
      <c r="J726" s="12">
        <f>(PrincipalesVariables[[#This Row],[Reservas internacionales]]-F725)/F725</f>
        <v>7.9591771237844597E-3</v>
      </c>
    </row>
    <row r="727" spans="1:10" ht="15.75" thickBot="1" x14ac:dyDescent="0.3">
      <c r="A727" s="14">
        <v>42006</v>
      </c>
      <c r="B727" s="15">
        <v>42006</v>
      </c>
      <c r="C727" s="16">
        <v>465862</v>
      </c>
      <c r="D727" s="10">
        <f>PrincipalesVariables[[#This Row],[Base monetaria]]/1000000</f>
        <v>0.465862</v>
      </c>
      <c r="E727" s="10">
        <v>8.5500000000000007</v>
      </c>
      <c r="F727" s="11">
        <v>31337</v>
      </c>
      <c r="H727" s="12">
        <f>(PrincipalesVariables[[#This Row],[Base monetaria]]-C726)/C726</f>
        <v>7.1298241973002654E-3</v>
      </c>
      <c r="I727" s="12">
        <f>(PrincipalesVariables[[#This Row],[Dólar  mayorista]]-E726)/E726</f>
        <v>0</v>
      </c>
      <c r="J727" s="12">
        <f>(PrincipalesVariables[[#This Row],[Reservas internacionales]]-F726)/F726</f>
        <v>-2.228802496258796E-3</v>
      </c>
    </row>
    <row r="728" spans="1:10" ht="15.75" thickBot="1" x14ac:dyDescent="0.3">
      <c r="A728" s="14">
        <v>42009</v>
      </c>
      <c r="B728" s="15">
        <v>42009</v>
      </c>
      <c r="C728" s="16">
        <v>464979</v>
      </c>
      <c r="D728" s="10">
        <f>PrincipalesVariables[[#This Row],[Base monetaria]]/1000000</f>
        <v>0.46497899999999998</v>
      </c>
      <c r="E728" s="10">
        <v>8.56</v>
      </c>
      <c r="F728" s="11">
        <v>31313</v>
      </c>
      <c r="H728" s="12">
        <f>(PrincipalesVariables[[#This Row],[Base monetaria]]-C727)/C727</f>
        <v>-1.8954110874035658E-3</v>
      </c>
      <c r="I728" s="12">
        <f>(PrincipalesVariables[[#This Row],[Dólar  mayorista]]-E727)/E727</f>
        <v>1.1695906432748287E-3</v>
      </c>
      <c r="J728" s="12">
        <f>(PrincipalesVariables[[#This Row],[Reservas internacionales]]-F727)/F727</f>
        <v>-7.6586782397804513E-4</v>
      </c>
    </row>
    <row r="729" spans="1:10" ht="15.75" thickBot="1" x14ac:dyDescent="0.3">
      <c r="A729" s="14">
        <v>42010</v>
      </c>
      <c r="B729" s="15">
        <v>42010</v>
      </c>
      <c r="C729" s="16">
        <v>465009</v>
      </c>
      <c r="D729" s="10">
        <f>PrincipalesVariables[[#This Row],[Base monetaria]]/1000000</f>
        <v>0.46500900000000001</v>
      </c>
      <c r="E729" s="10">
        <v>8.57</v>
      </c>
      <c r="F729" s="11">
        <v>31315</v>
      </c>
      <c r="H729" s="12">
        <f>(PrincipalesVariables[[#This Row],[Base monetaria]]-C728)/C728</f>
        <v>6.4519042795481091E-5</v>
      </c>
      <c r="I729" s="12">
        <f>(PrincipalesVariables[[#This Row],[Dólar  mayorista]]-E728)/E728</f>
        <v>1.1682242990653955E-3</v>
      </c>
      <c r="J729" s="12">
        <f>(PrincipalesVariables[[#This Row],[Reservas internacionales]]-F728)/F728</f>
        <v>6.387123558905247E-5</v>
      </c>
    </row>
    <row r="730" spans="1:10" ht="15.75" thickBot="1" x14ac:dyDescent="0.3">
      <c r="A730" s="14">
        <v>42011</v>
      </c>
      <c r="B730" s="15">
        <v>42011</v>
      </c>
      <c r="C730" s="16">
        <v>458744</v>
      </c>
      <c r="D730" s="10">
        <f>PrincipalesVariables[[#This Row],[Base monetaria]]/1000000</f>
        <v>0.45874399999999999</v>
      </c>
      <c r="E730" s="10">
        <v>8.58</v>
      </c>
      <c r="F730" s="11">
        <v>31248</v>
      </c>
      <c r="H730" s="12">
        <f>(PrincipalesVariables[[#This Row],[Base monetaria]]-C729)/C729</f>
        <v>-1.347285751458574E-2</v>
      </c>
      <c r="I730" s="12">
        <f>(PrincipalesVariables[[#This Row],[Dólar  mayorista]]-E729)/E729</f>
        <v>1.1668611435238958E-3</v>
      </c>
      <c r="J730" s="12">
        <f>(PrincipalesVariables[[#This Row],[Reservas internacionales]]-F729)/F729</f>
        <v>-2.1395497365479803E-3</v>
      </c>
    </row>
    <row r="731" spans="1:10" ht="15.75" thickBot="1" x14ac:dyDescent="0.3">
      <c r="A731" s="14">
        <v>42012</v>
      </c>
      <c r="B731" s="15">
        <v>42012</v>
      </c>
      <c r="C731" s="16">
        <v>460792</v>
      </c>
      <c r="D731" s="10">
        <f>PrincipalesVariables[[#This Row],[Base monetaria]]/1000000</f>
        <v>0.46079199999999998</v>
      </c>
      <c r="E731" s="10">
        <v>8.59</v>
      </c>
      <c r="F731" s="11">
        <v>31073</v>
      </c>
      <c r="H731" s="12">
        <f>(PrincipalesVariables[[#This Row],[Base monetaria]]-C730)/C730</f>
        <v>4.4643635666079557E-3</v>
      </c>
      <c r="I731" s="12">
        <f>(PrincipalesVariables[[#This Row],[Dólar  mayorista]]-E730)/E730</f>
        <v>1.1655011655011406E-3</v>
      </c>
      <c r="J731" s="12">
        <f>(PrincipalesVariables[[#This Row],[Reservas internacionales]]-F730)/F730</f>
        <v>-5.600358422939068E-3</v>
      </c>
    </row>
    <row r="732" spans="1:10" ht="15.75" thickBot="1" x14ac:dyDescent="0.3">
      <c r="A732" s="14">
        <v>42013</v>
      </c>
      <c r="B732" s="15">
        <v>42013</v>
      </c>
      <c r="C732" s="16">
        <v>461756</v>
      </c>
      <c r="D732" s="10">
        <f>PrincipalesVariables[[#This Row],[Base monetaria]]/1000000</f>
        <v>0.461756</v>
      </c>
      <c r="E732" s="10">
        <v>8.59</v>
      </c>
      <c r="F732" s="11">
        <v>31076</v>
      </c>
      <c r="H732" s="12">
        <f>(PrincipalesVariables[[#This Row],[Base monetaria]]-C731)/C731</f>
        <v>2.0920502092050207E-3</v>
      </c>
      <c r="I732" s="12">
        <f>(PrincipalesVariables[[#This Row],[Dólar  mayorista]]-E731)/E731</f>
        <v>0</v>
      </c>
      <c r="J732" s="12">
        <f>(PrincipalesVariables[[#This Row],[Reservas internacionales]]-F731)/F731</f>
        <v>9.6546841309175165E-5</v>
      </c>
    </row>
    <row r="733" spans="1:10" ht="15.75" thickBot="1" x14ac:dyDescent="0.3">
      <c r="A733" s="14">
        <v>42016</v>
      </c>
      <c r="B733" s="15">
        <v>42016</v>
      </c>
      <c r="C733" s="16">
        <v>462993</v>
      </c>
      <c r="D733" s="10">
        <f>PrincipalesVariables[[#This Row],[Base monetaria]]/1000000</f>
        <v>0.46299299999999999</v>
      </c>
      <c r="E733" s="10">
        <v>8.59</v>
      </c>
      <c r="F733" s="11">
        <v>31103</v>
      </c>
      <c r="H733" s="12">
        <f>(PrincipalesVariables[[#This Row],[Base monetaria]]-C732)/C732</f>
        <v>2.6789040099099957E-3</v>
      </c>
      <c r="I733" s="12">
        <f>(PrincipalesVariables[[#This Row],[Dólar  mayorista]]-E732)/E732</f>
        <v>0</v>
      </c>
      <c r="J733" s="12">
        <f>(PrincipalesVariables[[#This Row],[Reservas internacionales]]-F732)/F732</f>
        <v>8.6883768824816583E-4</v>
      </c>
    </row>
    <row r="734" spans="1:10" ht="15.75" thickBot="1" x14ac:dyDescent="0.3">
      <c r="A734" s="14">
        <v>42017</v>
      </c>
      <c r="B734" s="15">
        <v>42017</v>
      </c>
      <c r="C734" s="16">
        <v>464814</v>
      </c>
      <c r="D734" s="10">
        <f>PrincipalesVariables[[#This Row],[Base monetaria]]/1000000</f>
        <v>0.464814</v>
      </c>
      <c r="E734" s="10">
        <v>8.59</v>
      </c>
      <c r="F734" s="11">
        <v>31281</v>
      </c>
      <c r="H734" s="12">
        <f>(PrincipalesVariables[[#This Row],[Base monetaria]]-C733)/C733</f>
        <v>3.9331048201592684E-3</v>
      </c>
      <c r="I734" s="12">
        <f>(PrincipalesVariables[[#This Row],[Dólar  mayorista]]-E733)/E733</f>
        <v>0</v>
      </c>
      <c r="J734" s="12">
        <f>(PrincipalesVariables[[#This Row],[Reservas internacionales]]-F733)/F733</f>
        <v>5.7229206185898463E-3</v>
      </c>
    </row>
    <row r="735" spans="1:10" ht="15.75" thickBot="1" x14ac:dyDescent="0.3">
      <c r="A735" s="14">
        <v>42018</v>
      </c>
      <c r="B735" s="15">
        <v>42018</v>
      </c>
      <c r="C735" s="16">
        <v>455111</v>
      </c>
      <c r="D735" s="10">
        <f>PrincipalesVariables[[#This Row],[Base monetaria]]/1000000</f>
        <v>0.45511099999999999</v>
      </c>
      <c r="E735" s="10">
        <v>8.6</v>
      </c>
      <c r="F735" s="11">
        <v>31298</v>
      </c>
      <c r="H735" s="12">
        <f>(PrincipalesVariables[[#This Row],[Base monetaria]]-C734)/C734</f>
        <v>-2.0875016673336001E-2</v>
      </c>
      <c r="I735" s="12">
        <f>(PrincipalesVariables[[#This Row],[Dólar  mayorista]]-E734)/E734</f>
        <v>1.1641443538998588E-3</v>
      </c>
      <c r="J735" s="12">
        <f>(PrincipalesVariables[[#This Row],[Reservas internacionales]]-F734)/F734</f>
        <v>5.4346088680029406E-4</v>
      </c>
    </row>
    <row r="736" spans="1:10" ht="15.75" thickBot="1" x14ac:dyDescent="0.3">
      <c r="A736" s="14">
        <v>42019</v>
      </c>
      <c r="B736" s="15">
        <v>42019</v>
      </c>
      <c r="C736" s="16">
        <v>455138</v>
      </c>
      <c r="D736" s="10">
        <f>PrincipalesVariables[[#This Row],[Base monetaria]]/1000000</f>
        <v>0.45513799999999999</v>
      </c>
      <c r="E736" s="10">
        <v>8.6</v>
      </c>
      <c r="F736" s="11">
        <v>31318</v>
      </c>
      <c r="H736" s="12">
        <f>(PrincipalesVariables[[#This Row],[Base monetaria]]-C735)/C735</f>
        <v>5.9326186358932213E-5</v>
      </c>
      <c r="I736" s="12">
        <f>(PrincipalesVariables[[#This Row],[Dólar  mayorista]]-E735)/E735</f>
        <v>0</v>
      </c>
      <c r="J736" s="12">
        <f>(PrincipalesVariables[[#This Row],[Reservas internacionales]]-F735)/F735</f>
        <v>6.3901846763371462E-4</v>
      </c>
    </row>
    <row r="737" spans="1:10" ht="15.75" thickBot="1" x14ac:dyDescent="0.3">
      <c r="A737" s="14">
        <v>42020</v>
      </c>
      <c r="B737" s="15">
        <v>42020</v>
      </c>
      <c r="C737" s="16">
        <v>452795</v>
      </c>
      <c r="D737" s="10">
        <f>PrincipalesVariables[[#This Row],[Base monetaria]]/1000000</f>
        <v>0.452795</v>
      </c>
      <c r="E737" s="10">
        <v>8.6</v>
      </c>
      <c r="F737" s="11">
        <v>31311</v>
      </c>
      <c r="H737" s="12">
        <f>(PrincipalesVariables[[#This Row],[Base monetaria]]-C736)/C736</f>
        <v>-5.1478892116237273E-3</v>
      </c>
      <c r="I737" s="12">
        <f>(PrincipalesVariables[[#This Row],[Dólar  mayorista]]-E736)/E736</f>
        <v>0</v>
      </c>
      <c r="J737" s="12">
        <f>(PrincipalesVariables[[#This Row],[Reservas internacionales]]-F736)/F736</f>
        <v>-2.2351363433169424E-4</v>
      </c>
    </row>
    <row r="738" spans="1:10" ht="15.75" thickBot="1" x14ac:dyDescent="0.3">
      <c r="A738" s="14">
        <v>42023</v>
      </c>
      <c r="B738" s="15">
        <v>42023</v>
      </c>
      <c r="C738" s="16">
        <v>452787</v>
      </c>
      <c r="D738" s="10">
        <f>PrincipalesVariables[[#This Row],[Base monetaria]]/1000000</f>
        <v>0.452787</v>
      </c>
      <c r="E738" s="10">
        <v>8.6</v>
      </c>
      <c r="F738" s="11">
        <v>31315</v>
      </c>
      <c r="H738" s="12">
        <f>(PrincipalesVariables[[#This Row],[Base monetaria]]-C737)/C737</f>
        <v>-1.7668039620578849E-5</v>
      </c>
      <c r="I738" s="12">
        <f>(PrincipalesVariables[[#This Row],[Dólar  mayorista]]-E737)/E737</f>
        <v>0</v>
      </c>
      <c r="J738" s="12">
        <f>(PrincipalesVariables[[#This Row],[Reservas internacionales]]-F737)/F737</f>
        <v>1.2775063076873942E-4</v>
      </c>
    </row>
    <row r="739" spans="1:10" ht="15.75" thickBot="1" x14ac:dyDescent="0.3">
      <c r="A739" s="14">
        <v>42024</v>
      </c>
      <c r="B739" s="15">
        <v>42024</v>
      </c>
      <c r="C739" s="16">
        <v>454622</v>
      </c>
      <c r="D739" s="10">
        <f>PrincipalesVariables[[#This Row],[Base monetaria]]/1000000</f>
        <v>0.45462200000000003</v>
      </c>
      <c r="E739" s="10">
        <v>8.61</v>
      </c>
      <c r="F739" s="11">
        <v>31276</v>
      </c>
      <c r="H739" s="12">
        <f>(PrincipalesVariables[[#This Row],[Base monetaria]]-C738)/C738</f>
        <v>4.0526781908491192E-3</v>
      </c>
      <c r="I739" s="12">
        <f>(PrincipalesVariables[[#This Row],[Dólar  mayorista]]-E738)/E738</f>
        <v>1.1627906976743939E-3</v>
      </c>
      <c r="J739" s="12">
        <f>(PrincipalesVariables[[#This Row],[Reservas internacionales]]-F738)/F738</f>
        <v>-1.2454095481398691E-3</v>
      </c>
    </row>
    <row r="740" spans="1:10" ht="15.75" thickBot="1" x14ac:dyDescent="0.3">
      <c r="A740" s="14">
        <v>42025</v>
      </c>
      <c r="B740" s="15">
        <v>42025</v>
      </c>
      <c r="C740" s="16">
        <v>442811</v>
      </c>
      <c r="D740" s="10">
        <f>PrincipalesVariables[[#This Row],[Base monetaria]]/1000000</f>
        <v>0.44281100000000001</v>
      </c>
      <c r="E740" s="10">
        <v>8.61</v>
      </c>
      <c r="F740" s="11">
        <v>31262</v>
      </c>
      <c r="H740" s="12">
        <f>(PrincipalesVariables[[#This Row],[Base monetaria]]-C739)/C739</f>
        <v>-2.5979824997470424E-2</v>
      </c>
      <c r="I740" s="12">
        <f>(PrincipalesVariables[[#This Row],[Dólar  mayorista]]-E739)/E739</f>
        <v>0</v>
      </c>
      <c r="J740" s="12">
        <f>(PrincipalesVariables[[#This Row],[Reservas internacionales]]-F739)/F739</f>
        <v>-4.4762757385854968E-4</v>
      </c>
    </row>
    <row r="741" spans="1:10" ht="15.75" thickBot="1" x14ac:dyDescent="0.3">
      <c r="A741" s="14">
        <v>42026</v>
      </c>
      <c r="B741" s="15">
        <v>42026</v>
      </c>
      <c r="C741" s="16">
        <v>442490</v>
      </c>
      <c r="D741" s="10">
        <f>PrincipalesVariables[[#This Row],[Base monetaria]]/1000000</f>
        <v>0.44248999999999999</v>
      </c>
      <c r="E741" s="10">
        <v>8.6199999999999992</v>
      </c>
      <c r="F741" s="11">
        <v>31265</v>
      </c>
      <c r="H741" s="12">
        <f>(PrincipalesVariables[[#This Row],[Base monetaria]]-C740)/C740</f>
        <v>-7.2491424106447221E-4</v>
      </c>
      <c r="I741" s="12">
        <f>(PrincipalesVariables[[#This Row],[Dólar  mayorista]]-E740)/E740</f>
        <v>1.161440185830405E-3</v>
      </c>
      <c r="J741" s="12">
        <f>(PrincipalesVariables[[#This Row],[Reservas internacionales]]-F740)/F740</f>
        <v>9.5963150150342263E-5</v>
      </c>
    </row>
    <row r="742" spans="1:10" ht="15.75" thickBot="1" x14ac:dyDescent="0.3">
      <c r="A742" s="14">
        <v>42027</v>
      </c>
      <c r="B742" s="15">
        <v>42027</v>
      </c>
      <c r="C742" s="16">
        <v>444315</v>
      </c>
      <c r="D742" s="10">
        <f>PrincipalesVariables[[#This Row],[Base monetaria]]/1000000</f>
        <v>0.44431500000000002</v>
      </c>
      <c r="E742" s="10">
        <v>8.6300000000000008</v>
      </c>
      <c r="F742" s="11">
        <v>31229</v>
      </c>
      <c r="H742" s="12">
        <f>(PrincipalesVariables[[#This Row],[Base monetaria]]-C741)/C741</f>
        <v>4.1243869917964244E-3</v>
      </c>
      <c r="I742" s="12">
        <f>(PrincipalesVariables[[#This Row],[Dólar  mayorista]]-E741)/E741</f>
        <v>1.1600928074247754E-3</v>
      </c>
      <c r="J742" s="12">
        <f>(PrincipalesVariables[[#This Row],[Reservas internacionales]]-F741)/F741</f>
        <v>-1.1514473052934592E-3</v>
      </c>
    </row>
    <row r="743" spans="1:10" ht="15.75" thickBot="1" x14ac:dyDescent="0.3">
      <c r="A743" s="14">
        <v>42030</v>
      </c>
      <c r="B743" s="15">
        <v>42030</v>
      </c>
      <c r="C743" s="16">
        <v>438132</v>
      </c>
      <c r="D743" s="10">
        <f>PrincipalesVariables[[#This Row],[Base monetaria]]/1000000</f>
        <v>0.43813200000000002</v>
      </c>
      <c r="E743" s="10">
        <v>8.6300000000000008</v>
      </c>
      <c r="F743" s="11">
        <v>31287</v>
      </c>
      <c r="H743" s="12">
        <f>(PrincipalesVariables[[#This Row],[Base monetaria]]-C742)/C742</f>
        <v>-1.3915802977617232E-2</v>
      </c>
      <c r="I743" s="12">
        <f>(PrincipalesVariables[[#This Row],[Dólar  mayorista]]-E742)/E742</f>
        <v>0</v>
      </c>
      <c r="J743" s="12">
        <f>(PrincipalesVariables[[#This Row],[Reservas internacionales]]-F742)/F742</f>
        <v>1.8572480707035129E-3</v>
      </c>
    </row>
    <row r="744" spans="1:10" ht="15.75" thickBot="1" x14ac:dyDescent="0.3">
      <c r="A744" s="14">
        <v>42031</v>
      </c>
      <c r="B744" s="15">
        <v>42031</v>
      </c>
      <c r="C744" s="16">
        <v>439588</v>
      </c>
      <c r="D744" s="10">
        <f>PrincipalesVariables[[#This Row],[Base monetaria]]/1000000</f>
        <v>0.43958799999999998</v>
      </c>
      <c r="E744" s="10">
        <v>8.6300000000000008</v>
      </c>
      <c r="F744" s="11">
        <v>31300</v>
      </c>
      <c r="H744" s="12">
        <f>(PrincipalesVariables[[#This Row],[Base monetaria]]-C743)/C743</f>
        <v>3.3231994010937344E-3</v>
      </c>
      <c r="I744" s="12">
        <f>(PrincipalesVariables[[#This Row],[Dólar  mayorista]]-E743)/E743</f>
        <v>0</v>
      </c>
      <c r="J744" s="12">
        <f>(PrincipalesVariables[[#This Row],[Reservas internacionales]]-F743)/F743</f>
        <v>4.1550803848243678E-4</v>
      </c>
    </row>
    <row r="745" spans="1:10" ht="15.75" thickBot="1" x14ac:dyDescent="0.3">
      <c r="A745" s="14">
        <v>42032</v>
      </c>
      <c r="B745" s="15">
        <v>42032</v>
      </c>
      <c r="C745" s="16">
        <v>437772</v>
      </c>
      <c r="D745" s="10">
        <f>PrincipalesVariables[[#This Row],[Base monetaria]]/1000000</f>
        <v>0.43777199999999999</v>
      </c>
      <c r="E745" s="10">
        <v>8.6300000000000008</v>
      </c>
      <c r="F745" s="11">
        <v>31304</v>
      </c>
      <c r="H745" s="12">
        <f>(PrincipalesVariables[[#This Row],[Base monetaria]]-C744)/C744</f>
        <v>-4.1311409774607132E-3</v>
      </c>
      <c r="I745" s="12">
        <f>(PrincipalesVariables[[#This Row],[Dólar  mayorista]]-E744)/E744</f>
        <v>0</v>
      </c>
      <c r="J745" s="12">
        <f>(PrincipalesVariables[[#This Row],[Reservas internacionales]]-F744)/F744</f>
        <v>1.2779552715654952E-4</v>
      </c>
    </row>
    <row r="746" spans="1:10" ht="15.75" thickBot="1" x14ac:dyDescent="0.3">
      <c r="A746" s="14">
        <v>42033</v>
      </c>
      <c r="B746" s="15">
        <v>42033</v>
      </c>
      <c r="C746" s="16">
        <v>444735</v>
      </c>
      <c r="D746" s="10">
        <f>PrincipalesVariables[[#This Row],[Base monetaria]]/1000000</f>
        <v>0.44473499999999999</v>
      </c>
      <c r="E746" s="10">
        <v>8.6300000000000008</v>
      </c>
      <c r="F746" s="11">
        <v>31350</v>
      </c>
      <c r="H746" s="12">
        <f>(PrincipalesVariables[[#This Row],[Base monetaria]]-C745)/C745</f>
        <v>1.590553987006935E-2</v>
      </c>
      <c r="I746" s="12">
        <f>(PrincipalesVariables[[#This Row],[Dólar  mayorista]]-E745)/E745</f>
        <v>0</v>
      </c>
      <c r="J746" s="12">
        <f>(PrincipalesVariables[[#This Row],[Reservas internacionales]]-F745)/F745</f>
        <v>1.4694607717863533E-3</v>
      </c>
    </row>
    <row r="747" spans="1:10" ht="15.75" thickBot="1" x14ac:dyDescent="0.3">
      <c r="A747" s="14">
        <v>42034</v>
      </c>
      <c r="B747" s="15">
        <v>42034</v>
      </c>
      <c r="C747" s="16">
        <v>447995</v>
      </c>
      <c r="D747" s="10">
        <f>PrincipalesVariables[[#This Row],[Base monetaria]]/1000000</f>
        <v>0.44799499999999998</v>
      </c>
      <c r="E747" s="10">
        <v>8.64</v>
      </c>
      <c r="F747" s="11">
        <v>31452</v>
      </c>
      <c r="H747" s="12">
        <f>(PrincipalesVariables[[#This Row],[Base monetaria]]-C746)/C746</f>
        <v>7.3302078766006723E-3</v>
      </c>
      <c r="I747" s="12">
        <f>(PrincipalesVariables[[#This Row],[Dólar  mayorista]]-E746)/E746</f>
        <v>1.1587485515642858E-3</v>
      </c>
      <c r="J747" s="12">
        <f>(PrincipalesVariables[[#This Row],[Reservas internacionales]]-F746)/F746</f>
        <v>3.2535885167464117E-3</v>
      </c>
    </row>
    <row r="748" spans="1:10" ht="15.75" thickBot="1" x14ac:dyDescent="0.3">
      <c r="A748" s="14">
        <v>42037</v>
      </c>
      <c r="B748" s="15">
        <v>42037</v>
      </c>
      <c r="C748" s="16">
        <v>449385</v>
      </c>
      <c r="D748" s="10">
        <f>PrincipalesVariables[[#This Row],[Base monetaria]]/1000000</f>
        <v>0.44938499999999998</v>
      </c>
      <c r="E748" s="10">
        <v>8.65</v>
      </c>
      <c r="F748" s="11">
        <v>31403</v>
      </c>
      <c r="H748" s="12">
        <f>(PrincipalesVariables[[#This Row],[Base monetaria]]-C747)/C747</f>
        <v>3.1027131999241063E-3</v>
      </c>
      <c r="I748" s="12">
        <f>(PrincipalesVariables[[#This Row],[Dólar  mayorista]]-E747)/E747</f>
        <v>1.1574074074073826E-3</v>
      </c>
      <c r="J748" s="12">
        <f>(PrincipalesVariables[[#This Row],[Reservas internacionales]]-F747)/F747</f>
        <v>-1.5579295434312603E-3</v>
      </c>
    </row>
    <row r="749" spans="1:10" ht="15.75" thickBot="1" x14ac:dyDescent="0.3">
      <c r="A749" s="14">
        <v>42038</v>
      </c>
      <c r="B749" s="15">
        <v>42038</v>
      </c>
      <c r="C749" s="16">
        <v>445947</v>
      </c>
      <c r="D749" s="10">
        <f>PrincipalesVariables[[#This Row],[Base monetaria]]/1000000</f>
        <v>0.44594699999999998</v>
      </c>
      <c r="E749" s="10">
        <v>8.66</v>
      </c>
      <c r="F749" s="11">
        <v>31240</v>
      </c>
      <c r="H749" s="12">
        <f>(PrincipalesVariables[[#This Row],[Base monetaria]]-C748)/C748</f>
        <v>-7.6504556226843351E-3</v>
      </c>
      <c r="I749" s="12">
        <f>(PrincipalesVariables[[#This Row],[Dólar  mayorista]]-E748)/E748</f>
        <v>1.1560693641618251E-3</v>
      </c>
      <c r="J749" s="12">
        <f>(PrincipalesVariables[[#This Row],[Reservas internacionales]]-F748)/F748</f>
        <v>-5.1905868866031907E-3</v>
      </c>
    </row>
    <row r="750" spans="1:10" ht="15.75" thickBot="1" x14ac:dyDescent="0.3">
      <c r="A750" s="14">
        <v>42039</v>
      </c>
      <c r="B750" s="15">
        <v>42039</v>
      </c>
      <c r="C750" s="16">
        <v>449754</v>
      </c>
      <c r="D750" s="10">
        <f>PrincipalesVariables[[#This Row],[Base monetaria]]/1000000</f>
        <v>0.44975399999999999</v>
      </c>
      <c r="E750" s="10">
        <v>8.66</v>
      </c>
      <c r="F750" s="11">
        <v>31239</v>
      </c>
      <c r="H750" s="12">
        <f>(PrincipalesVariables[[#This Row],[Base monetaria]]-C749)/C749</f>
        <v>8.5368889128080248E-3</v>
      </c>
      <c r="I750" s="12">
        <f>(PrincipalesVariables[[#This Row],[Dólar  mayorista]]-E749)/E749</f>
        <v>0</v>
      </c>
      <c r="J750" s="12">
        <f>(PrincipalesVariables[[#This Row],[Reservas internacionales]]-F749)/F749</f>
        <v>-3.2010243277848909E-5</v>
      </c>
    </row>
    <row r="751" spans="1:10" ht="15.75" thickBot="1" x14ac:dyDescent="0.3">
      <c r="A751" s="14">
        <v>42040</v>
      </c>
      <c r="B751" s="15">
        <v>42040</v>
      </c>
      <c r="C751" s="16">
        <v>451959</v>
      </c>
      <c r="D751" s="10">
        <f>PrincipalesVariables[[#This Row],[Base monetaria]]/1000000</f>
        <v>0.451959</v>
      </c>
      <c r="E751" s="10">
        <v>8.66</v>
      </c>
      <c r="F751" s="11">
        <v>31269</v>
      </c>
      <c r="H751" s="12">
        <f>(PrincipalesVariables[[#This Row],[Base monetaria]]-C750)/C750</f>
        <v>4.9026801318053873E-3</v>
      </c>
      <c r="I751" s="12">
        <f>(PrincipalesVariables[[#This Row],[Dólar  mayorista]]-E750)/E750</f>
        <v>0</v>
      </c>
      <c r="J751" s="12">
        <f>(PrincipalesVariables[[#This Row],[Reservas internacionales]]-F750)/F750</f>
        <v>9.6033803898972435E-4</v>
      </c>
    </row>
    <row r="752" spans="1:10" ht="15.75" thickBot="1" x14ac:dyDescent="0.3">
      <c r="A752" s="14">
        <v>42041</v>
      </c>
      <c r="B752" s="15">
        <v>42041</v>
      </c>
      <c r="C752" s="16">
        <v>452703</v>
      </c>
      <c r="D752" s="10">
        <f>PrincipalesVariables[[#This Row],[Base monetaria]]/1000000</f>
        <v>0.45270300000000002</v>
      </c>
      <c r="E752" s="10">
        <v>8.66</v>
      </c>
      <c r="F752" s="11">
        <v>31284</v>
      </c>
      <c r="H752" s="12">
        <f>(PrincipalesVariables[[#This Row],[Base monetaria]]-C751)/C751</f>
        <v>1.6461670195747845E-3</v>
      </c>
      <c r="I752" s="12">
        <f>(PrincipalesVariables[[#This Row],[Dólar  mayorista]]-E751)/E751</f>
        <v>0</v>
      </c>
      <c r="J752" s="12">
        <f>(PrincipalesVariables[[#This Row],[Reservas internacionales]]-F751)/F751</f>
        <v>4.7970833733090282E-4</v>
      </c>
    </row>
    <row r="753" spans="1:10" ht="15.75" thickBot="1" x14ac:dyDescent="0.3">
      <c r="A753" s="14">
        <v>42044</v>
      </c>
      <c r="B753" s="15">
        <v>42044</v>
      </c>
      <c r="C753" s="16">
        <v>454037</v>
      </c>
      <c r="D753" s="10">
        <f>PrincipalesVariables[[#This Row],[Base monetaria]]/1000000</f>
        <v>0.45403700000000002</v>
      </c>
      <c r="E753" s="10">
        <v>8.66</v>
      </c>
      <c r="F753" s="11">
        <v>31291</v>
      </c>
      <c r="H753" s="12">
        <f>(PrincipalesVariables[[#This Row],[Base monetaria]]-C752)/C752</f>
        <v>2.9467443334813331E-3</v>
      </c>
      <c r="I753" s="12">
        <f>(PrincipalesVariables[[#This Row],[Dólar  mayorista]]-E752)/E752</f>
        <v>0</v>
      </c>
      <c r="J753" s="12">
        <f>(PrincipalesVariables[[#This Row],[Reservas internacionales]]-F752)/F752</f>
        <v>2.2375655287047692E-4</v>
      </c>
    </row>
    <row r="754" spans="1:10" ht="15.75" thickBot="1" x14ac:dyDescent="0.3">
      <c r="A754" s="14">
        <v>42045</v>
      </c>
      <c r="B754" s="15">
        <v>42045</v>
      </c>
      <c r="C754" s="16">
        <v>455888</v>
      </c>
      <c r="D754" s="10">
        <f>PrincipalesVariables[[#This Row],[Base monetaria]]/1000000</f>
        <v>0.45588800000000002</v>
      </c>
      <c r="E754" s="10">
        <v>8.67</v>
      </c>
      <c r="F754" s="11">
        <v>31315</v>
      </c>
      <c r="H754" s="12">
        <f>(PrincipalesVariables[[#This Row],[Base monetaria]]-C753)/C753</f>
        <v>4.0767602640313459E-3</v>
      </c>
      <c r="I754" s="12">
        <f>(PrincipalesVariables[[#This Row],[Dólar  mayorista]]-E753)/E753</f>
        <v>1.1547344110854256E-3</v>
      </c>
      <c r="J754" s="12">
        <f>(PrincipalesVariables[[#This Row],[Reservas internacionales]]-F753)/F753</f>
        <v>7.6699370426001087E-4</v>
      </c>
    </row>
    <row r="755" spans="1:10" ht="15.75" thickBot="1" x14ac:dyDescent="0.3">
      <c r="A755" s="14">
        <v>42046</v>
      </c>
      <c r="B755" s="15">
        <v>42046</v>
      </c>
      <c r="C755" s="16">
        <v>449466</v>
      </c>
      <c r="D755" s="10">
        <f>PrincipalesVariables[[#This Row],[Base monetaria]]/1000000</f>
        <v>0.44946599999999998</v>
      </c>
      <c r="E755" s="10">
        <v>8.68</v>
      </c>
      <c r="F755" s="11">
        <v>31316</v>
      </c>
      <c r="H755" s="12">
        <f>(PrincipalesVariables[[#This Row],[Base monetaria]]-C754)/C754</f>
        <v>-1.4086793247464289E-2</v>
      </c>
      <c r="I755" s="12">
        <f>(PrincipalesVariables[[#This Row],[Dólar  mayorista]]-E754)/E754</f>
        <v>1.1534025374855578E-3</v>
      </c>
      <c r="J755" s="12">
        <f>(PrincipalesVariables[[#This Row],[Reservas internacionales]]-F754)/F754</f>
        <v>3.1933578157432541E-5</v>
      </c>
    </row>
    <row r="756" spans="1:10" ht="15.75" thickBot="1" x14ac:dyDescent="0.3">
      <c r="A756" s="14">
        <v>42047</v>
      </c>
      <c r="B756" s="15">
        <v>42047</v>
      </c>
      <c r="C756" s="16">
        <v>446354</v>
      </c>
      <c r="D756" s="10">
        <f>PrincipalesVariables[[#This Row],[Base monetaria]]/1000000</f>
        <v>0.44635399999999997</v>
      </c>
      <c r="E756" s="10">
        <v>8.68</v>
      </c>
      <c r="F756" s="11">
        <v>31353</v>
      </c>
      <c r="H756" s="12">
        <f>(PrincipalesVariables[[#This Row],[Base monetaria]]-C755)/C755</f>
        <v>-6.9237717647163523E-3</v>
      </c>
      <c r="I756" s="12">
        <f>(PrincipalesVariables[[#This Row],[Dólar  mayorista]]-E755)/E755</f>
        <v>0</v>
      </c>
      <c r="J756" s="12">
        <f>(PrincipalesVariables[[#This Row],[Reservas internacionales]]-F755)/F755</f>
        <v>1.1815046621535318E-3</v>
      </c>
    </row>
    <row r="757" spans="1:10" ht="15.75" thickBot="1" x14ac:dyDescent="0.3">
      <c r="A757" s="14">
        <v>42048</v>
      </c>
      <c r="B757" s="15">
        <v>42048</v>
      </c>
      <c r="C757" s="16">
        <v>450278</v>
      </c>
      <c r="D757" s="10">
        <f>PrincipalesVariables[[#This Row],[Base monetaria]]/1000000</f>
        <v>0.45027800000000001</v>
      </c>
      <c r="E757" s="10">
        <v>8.68</v>
      </c>
      <c r="F757" s="11">
        <v>31354</v>
      </c>
      <c r="H757" s="12">
        <f>(PrincipalesVariables[[#This Row],[Base monetaria]]-C756)/C756</f>
        <v>8.7912284868064353E-3</v>
      </c>
      <c r="I757" s="12">
        <f>(PrincipalesVariables[[#This Row],[Dólar  mayorista]]-E756)/E756</f>
        <v>0</v>
      </c>
      <c r="J757" s="12">
        <f>(PrincipalesVariables[[#This Row],[Reservas internacionales]]-F756)/F756</f>
        <v>3.1894874493668868E-5</v>
      </c>
    </row>
    <row r="758" spans="1:10" ht="15.75" thickBot="1" x14ac:dyDescent="0.3">
      <c r="A758" s="14">
        <v>42053</v>
      </c>
      <c r="B758" s="15">
        <v>42053</v>
      </c>
      <c r="C758" s="16">
        <v>453574</v>
      </c>
      <c r="D758" s="10">
        <f>PrincipalesVariables[[#This Row],[Base monetaria]]/1000000</f>
        <v>0.45357399999999998</v>
      </c>
      <c r="E758" s="10">
        <v>8.69</v>
      </c>
      <c r="F758" s="11">
        <v>31333</v>
      </c>
      <c r="H758" s="12">
        <f>(PrincipalesVariables[[#This Row],[Base monetaria]]-C757)/C757</f>
        <v>7.3199223590759491E-3</v>
      </c>
      <c r="I758" s="12">
        <f>(PrincipalesVariables[[#This Row],[Dólar  mayorista]]-E757)/E757</f>
        <v>1.1520737327188695E-3</v>
      </c>
      <c r="J758" s="12">
        <f>(PrincipalesVariables[[#This Row],[Reservas internacionales]]-F757)/F757</f>
        <v>-6.6977100210499456E-4</v>
      </c>
    </row>
    <row r="759" spans="1:10" ht="15.75" thickBot="1" x14ac:dyDescent="0.3">
      <c r="A759" s="14">
        <v>42054</v>
      </c>
      <c r="B759" s="15">
        <v>42054</v>
      </c>
      <c r="C759" s="16">
        <v>451911</v>
      </c>
      <c r="D759" s="10">
        <f>PrincipalesVariables[[#This Row],[Base monetaria]]/1000000</f>
        <v>0.45191100000000001</v>
      </c>
      <c r="E759" s="10">
        <v>8.69</v>
      </c>
      <c r="F759" s="11">
        <v>31344</v>
      </c>
      <c r="H759" s="12">
        <f>(PrincipalesVariables[[#This Row],[Base monetaria]]-C758)/C758</f>
        <v>-3.6664359068200557E-3</v>
      </c>
      <c r="I759" s="12">
        <f>(PrincipalesVariables[[#This Row],[Dólar  mayorista]]-E758)/E758</f>
        <v>0</v>
      </c>
      <c r="J759" s="12">
        <f>(PrincipalesVariables[[#This Row],[Reservas internacionales]]-F758)/F758</f>
        <v>3.5106756454855904E-4</v>
      </c>
    </row>
    <row r="760" spans="1:10" ht="15.75" thickBot="1" x14ac:dyDescent="0.3">
      <c r="A760" s="14">
        <v>42055</v>
      </c>
      <c r="B760" s="15">
        <v>42055</v>
      </c>
      <c r="C760" s="16">
        <v>455937</v>
      </c>
      <c r="D760" s="10">
        <f>PrincipalesVariables[[#This Row],[Base monetaria]]/1000000</f>
        <v>0.45593699999999998</v>
      </c>
      <c r="E760" s="10">
        <v>8.6999999999999993</v>
      </c>
      <c r="F760" s="11">
        <v>31360</v>
      </c>
      <c r="H760" s="12">
        <f>(PrincipalesVariables[[#This Row],[Base monetaria]]-C759)/C759</f>
        <v>8.9088338190484416E-3</v>
      </c>
      <c r="I760" s="12">
        <f>(PrincipalesVariables[[#This Row],[Dólar  mayorista]]-E759)/E759</f>
        <v>1.1507479861909997E-3</v>
      </c>
      <c r="J760" s="12">
        <f>(PrincipalesVariables[[#This Row],[Reservas internacionales]]-F759)/F759</f>
        <v>5.1046452271567128E-4</v>
      </c>
    </row>
    <row r="761" spans="1:10" ht="15.75" thickBot="1" x14ac:dyDescent="0.3">
      <c r="A761" s="14">
        <v>42058</v>
      </c>
      <c r="B761" s="15">
        <v>42058</v>
      </c>
      <c r="C761" s="16">
        <v>453277</v>
      </c>
      <c r="D761" s="10">
        <f>PrincipalesVariables[[#This Row],[Base monetaria]]/1000000</f>
        <v>0.45327699999999999</v>
      </c>
      <c r="E761" s="10">
        <v>8.7100000000000009</v>
      </c>
      <c r="F761" s="11">
        <v>31381</v>
      </c>
      <c r="H761" s="12">
        <f>(PrincipalesVariables[[#This Row],[Base monetaria]]-C760)/C760</f>
        <v>-5.8341393657457058E-3</v>
      </c>
      <c r="I761" s="12">
        <f>(PrincipalesVariables[[#This Row],[Dólar  mayorista]]-E760)/E760</f>
        <v>1.1494252873565016E-3</v>
      </c>
      <c r="J761" s="12">
        <f>(PrincipalesVariables[[#This Row],[Reservas internacionales]]-F760)/F760</f>
        <v>6.6964285714285715E-4</v>
      </c>
    </row>
    <row r="762" spans="1:10" ht="15.75" thickBot="1" x14ac:dyDescent="0.3">
      <c r="A762" s="14">
        <v>42059</v>
      </c>
      <c r="B762" s="15">
        <v>42059</v>
      </c>
      <c r="C762" s="16">
        <v>449349</v>
      </c>
      <c r="D762" s="10">
        <f>PrincipalesVariables[[#This Row],[Base monetaria]]/1000000</f>
        <v>0.449349</v>
      </c>
      <c r="E762" s="10">
        <v>8.7200000000000006</v>
      </c>
      <c r="F762" s="11">
        <v>31403</v>
      </c>
      <c r="H762" s="12">
        <f>(PrincipalesVariables[[#This Row],[Base monetaria]]-C761)/C761</f>
        <v>-8.665782733295534E-3</v>
      </c>
      <c r="I762" s="12">
        <f>(PrincipalesVariables[[#This Row],[Dólar  mayorista]]-E761)/E761</f>
        <v>1.1481056257175413E-3</v>
      </c>
      <c r="J762" s="12">
        <f>(PrincipalesVariables[[#This Row],[Reservas internacionales]]-F761)/F761</f>
        <v>7.0106115165227364E-4</v>
      </c>
    </row>
    <row r="763" spans="1:10" ht="15.75" thickBot="1" x14ac:dyDescent="0.3">
      <c r="A763" s="14">
        <v>42060</v>
      </c>
      <c r="B763" s="15">
        <v>42060</v>
      </c>
      <c r="C763" s="16">
        <v>445834</v>
      </c>
      <c r="D763" s="10">
        <f>PrincipalesVariables[[#This Row],[Base monetaria]]/1000000</f>
        <v>0.44583400000000001</v>
      </c>
      <c r="E763" s="10">
        <v>8.7200000000000006</v>
      </c>
      <c r="F763" s="11">
        <v>31406</v>
      </c>
      <c r="H763" s="12">
        <f>(PrincipalesVariables[[#This Row],[Base monetaria]]-C762)/C762</f>
        <v>-7.8224275563092381E-3</v>
      </c>
      <c r="I763" s="12">
        <f>(PrincipalesVariables[[#This Row],[Dólar  mayorista]]-E762)/E762</f>
        <v>0</v>
      </c>
      <c r="J763" s="12">
        <f>(PrincipalesVariables[[#This Row],[Reservas internacionales]]-F762)/F762</f>
        <v>9.5532273986561798E-5</v>
      </c>
    </row>
    <row r="764" spans="1:10" ht="15.75" thickBot="1" x14ac:dyDescent="0.3">
      <c r="A764" s="14">
        <v>42061</v>
      </c>
      <c r="B764" s="15">
        <v>42061</v>
      </c>
      <c r="C764" s="16">
        <v>443895</v>
      </c>
      <c r="D764" s="10">
        <f>PrincipalesVariables[[#This Row],[Base monetaria]]/1000000</f>
        <v>0.44389499999999998</v>
      </c>
      <c r="E764" s="10">
        <v>8.73</v>
      </c>
      <c r="F764" s="11">
        <v>31412</v>
      </c>
      <c r="H764" s="12">
        <f>(PrincipalesVariables[[#This Row],[Base monetaria]]-C763)/C763</f>
        <v>-4.3491523750992522E-3</v>
      </c>
      <c r="I764" s="12">
        <f>(PrincipalesVariables[[#This Row],[Dólar  mayorista]]-E763)/E763</f>
        <v>1.1467889908256636E-3</v>
      </c>
      <c r="J764" s="12">
        <f>(PrincipalesVariables[[#This Row],[Reservas internacionales]]-F763)/F763</f>
        <v>1.9104629688594535E-4</v>
      </c>
    </row>
    <row r="765" spans="1:10" ht="15.75" thickBot="1" x14ac:dyDescent="0.3">
      <c r="A765" s="14">
        <v>42062</v>
      </c>
      <c r="B765" s="15">
        <v>42062</v>
      </c>
      <c r="C765" s="16">
        <v>446408</v>
      </c>
      <c r="D765" s="10">
        <f>PrincipalesVariables[[#This Row],[Base monetaria]]/1000000</f>
        <v>0.44640800000000003</v>
      </c>
      <c r="E765" s="10">
        <v>8.7200000000000006</v>
      </c>
      <c r="F765" s="11">
        <v>31470</v>
      </c>
      <c r="H765" s="12">
        <f>(PrincipalesVariables[[#This Row],[Base monetaria]]-C764)/C764</f>
        <v>5.6612487187285279E-3</v>
      </c>
      <c r="I765" s="12">
        <f>(PrincipalesVariables[[#This Row],[Dólar  mayorista]]-E764)/E764</f>
        <v>-1.1454753722794715E-3</v>
      </c>
      <c r="J765" s="12">
        <f>(PrincipalesVariables[[#This Row],[Reservas internacionales]]-F764)/F764</f>
        <v>1.8464281166433211E-3</v>
      </c>
    </row>
    <row r="766" spans="1:10" ht="15.75" thickBot="1" x14ac:dyDescent="0.3">
      <c r="A766" s="14">
        <v>42065</v>
      </c>
      <c r="B766" s="15">
        <v>42065</v>
      </c>
      <c r="C766" s="16">
        <v>457556</v>
      </c>
      <c r="D766" s="10">
        <f>PrincipalesVariables[[#This Row],[Base monetaria]]/1000000</f>
        <v>0.45755600000000002</v>
      </c>
      <c r="E766" s="10">
        <v>8.73</v>
      </c>
      <c r="F766" s="11">
        <v>31467</v>
      </c>
      <c r="H766" s="12">
        <f>(PrincipalesVariables[[#This Row],[Base monetaria]]-C765)/C765</f>
        <v>2.4972670740667731E-2</v>
      </c>
      <c r="I766" s="12">
        <f>(PrincipalesVariables[[#This Row],[Dólar  mayorista]]-E765)/E765</f>
        <v>1.1467889908256636E-3</v>
      </c>
      <c r="J766" s="12">
        <f>(PrincipalesVariables[[#This Row],[Reservas internacionales]]-F765)/F765</f>
        <v>-9.5328884652049565E-5</v>
      </c>
    </row>
    <row r="767" spans="1:10" ht="15.75" thickBot="1" x14ac:dyDescent="0.3">
      <c r="A767" s="14">
        <v>42066</v>
      </c>
      <c r="B767" s="15">
        <v>42066</v>
      </c>
      <c r="C767" s="16">
        <v>457185</v>
      </c>
      <c r="D767" s="10">
        <f>PrincipalesVariables[[#This Row],[Base monetaria]]/1000000</f>
        <v>0.45718500000000001</v>
      </c>
      <c r="E767" s="10">
        <v>8.74</v>
      </c>
      <c r="F767" s="11">
        <v>31458</v>
      </c>
      <c r="H767" s="12">
        <f>(PrincipalesVariables[[#This Row],[Base monetaria]]-C766)/C766</f>
        <v>-8.1082971264719505E-4</v>
      </c>
      <c r="I767" s="12">
        <f>(PrincipalesVariables[[#This Row],[Dólar  mayorista]]-E766)/E766</f>
        <v>1.1454753722794715E-3</v>
      </c>
      <c r="J767" s="12">
        <f>(PrincipalesVariables[[#This Row],[Reservas internacionales]]-F766)/F766</f>
        <v>-2.8601391934407472E-4</v>
      </c>
    </row>
    <row r="768" spans="1:10" ht="15.75" thickBot="1" x14ac:dyDescent="0.3">
      <c r="A768" s="14">
        <v>42067</v>
      </c>
      <c r="B768" s="15">
        <v>42067</v>
      </c>
      <c r="C768" s="16">
        <v>453438</v>
      </c>
      <c r="D768" s="10">
        <f>PrincipalesVariables[[#This Row],[Base monetaria]]/1000000</f>
        <v>0.45343800000000001</v>
      </c>
      <c r="E768" s="10">
        <v>8.74</v>
      </c>
      <c r="F768" s="11">
        <v>31449</v>
      </c>
      <c r="H768" s="12">
        <f>(PrincipalesVariables[[#This Row],[Base monetaria]]-C767)/C767</f>
        <v>-8.1958069490468844E-3</v>
      </c>
      <c r="I768" s="12">
        <f>(PrincipalesVariables[[#This Row],[Dólar  mayorista]]-E767)/E767</f>
        <v>0</v>
      </c>
      <c r="J768" s="12">
        <f>(PrincipalesVariables[[#This Row],[Reservas internacionales]]-F767)/F767</f>
        <v>-2.8609574670989893E-4</v>
      </c>
    </row>
    <row r="769" spans="1:10" ht="15.75" thickBot="1" x14ac:dyDescent="0.3">
      <c r="A769" s="14">
        <v>42068</v>
      </c>
      <c r="B769" s="15">
        <v>42068</v>
      </c>
      <c r="C769" s="16">
        <v>450920</v>
      </c>
      <c r="D769" s="10">
        <f>PrincipalesVariables[[#This Row],[Base monetaria]]/1000000</f>
        <v>0.45091999999999999</v>
      </c>
      <c r="E769" s="10">
        <v>8.75</v>
      </c>
      <c r="F769" s="11">
        <v>31440</v>
      </c>
      <c r="H769" s="12">
        <f>(PrincipalesVariables[[#This Row],[Base monetaria]]-C768)/C768</f>
        <v>-5.5531296450672422E-3</v>
      </c>
      <c r="I769" s="12">
        <f>(PrincipalesVariables[[#This Row],[Dólar  mayorista]]-E768)/E768</f>
        <v>1.144164759725376E-3</v>
      </c>
      <c r="J769" s="12">
        <f>(PrincipalesVariables[[#This Row],[Reservas internacionales]]-F768)/F768</f>
        <v>-2.8617762091004482E-4</v>
      </c>
    </row>
    <row r="770" spans="1:10" ht="15.75" thickBot="1" x14ac:dyDescent="0.3">
      <c r="A770" s="14">
        <v>42069</v>
      </c>
      <c r="B770" s="15">
        <v>42069</v>
      </c>
      <c r="C770" s="16">
        <v>448451</v>
      </c>
      <c r="D770" s="10">
        <f>PrincipalesVariables[[#This Row],[Base monetaria]]/1000000</f>
        <v>0.44845099999999999</v>
      </c>
      <c r="E770" s="10">
        <v>8.76</v>
      </c>
      <c r="F770" s="11">
        <v>31405</v>
      </c>
      <c r="H770" s="12">
        <f>(PrincipalesVariables[[#This Row],[Base monetaria]]-C769)/C769</f>
        <v>-5.4754723676040092E-3</v>
      </c>
      <c r="I770" s="12">
        <f>(PrincipalesVariables[[#This Row],[Dólar  mayorista]]-E769)/E769</f>
        <v>1.1428571428571184E-3</v>
      </c>
      <c r="J770" s="12">
        <f>(PrincipalesVariables[[#This Row],[Reservas internacionales]]-F769)/F769</f>
        <v>-1.1132315521628498E-3</v>
      </c>
    </row>
    <row r="771" spans="1:10" ht="15.75" thickBot="1" x14ac:dyDescent="0.3">
      <c r="A771" s="14">
        <v>42072</v>
      </c>
      <c r="B771" s="15">
        <v>42072</v>
      </c>
      <c r="C771" s="16">
        <v>454075</v>
      </c>
      <c r="D771" s="10">
        <f>PrincipalesVariables[[#This Row],[Base monetaria]]/1000000</f>
        <v>0.45407500000000001</v>
      </c>
      <c r="E771" s="10">
        <v>8.76</v>
      </c>
      <c r="F771" s="11">
        <v>31395</v>
      </c>
      <c r="H771" s="12">
        <f>(PrincipalesVariables[[#This Row],[Base monetaria]]-C770)/C770</f>
        <v>1.2540946502516441E-2</v>
      </c>
      <c r="I771" s="12">
        <f>(PrincipalesVariables[[#This Row],[Dólar  mayorista]]-E770)/E770</f>
        <v>0</v>
      </c>
      <c r="J771" s="12">
        <f>(PrincipalesVariables[[#This Row],[Reservas internacionales]]-F770)/F770</f>
        <v>-3.1842063365706099E-4</v>
      </c>
    </row>
    <row r="772" spans="1:10" ht="15.75" thickBot="1" x14ac:dyDescent="0.3">
      <c r="A772" s="14">
        <v>42073</v>
      </c>
      <c r="B772" s="15">
        <v>42073</v>
      </c>
      <c r="C772" s="16">
        <v>454302</v>
      </c>
      <c r="D772" s="10">
        <f>PrincipalesVariables[[#This Row],[Base monetaria]]/1000000</f>
        <v>0.45430199999999998</v>
      </c>
      <c r="E772" s="10">
        <v>8.77</v>
      </c>
      <c r="F772" s="11">
        <v>31393</v>
      </c>
      <c r="H772" s="12">
        <f>(PrincipalesVariables[[#This Row],[Base monetaria]]-C771)/C771</f>
        <v>4.999174145240324E-4</v>
      </c>
      <c r="I772" s="12">
        <f>(PrincipalesVariables[[#This Row],[Dólar  mayorista]]-E771)/E771</f>
        <v>1.1415525114155008E-3</v>
      </c>
      <c r="J772" s="12">
        <f>(PrincipalesVariables[[#This Row],[Reservas internacionales]]-F771)/F771</f>
        <v>-6.3704411530498493E-5</v>
      </c>
    </row>
    <row r="773" spans="1:10" ht="15.75" thickBot="1" x14ac:dyDescent="0.3">
      <c r="A773" s="14">
        <v>42074</v>
      </c>
      <c r="B773" s="15">
        <v>42074</v>
      </c>
      <c r="C773" s="16">
        <v>451282</v>
      </c>
      <c r="D773" s="10">
        <f>PrincipalesVariables[[#This Row],[Base monetaria]]/1000000</f>
        <v>0.45128200000000002</v>
      </c>
      <c r="E773" s="10">
        <v>8.77</v>
      </c>
      <c r="F773" s="11">
        <v>31368</v>
      </c>
      <c r="H773" s="12">
        <f>(PrincipalesVariables[[#This Row],[Base monetaria]]-C772)/C772</f>
        <v>-6.6475604333681116E-3</v>
      </c>
      <c r="I773" s="12">
        <f>(PrincipalesVariables[[#This Row],[Dólar  mayorista]]-E772)/E772</f>
        <v>0</v>
      </c>
      <c r="J773" s="12">
        <f>(PrincipalesVariables[[#This Row],[Reservas internacionales]]-F772)/F772</f>
        <v>-7.9635587551364954E-4</v>
      </c>
    </row>
    <row r="774" spans="1:10" ht="15.75" thickBot="1" x14ac:dyDescent="0.3">
      <c r="A774" s="14">
        <v>42075</v>
      </c>
      <c r="B774" s="15">
        <v>42075</v>
      </c>
      <c r="C774" s="16">
        <v>454513</v>
      </c>
      <c r="D774" s="10">
        <f>PrincipalesVariables[[#This Row],[Base monetaria]]/1000000</f>
        <v>0.454513</v>
      </c>
      <c r="E774" s="10">
        <v>8.7799999999999994</v>
      </c>
      <c r="F774" s="11">
        <v>31380</v>
      </c>
      <c r="H774" s="12">
        <f>(PrincipalesVariables[[#This Row],[Base monetaria]]-C773)/C773</f>
        <v>7.1596030863185327E-3</v>
      </c>
      <c r="I774" s="12">
        <f>(PrincipalesVariables[[#This Row],[Dólar  mayorista]]-E773)/E773</f>
        <v>1.1402508551881171E-3</v>
      </c>
      <c r="J774" s="12">
        <f>(PrincipalesVariables[[#This Row],[Reservas internacionales]]-F773)/F773</f>
        <v>3.8255547054322876E-4</v>
      </c>
    </row>
    <row r="775" spans="1:10" ht="15.75" thickBot="1" x14ac:dyDescent="0.3">
      <c r="A775" s="14">
        <v>42076</v>
      </c>
      <c r="B775" s="15">
        <v>42076</v>
      </c>
      <c r="C775" s="16">
        <v>452219</v>
      </c>
      <c r="D775" s="10">
        <f>PrincipalesVariables[[#This Row],[Base monetaria]]/1000000</f>
        <v>0.45221899999999998</v>
      </c>
      <c r="E775" s="10">
        <v>8.7799999999999994</v>
      </c>
      <c r="F775" s="11">
        <v>31391</v>
      </c>
      <c r="H775" s="12">
        <f>(PrincipalesVariables[[#This Row],[Base monetaria]]-C774)/C774</f>
        <v>-5.0471603672502217E-3</v>
      </c>
      <c r="I775" s="12">
        <f>(PrincipalesVariables[[#This Row],[Dólar  mayorista]]-E774)/E774</f>
        <v>0</v>
      </c>
      <c r="J775" s="12">
        <f>(PrincipalesVariables[[#This Row],[Reservas internacionales]]-F774)/F774</f>
        <v>3.505417463352454E-4</v>
      </c>
    </row>
    <row r="776" spans="1:10" ht="15.75" thickBot="1" x14ac:dyDescent="0.3">
      <c r="A776" s="14">
        <v>42079</v>
      </c>
      <c r="B776" s="15">
        <v>42079</v>
      </c>
      <c r="C776" s="16">
        <v>458034</v>
      </c>
      <c r="D776" s="10">
        <f>PrincipalesVariables[[#This Row],[Base monetaria]]/1000000</f>
        <v>0.458034</v>
      </c>
      <c r="E776" s="10">
        <v>8.7799999999999994</v>
      </c>
      <c r="F776" s="11">
        <v>31428</v>
      </c>
      <c r="H776" s="12">
        <f>(PrincipalesVariables[[#This Row],[Base monetaria]]-C775)/C775</f>
        <v>1.2858813981721246E-2</v>
      </c>
      <c r="I776" s="12">
        <f>(PrincipalesVariables[[#This Row],[Dólar  mayorista]]-E775)/E775</f>
        <v>0</v>
      </c>
      <c r="J776" s="12">
        <f>(PrincipalesVariables[[#This Row],[Reservas internacionales]]-F775)/F775</f>
        <v>1.1786817877735656E-3</v>
      </c>
    </row>
    <row r="777" spans="1:10" ht="15.75" thickBot="1" x14ac:dyDescent="0.3">
      <c r="A777" s="14">
        <v>42080</v>
      </c>
      <c r="B777" s="15">
        <v>42080</v>
      </c>
      <c r="C777" s="16">
        <v>454866</v>
      </c>
      <c r="D777" s="10">
        <f>PrincipalesVariables[[#This Row],[Base monetaria]]/1000000</f>
        <v>0.45486599999999999</v>
      </c>
      <c r="E777" s="10">
        <v>8.7899999999999991</v>
      </c>
      <c r="F777" s="11">
        <v>31419</v>
      </c>
      <c r="H777" s="12">
        <f>(PrincipalesVariables[[#This Row],[Base monetaria]]-C776)/C776</f>
        <v>-6.9165171144500194E-3</v>
      </c>
      <c r="I777" s="12">
        <f>(PrincipalesVariables[[#This Row],[Dólar  mayorista]]-E776)/E776</f>
        <v>1.1389521640090875E-3</v>
      </c>
      <c r="J777" s="12">
        <f>(PrincipalesVariables[[#This Row],[Reservas internacionales]]-F776)/F776</f>
        <v>-2.8636884306987401E-4</v>
      </c>
    </row>
    <row r="778" spans="1:10" ht="15.75" thickBot="1" x14ac:dyDescent="0.3">
      <c r="A778" s="14">
        <v>42081</v>
      </c>
      <c r="B778" s="15">
        <v>42081</v>
      </c>
      <c r="C778" s="16">
        <v>455975</v>
      </c>
      <c r="D778" s="10">
        <f>PrincipalesVariables[[#This Row],[Base monetaria]]/1000000</f>
        <v>0.45597500000000002</v>
      </c>
      <c r="E778" s="10">
        <v>8.7899999999999991</v>
      </c>
      <c r="F778" s="11">
        <v>31423</v>
      </c>
      <c r="H778" s="12">
        <f>(PrincipalesVariables[[#This Row],[Base monetaria]]-C777)/C777</f>
        <v>2.438080665514679E-3</v>
      </c>
      <c r="I778" s="12">
        <f>(PrincipalesVariables[[#This Row],[Dólar  mayorista]]-E777)/E777</f>
        <v>0</v>
      </c>
      <c r="J778" s="12">
        <f>(PrincipalesVariables[[#This Row],[Reservas internacionales]]-F777)/F777</f>
        <v>1.2731149941118432E-4</v>
      </c>
    </row>
    <row r="779" spans="1:10" ht="15.75" thickBot="1" x14ac:dyDescent="0.3">
      <c r="A779" s="14">
        <v>42082</v>
      </c>
      <c r="B779" s="15">
        <v>42082</v>
      </c>
      <c r="C779" s="16">
        <v>456518</v>
      </c>
      <c r="D779" s="10">
        <f>PrincipalesVariables[[#This Row],[Base monetaria]]/1000000</f>
        <v>0.45651799999999998</v>
      </c>
      <c r="E779" s="10">
        <v>8.7899999999999991</v>
      </c>
      <c r="F779" s="11">
        <v>31431</v>
      </c>
      <c r="H779" s="12">
        <f>(PrincipalesVariables[[#This Row],[Base monetaria]]-C778)/C778</f>
        <v>1.1908547617742202E-3</v>
      </c>
      <c r="I779" s="12">
        <f>(PrincipalesVariables[[#This Row],[Dólar  mayorista]]-E778)/E778</f>
        <v>0</v>
      </c>
      <c r="J779" s="12">
        <f>(PrincipalesVariables[[#This Row],[Reservas internacionales]]-F778)/F778</f>
        <v>2.5459058651306366E-4</v>
      </c>
    </row>
    <row r="780" spans="1:10" ht="15.75" thickBot="1" x14ac:dyDescent="0.3">
      <c r="A780" s="14">
        <v>42083</v>
      </c>
      <c r="B780" s="15">
        <v>42083</v>
      </c>
      <c r="C780" s="16">
        <v>460842</v>
      </c>
      <c r="D780" s="10">
        <f>PrincipalesVariables[[#This Row],[Base monetaria]]/1000000</f>
        <v>0.46084199999999997</v>
      </c>
      <c r="E780" s="10">
        <v>8.8000000000000007</v>
      </c>
      <c r="F780" s="11">
        <v>31441</v>
      </c>
      <c r="H780" s="12">
        <f>(PrincipalesVariables[[#This Row],[Base monetaria]]-C779)/C779</f>
        <v>9.4716966253247416E-3</v>
      </c>
      <c r="I780" s="12">
        <f>(PrincipalesVariables[[#This Row],[Dólar  mayorista]]-E779)/E779</f>
        <v>1.1376564277589948E-3</v>
      </c>
      <c r="J780" s="12">
        <f>(PrincipalesVariables[[#This Row],[Reservas internacionales]]-F779)/F779</f>
        <v>3.1815723330469919E-4</v>
      </c>
    </row>
    <row r="781" spans="1:10" ht="15.75" thickBot="1" x14ac:dyDescent="0.3">
      <c r="A781" s="14">
        <v>42088</v>
      </c>
      <c r="B781" s="15">
        <v>42088</v>
      </c>
      <c r="C781" s="16">
        <v>464287</v>
      </c>
      <c r="D781" s="10">
        <f>PrincipalesVariables[[#This Row],[Base monetaria]]/1000000</f>
        <v>0.46428700000000001</v>
      </c>
      <c r="E781" s="10">
        <v>8.8000000000000007</v>
      </c>
      <c r="F781" s="11">
        <v>31457</v>
      </c>
      <c r="H781" s="12">
        <f>(PrincipalesVariables[[#This Row],[Base monetaria]]-C780)/C780</f>
        <v>7.4754471163652617E-3</v>
      </c>
      <c r="I781" s="12">
        <f>(PrincipalesVariables[[#This Row],[Dólar  mayorista]]-E780)/E780</f>
        <v>0</v>
      </c>
      <c r="J781" s="12">
        <f>(PrincipalesVariables[[#This Row],[Reservas internacionales]]-F780)/F780</f>
        <v>5.0888966635921249E-4</v>
      </c>
    </row>
    <row r="782" spans="1:10" ht="15.75" thickBot="1" x14ac:dyDescent="0.3">
      <c r="A782" s="14">
        <v>42089</v>
      </c>
      <c r="B782" s="15">
        <v>42089</v>
      </c>
      <c r="C782" s="16">
        <v>444499</v>
      </c>
      <c r="D782" s="10">
        <f>PrincipalesVariables[[#This Row],[Base monetaria]]/1000000</f>
        <v>0.44449899999999998</v>
      </c>
      <c r="E782" s="10">
        <v>8.8000000000000007</v>
      </c>
      <c r="F782" s="11">
        <v>31465</v>
      </c>
      <c r="H782" s="12">
        <f>(PrincipalesVariables[[#This Row],[Base monetaria]]-C781)/C781</f>
        <v>-4.2620189667167074E-2</v>
      </c>
      <c r="I782" s="12">
        <f>(PrincipalesVariables[[#This Row],[Dólar  mayorista]]-E781)/E781</f>
        <v>0</v>
      </c>
      <c r="J782" s="12">
        <f>(PrincipalesVariables[[#This Row],[Reservas internacionales]]-F781)/F781</f>
        <v>2.5431541469307309E-4</v>
      </c>
    </row>
    <row r="783" spans="1:10" ht="15.75" thickBot="1" x14ac:dyDescent="0.3">
      <c r="A783" s="14">
        <v>42090</v>
      </c>
      <c r="B783" s="15">
        <v>42090</v>
      </c>
      <c r="C783" s="16">
        <v>444973</v>
      </c>
      <c r="D783" s="10">
        <f>PrincipalesVariables[[#This Row],[Base monetaria]]/1000000</f>
        <v>0.44497300000000001</v>
      </c>
      <c r="E783" s="10">
        <v>8.81</v>
      </c>
      <c r="F783" s="11">
        <v>31464</v>
      </c>
      <c r="H783" s="12">
        <f>(PrincipalesVariables[[#This Row],[Base monetaria]]-C782)/C782</f>
        <v>1.0663691031925831E-3</v>
      </c>
      <c r="I783" s="12">
        <f>(PrincipalesVariables[[#This Row],[Dólar  mayorista]]-E782)/E782</f>
        <v>1.136363636363612E-3</v>
      </c>
      <c r="J783" s="12">
        <f>(PrincipalesVariables[[#This Row],[Reservas internacionales]]-F782)/F782</f>
        <v>-3.1781344350866045E-5</v>
      </c>
    </row>
    <row r="784" spans="1:10" ht="15.75" thickBot="1" x14ac:dyDescent="0.3">
      <c r="A784" s="14">
        <v>42093</v>
      </c>
      <c r="B784" s="15">
        <v>42093</v>
      </c>
      <c r="C784" s="16">
        <v>449673</v>
      </c>
      <c r="D784" s="10">
        <f>PrincipalesVariables[[#This Row],[Base monetaria]]/1000000</f>
        <v>0.44967299999999999</v>
      </c>
      <c r="E784" s="10">
        <v>8.82</v>
      </c>
      <c r="F784" s="11">
        <v>31460</v>
      </c>
      <c r="H784" s="12">
        <f>(PrincipalesVariables[[#This Row],[Base monetaria]]-C783)/C783</f>
        <v>1.0562438619871318E-2</v>
      </c>
      <c r="I784" s="12">
        <f>(PrincipalesVariables[[#This Row],[Dólar  mayorista]]-E783)/E783</f>
        <v>1.1350737797956624E-3</v>
      </c>
      <c r="J784" s="12">
        <f>(PrincipalesVariables[[#This Row],[Reservas internacionales]]-F783)/F783</f>
        <v>-1.2712941774726671E-4</v>
      </c>
    </row>
    <row r="785" spans="1:10" ht="15.75" thickBot="1" x14ac:dyDescent="0.3">
      <c r="A785" s="14">
        <v>42094</v>
      </c>
      <c r="B785" s="15">
        <v>42094</v>
      </c>
      <c r="C785" s="16">
        <v>440354</v>
      </c>
      <c r="D785" s="10">
        <f>PrincipalesVariables[[#This Row],[Base monetaria]]/1000000</f>
        <v>0.44035400000000002</v>
      </c>
      <c r="E785" s="10">
        <v>8.82</v>
      </c>
      <c r="F785" s="11">
        <v>31490</v>
      </c>
      <c r="H785" s="12">
        <f>(PrincipalesVariables[[#This Row],[Base monetaria]]-C784)/C784</f>
        <v>-2.0723948291313909E-2</v>
      </c>
      <c r="I785" s="12">
        <f>(PrincipalesVariables[[#This Row],[Dólar  mayorista]]-E784)/E784</f>
        <v>0</v>
      </c>
      <c r="J785" s="12">
        <f>(PrincipalesVariables[[#This Row],[Reservas internacionales]]-F784)/F784</f>
        <v>9.5359186268277173E-4</v>
      </c>
    </row>
    <row r="786" spans="1:10" ht="15.75" thickBot="1" x14ac:dyDescent="0.3">
      <c r="A786" s="14">
        <v>42095</v>
      </c>
      <c r="B786" s="15">
        <v>42095</v>
      </c>
      <c r="C786" s="16">
        <v>466366</v>
      </c>
      <c r="D786" s="10">
        <f>PrincipalesVariables[[#This Row],[Base monetaria]]/1000000</f>
        <v>0.466366</v>
      </c>
      <c r="E786" s="10">
        <v>8.83</v>
      </c>
      <c r="F786" s="11">
        <v>31505</v>
      </c>
      <c r="H786" s="12">
        <f>(PrincipalesVariables[[#This Row],[Base monetaria]]-C785)/C785</f>
        <v>5.90706567897646E-2</v>
      </c>
      <c r="I786" s="12">
        <f>(PrincipalesVariables[[#This Row],[Dólar  mayorista]]-E785)/E785</f>
        <v>1.1337868480725381E-3</v>
      </c>
      <c r="J786" s="12">
        <f>(PrincipalesVariables[[#This Row],[Reservas internacionales]]-F785)/F785</f>
        <v>4.7634169577643698E-4</v>
      </c>
    </row>
    <row r="787" spans="1:10" ht="15.75" thickBot="1" x14ac:dyDescent="0.3">
      <c r="A787" s="14">
        <v>42100</v>
      </c>
      <c r="B787" s="15">
        <v>42100</v>
      </c>
      <c r="C787" s="16">
        <v>459867</v>
      </c>
      <c r="D787" s="10">
        <f>PrincipalesVariables[[#This Row],[Base monetaria]]/1000000</f>
        <v>0.45986700000000003</v>
      </c>
      <c r="E787" s="10">
        <v>8.83</v>
      </c>
      <c r="F787" s="11">
        <v>31510</v>
      </c>
      <c r="H787" s="12">
        <f>(PrincipalesVariables[[#This Row],[Base monetaria]]-C786)/C786</f>
        <v>-1.393540695505247E-2</v>
      </c>
      <c r="I787" s="12">
        <f>(PrincipalesVariables[[#This Row],[Dólar  mayorista]]-E786)/E786</f>
        <v>0</v>
      </c>
      <c r="J787" s="12">
        <f>(PrincipalesVariables[[#This Row],[Reservas internacionales]]-F786)/F786</f>
        <v>1.5870496746548166E-4</v>
      </c>
    </row>
    <row r="788" spans="1:10" ht="15.75" thickBot="1" x14ac:dyDescent="0.3">
      <c r="A788" s="14">
        <v>42101</v>
      </c>
      <c r="B788" s="15">
        <v>42101</v>
      </c>
      <c r="C788" s="16">
        <v>459329</v>
      </c>
      <c r="D788" s="10">
        <f>PrincipalesVariables[[#This Row],[Base monetaria]]/1000000</f>
        <v>0.45932899999999999</v>
      </c>
      <c r="E788" s="10">
        <v>8.83</v>
      </c>
      <c r="F788" s="11">
        <v>31513</v>
      </c>
      <c r="H788" s="12">
        <f>(PrincipalesVariables[[#This Row],[Base monetaria]]-C787)/C787</f>
        <v>-1.1699034720908438E-3</v>
      </c>
      <c r="I788" s="12">
        <f>(PrincipalesVariables[[#This Row],[Dólar  mayorista]]-E787)/E787</f>
        <v>0</v>
      </c>
      <c r="J788" s="12">
        <f>(PrincipalesVariables[[#This Row],[Reservas internacionales]]-F787)/F787</f>
        <v>9.5207870517296091E-5</v>
      </c>
    </row>
    <row r="789" spans="1:10" ht="15.75" thickBot="1" x14ac:dyDescent="0.3">
      <c r="A789" s="14">
        <v>42102</v>
      </c>
      <c r="B789" s="15">
        <v>42102</v>
      </c>
      <c r="C789" s="16">
        <v>458970</v>
      </c>
      <c r="D789" s="10">
        <f>PrincipalesVariables[[#This Row],[Base monetaria]]/1000000</f>
        <v>0.45896999999999999</v>
      </c>
      <c r="E789" s="10">
        <v>8.84</v>
      </c>
      <c r="F789" s="11">
        <v>31516</v>
      </c>
      <c r="H789" s="12">
        <f>(PrincipalesVariables[[#This Row],[Base monetaria]]-C788)/C788</f>
        <v>-7.8157486246241805E-4</v>
      </c>
      <c r="I789" s="12">
        <f>(PrincipalesVariables[[#This Row],[Dólar  mayorista]]-E788)/E788</f>
        <v>1.1325028312570539E-3</v>
      </c>
      <c r="J789" s="12">
        <f>(PrincipalesVariables[[#This Row],[Reservas internacionales]]-F788)/F788</f>
        <v>9.5198806841620919E-5</v>
      </c>
    </row>
    <row r="790" spans="1:10" ht="15.75" thickBot="1" x14ac:dyDescent="0.3">
      <c r="A790" s="14">
        <v>42103</v>
      </c>
      <c r="B790" s="15">
        <v>42103</v>
      </c>
      <c r="C790" s="16">
        <v>462889</v>
      </c>
      <c r="D790" s="10">
        <f>PrincipalesVariables[[#This Row],[Base monetaria]]/1000000</f>
        <v>0.46288899999999999</v>
      </c>
      <c r="E790" s="10">
        <v>8.84</v>
      </c>
      <c r="F790" s="11">
        <v>31516</v>
      </c>
      <c r="H790" s="12">
        <f>(PrincipalesVariables[[#This Row],[Base monetaria]]-C789)/C789</f>
        <v>8.5386844456064662E-3</v>
      </c>
      <c r="I790" s="12">
        <f>(PrincipalesVariables[[#This Row],[Dólar  mayorista]]-E789)/E789</f>
        <v>0</v>
      </c>
      <c r="J790" s="12">
        <f>(PrincipalesVariables[[#This Row],[Reservas internacionales]]-F789)/F789</f>
        <v>0</v>
      </c>
    </row>
    <row r="791" spans="1:10" ht="15.75" thickBot="1" x14ac:dyDescent="0.3">
      <c r="A791" s="14">
        <v>42104</v>
      </c>
      <c r="B791" s="15">
        <v>42104</v>
      </c>
      <c r="C791" s="16">
        <v>463003</v>
      </c>
      <c r="D791" s="10">
        <f>PrincipalesVariables[[#This Row],[Base monetaria]]/1000000</f>
        <v>0.463003</v>
      </c>
      <c r="E791" s="10">
        <v>8.85</v>
      </c>
      <c r="F791" s="11">
        <v>31524</v>
      </c>
      <c r="H791" s="12">
        <f>(PrincipalesVariables[[#This Row],[Base monetaria]]-C790)/C790</f>
        <v>2.4627934558825118E-4</v>
      </c>
      <c r="I791" s="12">
        <f>(PrincipalesVariables[[#This Row],[Dólar  mayorista]]-E790)/E790</f>
        <v>1.1312217194569894E-3</v>
      </c>
      <c r="J791" s="12">
        <f>(PrincipalesVariables[[#This Row],[Reservas internacionales]]-F790)/F790</f>
        <v>2.5383931971062316E-4</v>
      </c>
    </row>
    <row r="792" spans="1:10" ht="15.75" thickBot="1" x14ac:dyDescent="0.3">
      <c r="A792" s="14">
        <v>42107</v>
      </c>
      <c r="B792" s="15">
        <v>42107</v>
      </c>
      <c r="C792" s="16">
        <v>463080</v>
      </c>
      <c r="D792" s="10">
        <f>PrincipalesVariables[[#This Row],[Base monetaria]]/1000000</f>
        <v>0.46307999999999999</v>
      </c>
      <c r="E792" s="10">
        <v>8.85</v>
      </c>
      <c r="F792" s="11">
        <v>31524</v>
      </c>
      <c r="H792" s="12">
        <f>(PrincipalesVariables[[#This Row],[Base monetaria]]-C791)/C791</f>
        <v>1.6630561789016487E-4</v>
      </c>
      <c r="I792" s="12">
        <f>(PrincipalesVariables[[#This Row],[Dólar  mayorista]]-E791)/E791</f>
        <v>0</v>
      </c>
      <c r="J792" s="12">
        <f>(PrincipalesVariables[[#This Row],[Reservas internacionales]]-F791)/F791</f>
        <v>0</v>
      </c>
    </row>
    <row r="793" spans="1:10" ht="15.75" thickBot="1" x14ac:dyDescent="0.3">
      <c r="A793" s="14">
        <v>42108</v>
      </c>
      <c r="B793" s="15">
        <v>42108</v>
      </c>
      <c r="C793" s="16">
        <v>460323</v>
      </c>
      <c r="D793" s="10">
        <f>PrincipalesVariables[[#This Row],[Base monetaria]]/1000000</f>
        <v>0.46032299999999998</v>
      </c>
      <c r="E793" s="10">
        <v>8.86</v>
      </c>
      <c r="F793" s="11">
        <v>31523</v>
      </c>
      <c r="H793" s="12">
        <f>(PrincipalesVariables[[#This Row],[Base monetaria]]-C792)/C792</f>
        <v>-5.9536149261466701E-3</v>
      </c>
      <c r="I793" s="12">
        <f>(PrincipalesVariables[[#This Row],[Dólar  mayorista]]-E792)/E792</f>
        <v>1.1299435028248347E-3</v>
      </c>
      <c r="J793" s="12">
        <f>(PrincipalesVariables[[#This Row],[Reservas internacionales]]-F792)/F792</f>
        <v>-3.1721862707778198E-5</v>
      </c>
    </row>
    <row r="794" spans="1:10" ht="15.75" thickBot="1" x14ac:dyDescent="0.3">
      <c r="A794" s="14">
        <v>42109</v>
      </c>
      <c r="B794" s="15">
        <v>42109</v>
      </c>
      <c r="C794" s="16">
        <v>462579</v>
      </c>
      <c r="D794" s="10">
        <f>PrincipalesVariables[[#This Row],[Base monetaria]]/1000000</f>
        <v>0.46257900000000002</v>
      </c>
      <c r="E794" s="10">
        <v>8.86</v>
      </c>
      <c r="F794" s="11">
        <v>31507</v>
      </c>
      <c r="H794" s="12">
        <f>(PrincipalesVariables[[#This Row],[Base monetaria]]-C793)/C793</f>
        <v>4.9009065373661542E-3</v>
      </c>
      <c r="I794" s="12">
        <f>(PrincipalesVariables[[#This Row],[Dólar  mayorista]]-E793)/E793</f>
        <v>0</v>
      </c>
      <c r="J794" s="12">
        <f>(PrincipalesVariables[[#This Row],[Reservas internacionales]]-F793)/F793</f>
        <v>-5.0756590426038128E-4</v>
      </c>
    </row>
    <row r="795" spans="1:10" ht="15.75" thickBot="1" x14ac:dyDescent="0.3">
      <c r="A795" s="14">
        <v>42110</v>
      </c>
      <c r="B795" s="15">
        <v>42110</v>
      </c>
      <c r="C795" s="16">
        <v>463328</v>
      </c>
      <c r="D795" s="10">
        <f>PrincipalesVariables[[#This Row],[Base monetaria]]/1000000</f>
        <v>0.46332800000000002</v>
      </c>
      <c r="E795" s="10">
        <v>8.8699999999999992</v>
      </c>
      <c r="F795" s="11">
        <v>31515</v>
      </c>
      <c r="H795" s="12">
        <f>(PrincipalesVariables[[#This Row],[Base monetaria]]-C794)/C794</f>
        <v>1.6191828855179331E-3</v>
      </c>
      <c r="I795" s="12">
        <f>(PrincipalesVariables[[#This Row],[Dólar  mayorista]]-E794)/E794</f>
        <v>1.1286681715575381E-3</v>
      </c>
      <c r="J795" s="12">
        <f>(PrincipalesVariables[[#This Row],[Reservas internacionales]]-F794)/F794</f>
        <v>2.5391182911733902E-4</v>
      </c>
    </row>
    <row r="796" spans="1:10" ht="15.75" thickBot="1" x14ac:dyDescent="0.3">
      <c r="A796" s="14">
        <v>42111</v>
      </c>
      <c r="B796" s="15">
        <v>42111</v>
      </c>
      <c r="C796" s="16">
        <v>457377</v>
      </c>
      <c r="D796" s="10">
        <f>PrincipalesVariables[[#This Row],[Base monetaria]]/1000000</f>
        <v>0.45737699999999998</v>
      </c>
      <c r="E796" s="10">
        <v>8.8699999999999992</v>
      </c>
      <c r="F796" s="11">
        <v>31419</v>
      </c>
      <c r="H796" s="12">
        <f>(PrincipalesVariables[[#This Row],[Base monetaria]]-C795)/C795</f>
        <v>-1.2844032737067477E-2</v>
      </c>
      <c r="I796" s="12">
        <f>(PrincipalesVariables[[#This Row],[Dólar  mayorista]]-E795)/E795</f>
        <v>0</v>
      </c>
      <c r="J796" s="12">
        <f>(PrincipalesVariables[[#This Row],[Reservas internacionales]]-F795)/F795</f>
        <v>-3.0461684911946693E-3</v>
      </c>
    </row>
    <row r="797" spans="1:10" ht="15.75" thickBot="1" x14ac:dyDescent="0.3">
      <c r="A797" s="14">
        <v>42114</v>
      </c>
      <c r="B797" s="15">
        <v>42114</v>
      </c>
      <c r="C797" s="16">
        <v>455503</v>
      </c>
      <c r="D797" s="10">
        <f>PrincipalesVariables[[#This Row],[Base monetaria]]/1000000</f>
        <v>0.45550299999999999</v>
      </c>
      <c r="E797" s="10">
        <v>8.8699999999999992</v>
      </c>
      <c r="F797" s="11">
        <v>31424</v>
      </c>
      <c r="H797" s="12">
        <f>(PrincipalesVariables[[#This Row],[Base monetaria]]-C796)/C796</f>
        <v>-4.0972764262304402E-3</v>
      </c>
      <c r="I797" s="12">
        <f>(PrincipalesVariables[[#This Row],[Dólar  mayorista]]-E796)/E796</f>
        <v>0</v>
      </c>
      <c r="J797" s="12">
        <f>(PrincipalesVariables[[#This Row],[Reservas internacionales]]-F796)/F796</f>
        <v>1.5913937426398038E-4</v>
      </c>
    </row>
    <row r="798" spans="1:10" ht="15.75" thickBot="1" x14ac:dyDescent="0.3">
      <c r="A798" s="14">
        <v>42115</v>
      </c>
      <c r="B798" s="15">
        <v>42115</v>
      </c>
      <c r="C798" s="16">
        <v>454392</v>
      </c>
      <c r="D798" s="10">
        <f>PrincipalesVariables[[#This Row],[Base monetaria]]/1000000</f>
        <v>0.45439200000000002</v>
      </c>
      <c r="E798" s="10">
        <v>8.8699999999999992</v>
      </c>
      <c r="F798" s="11">
        <v>31440</v>
      </c>
      <c r="H798" s="12">
        <f>(PrincipalesVariables[[#This Row],[Base monetaria]]-C797)/C797</f>
        <v>-2.4390618722598973E-3</v>
      </c>
      <c r="I798" s="12">
        <f>(PrincipalesVariables[[#This Row],[Dólar  mayorista]]-E797)/E797</f>
        <v>0</v>
      </c>
      <c r="J798" s="12">
        <f>(PrincipalesVariables[[#This Row],[Reservas internacionales]]-F797)/F797</f>
        <v>5.0916496945010179E-4</v>
      </c>
    </row>
    <row r="799" spans="1:10" ht="15.75" thickBot="1" x14ac:dyDescent="0.3">
      <c r="A799" s="14">
        <v>42116</v>
      </c>
      <c r="B799" s="15">
        <v>42116</v>
      </c>
      <c r="C799" s="16">
        <v>449304</v>
      </c>
      <c r="D799" s="10">
        <f>PrincipalesVariables[[#This Row],[Base monetaria]]/1000000</f>
        <v>0.44930399999999998</v>
      </c>
      <c r="E799" s="10">
        <v>8.8800000000000008</v>
      </c>
      <c r="F799" s="11">
        <v>31438</v>
      </c>
      <c r="H799" s="12">
        <f>(PrincipalesVariables[[#This Row],[Base monetaria]]-C798)/C798</f>
        <v>-1.1197380235567527E-2</v>
      </c>
      <c r="I799" s="12">
        <f>(PrincipalesVariables[[#This Row],[Dólar  mayorista]]-E798)/E798</f>
        <v>1.1273957158964558E-3</v>
      </c>
      <c r="J799" s="12">
        <f>(PrincipalesVariables[[#This Row],[Reservas internacionales]]-F798)/F798</f>
        <v>-6.3613231552162849E-5</v>
      </c>
    </row>
    <row r="800" spans="1:10" ht="15.75" thickBot="1" x14ac:dyDescent="0.3">
      <c r="A800" s="14">
        <v>42117</v>
      </c>
      <c r="B800" s="15">
        <v>42117</v>
      </c>
      <c r="C800" s="16">
        <v>450064</v>
      </c>
      <c r="D800" s="10">
        <f>PrincipalesVariables[[#This Row],[Base monetaria]]/1000000</f>
        <v>0.45006400000000002</v>
      </c>
      <c r="E800" s="10">
        <v>8.8800000000000008</v>
      </c>
      <c r="F800" s="11">
        <v>32688</v>
      </c>
      <c r="H800" s="12">
        <f>(PrincipalesVariables[[#This Row],[Base monetaria]]-C799)/C799</f>
        <v>1.6915050834179085E-3</v>
      </c>
      <c r="I800" s="12">
        <f>(PrincipalesVariables[[#This Row],[Dólar  mayorista]]-E799)/E799</f>
        <v>0</v>
      </c>
      <c r="J800" s="12">
        <f>(PrincipalesVariables[[#This Row],[Reservas internacionales]]-F799)/F799</f>
        <v>3.9760799033017366E-2</v>
      </c>
    </row>
    <row r="801" spans="1:10" ht="15.75" thickBot="1" x14ac:dyDescent="0.3">
      <c r="A801" s="14">
        <v>42118</v>
      </c>
      <c r="B801" s="15">
        <v>42118</v>
      </c>
      <c r="C801" s="16">
        <v>452526</v>
      </c>
      <c r="D801" s="10">
        <f>PrincipalesVariables[[#This Row],[Base monetaria]]/1000000</f>
        <v>0.45252599999999998</v>
      </c>
      <c r="E801" s="10">
        <v>8.89</v>
      </c>
      <c r="F801" s="11">
        <v>32687</v>
      </c>
      <c r="H801" s="12">
        <f>(PrincipalesVariables[[#This Row],[Base monetaria]]-C800)/C800</f>
        <v>5.4703331081801696E-3</v>
      </c>
      <c r="I801" s="12">
        <f>(PrincipalesVariables[[#This Row],[Dólar  mayorista]]-E800)/E800</f>
        <v>1.126126126126102E-3</v>
      </c>
      <c r="J801" s="12">
        <f>(PrincipalesVariables[[#This Row],[Reservas internacionales]]-F800)/F800</f>
        <v>-3.0592266275085661E-5</v>
      </c>
    </row>
    <row r="802" spans="1:10" ht="15.75" thickBot="1" x14ac:dyDescent="0.3">
      <c r="A802" s="14">
        <v>42121</v>
      </c>
      <c r="B802" s="15">
        <v>42121</v>
      </c>
      <c r="C802" s="16">
        <v>445792</v>
      </c>
      <c r="D802" s="10">
        <f>PrincipalesVariables[[#This Row],[Base monetaria]]/1000000</f>
        <v>0.44579200000000002</v>
      </c>
      <c r="E802" s="10">
        <v>8.89</v>
      </c>
      <c r="F802" s="11">
        <v>32687</v>
      </c>
      <c r="H802" s="12">
        <f>(PrincipalesVariables[[#This Row],[Base monetaria]]-C801)/C801</f>
        <v>-1.4880912919920624E-2</v>
      </c>
      <c r="I802" s="12">
        <f>(PrincipalesVariables[[#This Row],[Dólar  mayorista]]-E801)/E801</f>
        <v>0</v>
      </c>
      <c r="J802" s="12">
        <f>(PrincipalesVariables[[#This Row],[Reservas internacionales]]-F801)/F801</f>
        <v>0</v>
      </c>
    </row>
    <row r="803" spans="1:10" ht="15.75" thickBot="1" x14ac:dyDescent="0.3">
      <c r="A803" s="14">
        <v>42122</v>
      </c>
      <c r="B803" s="15">
        <v>42122</v>
      </c>
      <c r="C803" s="16">
        <v>442412</v>
      </c>
      <c r="D803" s="10">
        <f>PrincipalesVariables[[#This Row],[Base monetaria]]/1000000</f>
        <v>0.44241200000000003</v>
      </c>
      <c r="E803" s="10">
        <v>8.9</v>
      </c>
      <c r="F803" s="11">
        <v>33221</v>
      </c>
      <c r="H803" s="12">
        <f>(PrincipalesVariables[[#This Row],[Base monetaria]]-C802)/C802</f>
        <v>-7.582011341612232E-3</v>
      </c>
      <c r="I803" s="12">
        <f>(PrincipalesVariables[[#This Row],[Dólar  mayorista]]-E802)/E802</f>
        <v>1.124859392575904E-3</v>
      </c>
      <c r="J803" s="12">
        <f>(PrincipalesVariables[[#This Row],[Reservas internacionales]]-F802)/F802</f>
        <v>1.6336769969712731E-2</v>
      </c>
    </row>
    <row r="804" spans="1:10" ht="15.75" thickBot="1" x14ac:dyDescent="0.3">
      <c r="A804" s="14">
        <v>42123</v>
      </c>
      <c r="B804" s="15">
        <v>42123</v>
      </c>
      <c r="C804" s="16">
        <v>432977</v>
      </c>
      <c r="D804" s="10">
        <f>PrincipalesVariables[[#This Row],[Base monetaria]]/1000000</f>
        <v>0.432977</v>
      </c>
      <c r="E804" s="10">
        <v>8.9</v>
      </c>
      <c r="F804" s="11">
        <v>33910</v>
      </c>
      <c r="H804" s="12">
        <f>(PrincipalesVariables[[#This Row],[Base monetaria]]-C803)/C803</f>
        <v>-2.1326275055830311E-2</v>
      </c>
      <c r="I804" s="12">
        <f>(PrincipalesVariables[[#This Row],[Dólar  mayorista]]-E803)/E803</f>
        <v>0</v>
      </c>
      <c r="J804" s="12">
        <f>(PrincipalesVariables[[#This Row],[Reservas internacionales]]-F803)/F803</f>
        <v>2.0739893440895819E-2</v>
      </c>
    </row>
    <row r="805" spans="1:10" ht="15.75" thickBot="1" x14ac:dyDescent="0.3">
      <c r="A805" s="14">
        <v>42124</v>
      </c>
      <c r="B805" s="15">
        <v>42124</v>
      </c>
      <c r="C805" s="16">
        <v>469092</v>
      </c>
      <c r="D805" s="10">
        <f>PrincipalesVariables[[#This Row],[Base monetaria]]/1000000</f>
        <v>0.46909200000000001</v>
      </c>
      <c r="E805" s="10">
        <v>8.9</v>
      </c>
      <c r="F805" s="11">
        <v>33909</v>
      </c>
      <c r="H805" s="12">
        <f>(PrincipalesVariables[[#This Row],[Base monetaria]]-C804)/C804</f>
        <v>8.3410897114627333E-2</v>
      </c>
      <c r="I805" s="12">
        <f>(PrincipalesVariables[[#This Row],[Dólar  mayorista]]-E804)/E804</f>
        <v>0</v>
      </c>
      <c r="J805" s="12">
        <f>(PrincipalesVariables[[#This Row],[Reservas internacionales]]-F804)/F804</f>
        <v>-2.948982601002654E-5</v>
      </c>
    </row>
    <row r="806" spans="1:10" ht="15.75" thickBot="1" x14ac:dyDescent="0.3">
      <c r="A806" s="14">
        <v>42128</v>
      </c>
      <c r="B806" s="15">
        <v>42128</v>
      </c>
      <c r="C806" s="16">
        <v>471050</v>
      </c>
      <c r="D806" s="10">
        <f>PrincipalesVariables[[#This Row],[Base monetaria]]/1000000</f>
        <v>0.47105000000000002</v>
      </c>
      <c r="E806" s="10">
        <v>8.91</v>
      </c>
      <c r="F806" s="11">
        <v>33910</v>
      </c>
      <c r="H806" s="12">
        <f>(PrincipalesVariables[[#This Row],[Base monetaria]]-C805)/C805</f>
        <v>4.174021300725657E-3</v>
      </c>
      <c r="I806" s="12">
        <f>(PrincipalesVariables[[#This Row],[Dólar  mayorista]]-E805)/E805</f>
        <v>1.1235955056179536E-3</v>
      </c>
      <c r="J806" s="12">
        <f>(PrincipalesVariables[[#This Row],[Reservas internacionales]]-F805)/F805</f>
        <v>2.949069568551122E-5</v>
      </c>
    </row>
    <row r="807" spans="1:10" ht="15.75" thickBot="1" x14ac:dyDescent="0.3">
      <c r="A807" s="14">
        <v>42129</v>
      </c>
      <c r="B807" s="15">
        <v>42129</v>
      </c>
      <c r="C807" s="16">
        <v>468356</v>
      </c>
      <c r="D807" s="10">
        <f>PrincipalesVariables[[#This Row],[Base monetaria]]/1000000</f>
        <v>0.46835599999999999</v>
      </c>
      <c r="E807" s="10">
        <v>8.91</v>
      </c>
      <c r="F807" s="11">
        <v>33901</v>
      </c>
      <c r="H807" s="12">
        <f>(PrincipalesVariables[[#This Row],[Base monetaria]]-C806)/C806</f>
        <v>-5.7191380957435515E-3</v>
      </c>
      <c r="I807" s="12">
        <f>(PrincipalesVariables[[#This Row],[Dólar  mayorista]]-E806)/E806</f>
        <v>0</v>
      </c>
      <c r="J807" s="12">
        <f>(PrincipalesVariables[[#This Row],[Reservas internacionales]]-F806)/F806</f>
        <v>-2.6540843409023887E-4</v>
      </c>
    </row>
    <row r="808" spans="1:10" ht="15.75" thickBot="1" x14ac:dyDescent="0.3">
      <c r="A808" s="14">
        <v>42130</v>
      </c>
      <c r="B808" s="15">
        <v>42130</v>
      </c>
      <c r="C808" s="16">
        <v>465817</v>
      </c>
      <c r="D808" s="10">
        <f>PrincipalesVariables[[#This Row],[Base monetaria]]/1000000</f>
        <v>0.46581699999999998</v>
      </c>
      <c r="E808" s="10">
        <v>8.92</v>
      </c>
      <c r="F808" s="11">
        <v>33905</v>
      </c>
      <c r="H808" s="12">
        <f>(PrincipalesVariables[[#This Row],[Base monetaria]]-C807)/C807</f>
        <v>-5.4210899401310117E-3</v>
      </c>
      <c r="I808" s="12">
        <f>(PrincipalesVariables[[#This Row],[Dólar  mayorista]]-E807)/E807</f>
        <v>1.122334455667765E-3</v>
      </c>
      <c r="J808" s="12">
        <f>(PrincipalesVariables[[#This Row],[Reservas internacionales]]-F807)/F807</f>
        <v>1.1799061974573021E-4</v>
      </c>
    </row>
    <row r="809" spans="1:10" ht="15.75" thickBot="1" x14ac:dyDescent="0.3">
      <c r="A809" s="14">
        <v>42131</v>
      </c>
      <c r="B809" s="15">
        <v>42131</v>
      </c>
      <c r="C809" s="16">
        <v>465781</v>
      </c>
      <c r="D809" s="10">
        <f>PrincipalesVariables[[#This Row],[Base monetaria]]/1000000</f>
        <v>0.465781</v>
      </c>
      <c r="E809" s="10">
        <v>8.92</v>
      </c>
      <c r="F809" s="11">
        <v>33874</v>
      </c>
      <c r="H809" s="12">
        <f>(PrincipalesVariables[[#This Row],[Base monetaria]]-C808)/C808</f>
        <v>-7.7283568439966767E-5</v>
      </c>
      <c r="I809" s="12">
        <f>(PrincipalesVariables[[#This Row],[Dólar  mayorista]]-E808)/E808</f>
        <v>0</v>
      </c>
      <c r="J809" s="12">
        <f>(PrincipalesVariables[[#This Row],[Reservas internacionales]]-F808)/F808</f>
        <v>-9.1431942191417192E-4</v>
      </c>
    </row>
    <row r="810" spans="1:10" ht="15.75" thickBot="1" x14ac:dyDescent="0.3">
      <c r="A810" s="14">
        <v>42132</v>
      </c>
      <c r="B810" s="15">
        <v>42132</v>
      </c>
      <c r="C810" s="16">
        <v>469750</v>
      </c>
      <c r="D810" s="10">
        <f>PrincipalesVariables[[#This Row],[Base monetaria]]/1000000</f>
        <v>0.46975</v>
      </c>
      <c r="E810" s="10">
        <v>8.93</v>
      </c>
      <c r="F810" s="11">
        <v>33852</v>
      </c>
      <c r="H810" s="12">
        <f>(PrincipalesVariables[[#This Row],[Base monetaria]]-C809)/C809</f>
        <v>8.5211719670832426E-3</v>
      </c>
      <c r="I810" s="12">
        <f>(PrincipalesVariables[[#This Row],[Dólar  mayorista]]-E809)/E809</f>
        <v>1.1210762331838326E-3</v>
      </c>
      <c r="J810" s="12">
        <f>(PrincipalesVariables[[#This Row],[Reservas internacionales]]-F809)/F809</f>
        <v>-6.4946566688315526E-4</v>
      </c>
    </row>
    <row r="811" spans="1:10" ht="15.75" thickBot="1" x14ac:dyDescent="0.3">
      <c r="A811" s="14">
        <v>42135</v>
      </c>
      <c r="B811" s="15">
        <v>42135</v>
      </c>
      <c r="C811" s="16">
        <v>475899</v>
      </c>
      <c r="D811" s="10">
        <f>PrincipalesVariables[[#This Row],[Base monetaria]]/1000000</f>
        <v>0.47589900000000002</v>
      </c>
      <c r="E811" s="10">
        <v>8.93</v>
      </c>
      <c r="F811" s="11">
        <v>33856</v>
      </c>
      <c r="H811" s="12">
        <f>(PrincipalesVariables[[#This Row],[Base monetaria]]-C810)/C810</f>
        <v>1.3089941458222459E-2</v>
      </c>
      <c r="I811" s="12">
        <f>(PrincipalesVariables[[#This Row],[Dólar  mayorista]]-E810)/E810</f>
        <v>0</v>
      </c>
      <c r="J811" s="12">
        <f>(PrincipalesVariables[[#This Row],[Reservas internacionales]]-F810)/F810</f>
        <v>1.1816140848398913E-4</v>
      </c>
    </row>
    <row r="812" spans="1:10" ht="15.75" thickBot="1" x14ac:dyDescent="0.3">
      <c r="A812" s="14">
        <v>42136</v>
      </c>
      <c r="B812" s="15">
        <v>42136</v>
      </c>
      <c r="C812" s="16">
        <v>477229</v>
      </c>
      <c r="D812" s="10">
        <f>PrincipalesVariables[[#This Row],[Base monetaria]]/1000000</f>
        <v>0.47722900000000001</v>
      </c>
      <c r="E812" s="10">
        <v>8.94</v>
      </c>
      <c r="F812" s="11">
        <v>33866</v>
      </c>
      <c r="H812" s="12">
        <f>(PrincipalesVariables[[#This Row],[Base monetaria]]-C811)/C811</f>
        <v>2.7947106423842033E-3</v>
      </c>
      <c r="I812" s="12">
        <f>(PrincipalesVariables[[#This Row],[Dólar  mayorista]]-E811)/E811</f>
        <v>1.1198208286673894E-3</v>
      </c>
      <c r="J812" s="12">
        <f>(PrincipalesVariables[[#This Row],[Reservas internacionales]]-F811)/F811</f>
        <v>2.9536862003780718E-4</v>
      </c>
    </row>
    <row r="813" spans="1:10" ht="15.75" thickBot="1" x14ac:dyDescent="0.3">
      <c r="A813" s="14">
        <v>42137</v>
      </c>
      <c r="B813" s="15">
        <v>42137</v>
      </c>
      <c r="C813" s="16">
        <v>474127</v>
      </c>
      <c r="D813" s="10">
        <f>PrincipalesVariables[[#This Row],[Base monetaria]]/1000000</f>
        <v>0.47412700000000002</v>
      </c>
      <c r="E813" s="10">
        <v>8.94</v>
      </c>
      <c r="F813" s="11">
        <v>33860</v>
      </c>
      <c r="H813" s="12">
        <f>(PrincipalesVariables[[#This Row],[Base monetaria]]-C812)/C812</f>
        <v>-6.5000240974458804E-3</v>
      </c>
      <c r="I813" s="12">
        <f>(PrincipalesVariables[[#This Row],[Dólar  mayorista]]-E812)/E812</f>
        <v>0</v>
      </c>
      <c r="J813" s="12">
        <f>(PrincipalesVariables[[#This Row],[Reservas internacionales]]-F812)/F812</f>
        <v>-1.7716884190633673E-4</v>
      </c>
    </row>
    <row r="814" spans="1:10" ht="15.75" thickBot="1" x14ac:dyDescent="0.3">
      <c r="A814" s="14">
        <v>42138</v>
      </c>
      <c r="B814" s="15">
        <v>42138</v>
      </c>
      <c r="C814" s="16">
        <v>471670</v>
      </c>
      <c r="D814" s="10">
        <f>PrincipalesVariables[[#This Row],[Base monetaria]]/1000000</f>
        <v>0.47166999999999998</v>
      </c>
      <c r="E814" s="10">
        <v>8.94</v>
      </c>
      <c r="F814" s="11">
        <v>33861</v>
      </c>
      <c r="H814" s="12">
        <f>(PrincipalesVariables[[#This Row],[Base monetaria]]-C813)/C813</f>
        <v>-5.1821558358836348E-3</v>
      </c>
      <c r="I814" s="12">
        <f>(PrincipalesVariables[[#This Row],[Dólar  mayorista]]-E813)/E813</f>
        <v>0</v>
      </c>
      <c r="J814" s="12">
        <f>(PrincipalesVariables[[#This Row],[Reservas internacionales]]-F813)/F813</f>
        <v>2.9533372711163615E-5</v>
      </c>
    </row>
    <row r="815" spans="1:10" ht="15.75" thickBot="1" x14ac:dyDescent="0.3">
      <c r="A815" s="14">
        <v>42139</v>
      </c>
      <c r="B815" s="15">
        <v>42139</v>
      </c>
      <c r="C815" s="16">
        <v>470377</v>
      </c>
      <c r="D815" s="10">
        <f>PrincipalesVariables[[#This Row],[Base monetaria]]/1000000</f>
        <v>0.47037699999999999</v>
      </c>
      <c r="E815" s="10">
        <v>8.9499999999999993</v>
      </c>
      <c r="F815" s="11">
        <v>33866</v>
      </c>
      <c r="H815" s="12">
        <f>(PrincipalesVariables[[#This Row],[Base monetaria]]-C814)/C814</f>
        <v>-2.7413233828736195E-3</v>
      </c>
      <c r="I815" s="12">
        <f>(PrincipalesVariables[[#This Row],[Dólar  mayorista]]-E814)/E814</f>
        <v>1.1185682326621685E-3</v>
      </c>
      <c r="J815" s="12">
        <f>(PrincipalesVariables[[#This Row],[Reservas internacionales]]-F814)/F814</f>
        <v>1.4766250258409379E-4</v>
      </c>
    </row>
    <row r="816" spans="1:10" ht="15.75" thickBot="1" x14ac:dyDescent="0.3">
      <c r="A816" s="14">
        <v>42142</v>
      </c>
      <c r="B816" s="15">
        <v>42142</v>
      </c>
      <c r="C816" s="16">
        <v>470126</v>
      </c>
      <c r="D816" s="10">
        <f>PrincipalesVariables[[#This Row],[Base monetaria]]/1000000</f>
        <v>0.47012599999999999</v>
      </c>
      <c r="E816" s="10">
        <v>8.9499999999999993</v>
      </c>
      <c r="F816" s="11">
        <v>33871</v>
      </c>
      <c r="H816" s="12">
        <f>(PrincipalesVariables[[#This Row],[Base monetaria]]-C815)/C815</f>
        <v>-5.3361452622045725E-4</v>
      </c>
      <c r="I816" s="12">
        <f>(PrincipalesVariables[[#This Row],[Dólar  mayorista]]-E815)/E815</f>
        <v>0</v>
      </c>
      <c r="J816" s="12">
        <f>(PrincipalesVariables[[#This Row],[Reservas internacionales]]-F815)/F815</f>
        <v>1.4764070158861394E-4</v>
      </c>
    </row>
    <row r="817" spans="1:10" ht="15.75" thickBot="1" x14ac:dyDescent="0.3">
      <c r="A817" s="14">
        <v>42143</v>
      </c>
      <c r="B817" s="15">
        <v>42143</v>
      </c>
      <c r="C817" s="16">
        <v>467592</v>
      </c>
      <c r="D817" s="10">
        <f>PrincipalesVariables[[#This Row],[Base monetaria]]/1000000</f>
        <v>0.46759200000000001</v>
      </c>
      <c r="E817" s="10">
        <v>8.9600000000000009</v>
      </c>
      <c r="F817" s="11">
        <v>33868</v>
      </c>
      <c r="H817" s="12">
        <f>(PrincipalesVariables[[#This Row],[Base monetaria]]-C816)/C816</f>
        <v>-5.3900443710834965E-3</v>
      </c>
      <c r="I817" s="12">
        <f>(PrincipalesVariables[[#This Row],[Dólar  mayorista]]-E816)/E816</f>
        <v>1.1173184357543646E-3</v>
      </c>
      <c r="J817" s="12">
        <f>(PrincipalesVariables[[#This Row],[Reservas internacionales]]-F816)/F816</f>
        <v>-8.8571344217767411E-5</v>
      </c>
    </row>
    <row r="818" spans="1:10" ht="15.75" thickBot="1" x14ac:dyDescent="0.3">
      <c r="A818" s="14">
        <v>42144</v>
      </c>
      <c r="B818" s="15">
        <v>42144</v>
      </c>
      <c r="C818" s="16">
        <v>467835</v>
      </c>
      <c r="D818" s="10">
        <f>PrincipalesVariables[[#This Row],[Base monetaria]]/1000000</f>
        <v>0.467835</v>
      </c>
      <c r="E818" s="10">
        <v>8.9600000000000009</v>
      </c>
      <c r="F818" s="11">
        <v>33873</v>
      </c>
      <c r="H818" s="12">
        <f>(PrincipalesVariables[[#This Row],[Base monetaria]]-C817)/C817</f>
        <v>5.1968382692603812E-4</v>
      </c>
      <c r="I818" s="12">
        <f>(PrincipalesVariables[[#This Row],[Dólar  mayorista]]-E817)/E817</f>
        <v>0</v>
      </c>
      <c r="J818" s="12">
        <f>(PrincipalesVariables[[#This Row],[Reservas internacionales]]-F817)/F817</f>
        <v>1.4763198299279557E-4</v>
      </c>
    </row>
    <row r="819" spans="1:10" ht="15.75" thickBot="1" x14ac:dyDescent="0.3">
      <c r="A819" s="14">
        <v>42145</v>
      </c>
      <c r="B819" s="15">
        <v>42145</v>
      </c>
      <c r="C819" s="16">
        <v>462520</v>
      </c>
      <c r="D819" s="10">
        <f>PrincipalesVariables[[#This Row],[Base monetaria]]/1000000</f>
        <v>0.46251999999999999</v>
      </c>
      <c r="E819" s="10">
        <v>8.9700000000000006</v>
      </c>
      <c r="F819" s="11">
        <v>33875</v>
      </c>
      <c r="H819" s="12">
        <f>(PrincipalesVariables[[#This Row],[Base monetaria]]-C818)/C818</f>
        <v>-1.1360843032265649E-2</v>
      </c>
      <c r="I819" s="12">
        <f>(PrincipalesVariables[[#This Row],[Dólar  mayorista]]-E818)/E818</f>
        <v>1.1160714285714047E-3</v>
      </c>
      <c r="J819" s="12">
        <f>(PrincipalesVariables[[#This Row],[Reservas internacionales]]-F818)/F818</f>
        <v>5.9044076403034865E-5</v>
      </c>
    </row>
    <row r="820" spans="1:10" ht="15.75" thickBot="1" x14ac:dyDescent="0.3">
      <c r="A820" s="14">
        <v>42146</v>
      </c>
      <c r="B820" s="15">
        <v>42146</v>
      </c>
      <c r="C820" s="16">
        <v>465654</v>
      </c>
      <c r="D820" s="10">
        <f>PrincipalesVariables[[#This Row],[Base monetaria]]/1000000</f>
        <v>0.46565400000000001</v>
      </c>
      <c r="E820" s="10">
        <v>8.9700000000000006</v>
      </c>
      <c r="F820" s="11">
        <v>33881</v>
      </c>
      <c r="H820" s="12">
        <f>(PrincipalesVariables[[#This Row],[Base monetaria]]-C819)/C819</f>
        <v>6.7759232033209379E-3</v>
      </c>
      <c r="I820" s="12">
        <f>(PrincipalesVariables[[#This Row],[Dólar  mayorista]]-E819)/E819</f>
        <v>0</v>
      </c>
      <c r="J820" s="12">
        <f>(PrincipalesVariables[[#This Row],[Reservas internacionales]]-F819)/F819</f>
        <v>1.7712177121771217E-4</v>
      </c>
    </row>
    <row r="821" spans="1:10" ht="15.75" thickBot="1" x14ac:dyDescent="0.3">
      <c r="A821" s="14">
        <v>42150</v>
      </c>
      <c r="B821" s="15">
        <v>42150</v>
      </c>
      <c r="C821" s="16">
        <v>465313</v>
      </c>
      <c r="D821" s="10">
        <f>PrincipalesVariables[[#This Row],[Base monetaria]]/1000000</f>
        <v>0.46531299999999998</v>
      </c>
      <c r="E821" s="10">
        <v>8.9700000000000006</v>
      </c>
      <c r="F821" s="11">
        <v>33818</v>
      </c>
      <c r="H821" s="12">
        <f>(PrincipalesVariables[[#This Row],[Base monetaria]]-C820)/C820</f>
        <v>-7.3230338405769094E-4</v>
      </c>
      <c r="I821" s="12">
        <f>(PrincipalesVariables[[#This Row],[Dólar  mayorista]]-E820)/E820</f>
        <v>0</v>
      </c>
      <c r="J821" s="12">
        <f>(PrincipalesVariables[[#This Row],[Reservas internacionales]]-F820)/F820</f>
        <v>-1.8594492488415335E-3</v>
      </c>
    </row>
    <row r="822" spans="1:10" ht="15.75" thickBot="1" x14ac:dyDescent="0.3">
      <c r="A822" s="14">
        <v>42151</v>
      </c>
      <c r="B822" s="15">
        <v>42151</v>
      </c>
      <c r="C822" s="16">
        <v>469307</v>
      </c>
      <c r="D822" s="10">
        <f>PrincipalesVariables[[#This Row],[Base monetaria]]/1000000</f>
        <v>0.46930699999999997</v>
      </c>
      <c r="E822" s="10">
        <v>8.98</v>
      </c>
      <c r="F822" s="11">
        <v>33817</v>
      </c>
      <c r="H822" s="12">
        <f>(PrincipalesVariables[[#This Row],[Base monetaria]]-C821)/C821</f>
        <v>8.5834696215235772E-3</v>
      </c>
      <c r="I822" s="12">
        <f>(PrincipalesVariables[[#This Row],[Dólar  mayorista]]-E821)/E821</f>
        <v>1.1148272017836997E-3</v>
      </c>
      <c r="J822" s="12">
        <f>(PrincipalesVariables[[#This Row],[Reservas internacionales]]-F821)/F821</f>
        <v>-2.9570051451889525E-5</v>
      </c>
    </row>
    <row r="823" spans="1:10" ht="15.75" thickBot="1" x14ac:dyDescent="0.3">
      <c r="A823" s="14">
        <v>42152</v>
      </c>
      <c r="B823" s="15">
        <v>42152</v>
      </c>
      <c r="C823" s="16">
        <v>462384</v>
      </c>
      <c r="D823" s="10">
        <f>PrincipalesVariables[[#This Row],[Base monetaria]]/1000000</f>
        <v>0.46238400000000002</v>
      </c>
      <c r="E823" s="10">
        <v>8.98</v>
      </c>
      <c r="F823" s="11">
        <v>33272</v>
      </c>
      <c r="H823" s="12">
        <f>(PrincipalesVariables[[#This Row],[Base monetaria]]-C822)/C822</f>
        <v>-1.4751537905891026E-2</v>
      </c>
      <c r="I823" s="12">
        <f>(PrincipalesVariables[[#This Row],[Dólar  mayorista]]-E822)/E822</f>
        <v>0</v>
      </c>
      <c r="J823" s="12">
        <f>(PrincipalesVariables[[#This Row],[Reservas internacionales]]-F822)/F822</f>
        <v>-1.6116154596800426E-2</v>
      </c>
    </row>
    <row r="824" spans="1:10" ht="15.75" thickBot="1" x14ac:dyDescent="0.3">
      <c r="A824" s="14">
        <v>42153</v>
      </c>
      <c r="B824" s="15">
        <v>42153</v>
      </c>
      <c r="C824" s="16">
        <v>462104</v>
      </c>
      <c r="D824" s="10">
        <f>PrincipalesVariables[[#This Row],[Base monetaria]]/1000000</f>
        <v>0.46210400000000001</v>
      </c>
      <c r="E824" s="10">
        <v>8.99</v>
      </c>
      <c r="F824" s="11">
        <v>33283</v>
      </c>
      <c r="H824" s="12">
        <f>(PrincipalesVariables[[#This Row],[Base monetaria]]-C823)/C823</f>
        <v>-6.0555728571922904E-4</v>
      </c>
      <c r="I824" s="12">
        <f>(PrincipalesVariables[[#This Row],[Dólar  mayorista]]-E823)/E823</f>
        <v>1.1135857461024262E-3</v>
      </c>
      <c r="J824" s="12">
        <f>(PrincipalesVariables[[#This Row],[Reservas internacionales]]-F823)/F823</f>
        <v>3.3060831930752587E-4</v>
      </c>
    </row>
    <row r="825" spans="1:10" ht="15.75" thickBot="1" x14ac:dyDescent="0.3">
      <c r="A825" s="14">
        <v>42156</v>
      </c>
      <c r="B825" s="15">
        <v>42156</v>
      </c>
      <c r="C825" s="16">
        <v>478884</v>
      </c>
      <c r="D825" s="10">
        <f>PrincipalesVariables[[#This Row],[Base monetaria]]/1000000</f>
        <v>0.47888399999999998</v>
      </c>
      <c r="E825" s="10">
        <v>9</v>
      </c>
      <c r="F825" s="11">
        <v>33283</v>
      </c>
      <c r="H825" s="12">
        <f>(PrincipalesVariables[[#This Row],[Base monetaria]]-C824)/C824</f>
        <v>3.6312172151723422E-2</v>
      </c>
      <c r="I825" s="12">
        <f>(PrincipalesVariables[[#This Row],[Dólar  mayorista]]-E824)/E824</f>
        <v>1.1123470522802878E-3</v>
      </c>
      <c r="J825" s="12">
        <f>(PrincipalesVariables[[#This Row],[Reservas internacionales]]-F824)/F824</f>
        <v>0</v>
      </c>
    </row>
    <row r="826" spans="1:10" ht="15.75" thickBot="1" x14ac:dyDescent="0.3">
      <c r="A826" s="14">
        <v>42157</v>
      </c>
      <c r="B826" s="15">
        <v>42157</v>
      </c>
      <c r="C826" s="16">
        <v>481242</v>
      </c>
      <c r="D826" s="10">
        <f>PrincipalesVariables[[#This Row],[Base monetaria]]/1000000</f>
        <v>0.481242</v>
      </c>
      <c r="E826" s="10">
        <v>9</v>
      </c>
      <c r="F826" s="11">
        <v>33288</v>
      </c>
      <c r="H826" s="12">
        <f>(PrincipalesVariables[[#This Row],[Base monetaria]]-C825)/C825</f>
        <v>4.9239481795173776E-3</v>
      </c>
      <c r="I826" s="12">
        <f>(PrincipalesVariables[[#This Row],[Dólar  mayorista]]-E825)/E825</f>
        <v>0</v>
      </c>
      <c r="J826" s="12">
        <f>(PrincipalesVariables[[#This Row],[Reservas internacionales]]-F825)/F825</f>
        <v>1.5022684253222367E-4</v>
      </c>
    </row>
    <row r="827" spans="1:10" ht="15.75" thickBot="1" x14ac:dyDescent="0.3">
      <c r="A827" s="14">
        <v>42158</v>
      </c>
      <c r="B827" s="15">
        <v>42158</v>
      </c>
      <c r="C827" s="16">
        <v>475267</v>
      </c>
      <c r="D827" s="10">
        <f>PrincipalesVariables[[#This Row],[Base monetaria]]/1000000</f>
        <v>0.475267</v>
      </c>
      <c r="E827" s="10">
        <v>9.01</v>
      </c>
      <c r="F827" s="11">
        <v>33280</v>
      </c>
      <c r="H827" s="12">
        <f>(PrincipalesVariables[[#This Row],[Base monetaria]]-C826)/C826</f>
        <v>-1.2415790807951093E-2</v>
      </c>
      <c r="I827" s="12">
        <f>(PrincipalesVariables[[#This Row],[Dólar  mayorista]]-E826)/E826</f>
        <v>1.1111111111110875E-3</v>
      </c>
      <c r="J827" s="12">
        <f>(PrincipalesVariables[[#This Row],[Reservas internacionales]]-F826)/F826</f>
        <v>-2.4032684450853159E-4</v>
      </c>
    </row>
    <row r="828" spans="1:10" ht="15.75" thickBot="1" x14ac:dyDescent="0.3">
      <c r="A828" s="14">
        <v>42159</v>
      </c>
      <c r="B828" s="15">
        <v>42159</v>
      </c>
      <c r="C828" s="16">
        <v>484756</v>
      </c>
      <c r="D828" s="10">
        <f>PrincipalesVariables[[#This Row],[Base monetaria]]/1000000</f>
        <v>0.48475600000000002</v>
      </c>
      <c r="E828" s="10">
        <v>9.01</v>
      </c>
      <c r="F828" s="11">
        <v>33306</v>
      </c>
      <c r="H828" s="12">
        <f>(PrincipalesVariables[[#This Row],[Base monetaria]]-C827)/C827</f>
        <v>1.9965619325558053E-2</v>
      </c>
      <c r="I828" s="12">
        <f>(PrincipalesVariables[[#This Row],[Dólar  mayorista]]-E827)/E827</f>
        <v>0</v>
      </c>
      <c r="J828" s="12">
        <f>(PrincipalesVariables[[#This Row],[Reservas internacionales]]-F827)/F827</f>
        <v>7.8125000000000004E-4</v>
      </c>
    </row>
    <row r="829" spans="1:10" ht="15.75" thickBot="1" x14ac:dyDescent="0.3">
      <c r="A829" s="14">
        <v>42160</v>
      </c>
      <c r="B829" s="15">
        <v>42160</v>
      </c>
      <c r="C829" s="16">
        <v>482913</v>
      </c>
      <c r="D829" s="10">
        <f>PrincipalesVariables[[#This Row],[Base monetaria]]/1000000</f>
        <v>0.48291299999999998</v>
      </c>
      <c r="E829" s="10">
        <v>9.01</v>
      </c>
      <c r="F829" s="11">
        <v>33285</v>
      </c>
      <c r="H829" s="12">
        <f>(PrincipalesVariables[[#This Row],[Base monetaria]]-C828)/C828</f>
        <v>-3.8019127148503579E-3</v>
      </c>
      <c r="I829" s="12">
        <f>(PrincipalesVariables[[#This Row],[Dólar  mayorista]]-E828)/E828</f>
        <v>0</v>
      </c>
      <c r="J829" s="12">
        <f>(PrincipalesVariables[[#This Row],[Reservas internacionales]]-F828)/F828</f>
        <v>-6.3051702395964691E-4</v>
      </c>
    </row>
    <row r="830" spans="1:10" ht="15.75" thickBot="1" x14ac:dyDescent="0.3">
      <c r="A830" s="14">
        <v>42163</v>
      </c>
      <c r="B830" s="15">
        <v>42163</v>
      </c>
      <c r="C830" s="16">
        <v>491339</v>
      </c>
      <c r="D830" s="10">
        <f>PrincipalesVariables[[#This Row],[Base monetaria]]/1000000</f>
        <v>0.49133900000000003</v>
      </c>
      <c r="E830" s="10">
        <v>9.02</v>
      </c>
      <c r="F830" s="11">
        <v>33288</v>
      </c>
      <c r="H830" s="12">
        <f>(PrincipalesVariables[[#This Row],[Base monetaria]]-C829)/C829</f>
        <v>1.7448277432995176E-2</v>
      </c>
      <c r="I830" s="12">
        <f>(PrincipalesVariables[[#This Row],[Dólar  mayorista]]-E829)/E829</f>
        <v>1.1098779134294991E-3</v>
      </c>
      <c r="J830" s="12">
        <f>(PrincipalesVariables[[#This Row],[Reservas internacionales]]-F829)/F829</f>
        <v>9.0130689499774678E-5</v>
      </c>
    </row>
    <row r="831" spans="1:10" ht="15.75" thickBot="1" x14ac:dyDescent="0.3">
      <c r="A831" s="14">
        <v>42164</v>
      </c>
      <c r="B831" s="15">
        <v>42164</v>
      </c>
      <c r="C831" s="16">
        <v>490976</v>
      </c>
      <c r="D831" s="10">
        <f>PrincipalesVariables[[#This Row],[Base monetaria]]/1000000</f>
        <v>0.49097600000000002</v>
      </c>
      <c r="E831" s="10">
        <v>9.02</v>
      </c>
      <c r="F831" s="11">
        <v>33795</v>
      </c>
      <c r="H831" s="12">
        <f>(PrincipalesVariables[[#This Row],[Base monetaria]]-C830)/C830</f>
        <v>-7.3879744941883301E-4</v>
      </c>
      <c r="I831" s="12">
        <f>(PrincipalesVariables[[#This Row],[Dólar  mayorista]]-E830)/E830</f>
        <v>0</v>
      </c>
      <c r="J831" s="12">
        <f>(PrincipalesVariables[[#This Row],[Reservas internacionales]]-F830)/F830</f>
        <v>1.5230713770728189E-2</v>
      </c>
    </row>
    <row r="832" spans="1:10" ht="15.75" thickBot="1" x14ac:dyDescent="0.3">
      <c r="A832" s="14">
        <v>42165</v>
      </c>
      <c r="B832" s="15">
        <v>42165</v>
      </c>
      <c r="C832" s="16">
        <v>495431</v>
      </c>
      <c r="D832" s="10">
        <f>PrincipalesVariables[[#This Row],[Base monetaria]]/1000000</f>
        <v>0.49543100000000001</v>
      </c>
      <c r="E832" s="10">
        <v>9.0299999999999994</v>
      </c>
      <c r="F832" s="11">
        <v>33807</v>
      </c>
      <c r="H832" s="12">
        <f>(PrincipalesVariables[[#This Row],[Base monetaria]]-C831)/C831</f>
        <v>9.073763279671512E-3</v>
      </c>
      <c r="I832" s="12">
        <f>(PrincipalesVariables[[#This Row],[Dólar  mayorista]]-E831)/E831</f>
        <v>1.1086474501108411E-3</v>
      </c>
      <c r="J832" s="12">
        <f>(PrincipalesVariables[[#This Row],[Reservas internacionales]]-F831)/F831</f>
        <v>3.5508211273857081E-4</v>
      </c>
    </row>
    <row r="833" spans="1:10" ht="15.75" thickBot="1" x14ac:dyDescent="0.3">
      <c r="A833" s="14">
        <v>42166</v>
      </c>
      <c r="B833" s="15">
        <v>42166</v>
      </c>
      <c r="C833" s="16">
        <v>504476</v>
      </c>
      <c r="D833" s="10">
        <f>PrincipalesVariables[[#This Row],[Base monetaria]]/1000000</f>
        <v>0.50447600000000004</v>
      </c>
      <c r="E833" s="10">
        <v>9.0299999999999994</v>
      </c>
      <c r="F833" s="11">
        <v>33813</v>
      </c>
      <c r="H833" s="12">
        <f>(PrincipalesVariables[[#This Row],[Base monetaria]]-C832)/C832</f>
        <v>1.8256830920955692E-2</v>
      </c>
      <c r="I833" s="12">
        <f>(PrincipalesVariables[[#This Row],[Dólar  mayorista]]-E832)/E832</f>
        <v>0</v>
      </c>
      <c r="J833" s="12">
        <f>(PrincipalesVariables[[#This Row],[Reservas internacionales]]-F832)/F832</f>
        <v>1.7747803709290975E-4</v>
      </c>
    </row>
    <row r="834" spans="1:10" ht="15.75" thickBot="1" x14ac:dyDescent="0.3">
      <c r="A834" s="14">
        <v>42167</v>
      </c>
      <c r="B834" s="15">
        <v>42167</v>
      </c>
      <c r="C834" s="16">
        <v>501449</v>
      </c>
      <c r="D834" s="10">
        <f>PrincipalesVariables[[#This Row],[Base monetaria]]/1000000</f>
        <v>0.50144900000000003</v>
      </c>
      <c r="E834" s="10">
        <v>9.0399999999999991</v>
      </c>
      <c r="F834" s="11">
        <v>33813</v>
      </c>
      <c r="H834" s="12">
        <f>(PrincipalesVariables[[#This Row],[Base monetaria]]-C833)/C833</f>
        <v>-6.0002854446990538E-3</v>
      </c>
      <c r="I834" s="12">
        <f>(PrincipalesVariables[[#This Row],[Dólar  mayorista]]-E833)/E833</f>
        <v>1.1074197120708514E-3</v>
      </c>
      <c r="J834" s="12">
        <f>(PrincipalesVariables[[#This Row],[Reservas internacionales]]-F833)/F833</f>
        <v>0</v>
      </c>
    </row>
    <row r="835" spans="1:10" ht="15.75" thickBot="1" x14ac:dyDescent="0.3">
      <c r="A835" s="14">
        <v>42170</v>
      </c>
      <c r="B835" s="15">
        <v>42170</v>
      </c>
      <c r="C835" s="16">
        <v>502114</v>
      </c>
      <c r="D835" s="10">
        <f>PrincipalesVariables[[#This Row],[Base monetaria]]/1000000</f>
        <v>0.50211399999999995</v>
      </c>
      <c r="E835" s="10">
        <v>9.0399999999999991</v>
      </c>
      <c r="F835" s="11">
        <v>33817</v>
      </c>
      <c r="H835" s="12">
        <f>(PrincipalesVariables[[#This Row],[Base monetaria]]-C834)/C834</f>
        <v>1.3261567976005535E-3</v>
      </c>
      <c r="I835" s="12">
        <f>(PrincipalesVariables[[#This Row],[Dólar  mayorista]]-E834)/E834</f>
        <v>0</v>
      </c>
      <c r="J835" s="12">
        <f>(PrincipalesVariables[[#This Row],[Reservas internacionales]]-F834)/F834</f>
        <v>1.1829769615236744E-4</v>
      </c>
    </row>
    <row r="836" spans="1:10" ht="15.75" thickBot="1" x14ac:dyDescent="0.3">
      <c r="A836" s="14">
        <v>42171</v>
      </c>
      <c r="B836" s="15">
        <v>42171</v>
      </c>
      <c r="C836" s="16">
        <v>499099</v>
      </c>
      <c r="D836" s="10">
        <f>PrincipalesVariables[[#This Row],[Base monetaria]]/1000000</f>
        <v>0.49909900000000001</v>
      </c>
      <c r="E836" s="10">
        <v>9.0500000000000007</v>
      </c>
      <c r="F836" s="11">
        <v>33816</v>
      </c>
      <c r="H836" s="12">
        <f>(PrincipalesVariables[[#This Row],[Base monetaria]]-C835)/C835</f>
        <v>-6.0046124983569472E-3</v>
      </c>
      <c r="I836" s="12">
        <f>(PrincipalesVariables[[#This Row],[Dólar  mayorista]]-E835)/E835</f>
        <v>1.1061946902656597E-3</v>
      </c>
      <c r="J836" s="12">
        <f>(PrincipalesVariables[[#This Row],[Reservas internacionales]]-F835)/F835</f>
        <v>-2.9570925865688855E-5</v>
      </c>
    </row>
    <row r="837" spans="1:10" ht="15.75" thickBot="1" x14ac:dyDescent="0.3">
      <c r="A837" s="14">
        <v>42172</v>
      </c>
      <c r="B837" s="15">
        <v>42172</v>
      </c>
      <c r="C837" s="16">
        <v>489680</v>
      </c>
      <c r="D837" s="10">
        <f>PrincipalesVariables[[#This Row],[Base monetaria]]/1000000</f>
        <v>0.48968</v>
      </c>
      <c r="E837" s="10">
        <v>9.0500000000000007</v>
      </c>
      <c r="F837" s="11">
        <v>33818</v>
      </c>
      <c r="H837" s="12">
        <f>(PrincipalesVariables[[#This Row],[Base monetaria]]-C836)/C836</f>
        <v>-1.8872007357257779E-2</v>
      </c>
      <c r="I837" s="12">
        <f>(PrincipalesVariables[[#This Row],[Dólar  mayorista]]-E836)/E836</f>
        <v>0</v>
      </c>
      <c r="J837" s="12">
        <f>(PrincipalesVariables[[#This Row],[Reservas internacionales]]-F836)/F836</f>
        <v>5.9143600662408327E-5</v>
      </c>
    </row>
    <row r="838" spans="1:10" ht="15.75" thickBot="1" x14ac:dyDescent="0.3">
      <c r="A838" s="14">
        <v>42173</v>
      </c>
      <c r="B838" s="15">
        <v>42173</v>
      </c>
      <c r="C838" s="16">
        <v>486586</v>
      </c>
      <c r="D838" s="10">
        <f>PrincipalesVariables[[#This Row],[Base monetaria]]/1000000</f>
        <v>0.48658600000000002</v>
      </c>
      <c r="E838" s="10">
        <v>9.0500000000000007</v>
      </c>
      <c r="F838" s="11">
        <v>33824</v>
      </c>
      <c r="H838" s="12">
        <f>(PrincipalesVariables[[#This Row],[Base monetaria]]-C837)/C837</f>
        <v>-6.3184120241790561E-3</v>
      </c>
      <c r="I838" s="12">
        <f>(PrincipalesVariables[[#This Row],[Dólar  mayorista]]-E837)/E837</f>
        <v>0</v>
      </c>
      <c r="J838" s="12">
        <f>(PrincipalesVariables[[#This Row],[Reservas internacionales]]-F837)/F837</f>
        <v>1.7742030871133717E-4</v>
      </c>
    </row>
    <row r="839" spans="1:10" ht="15.75" thickBot="1" x14ac:dyDescent="0.3">
      <c r="A839" s="14">
        <v>42174</v>
      </c>
      <c r="B839" s="15">
        <v>42174</v>
      </c>
      <c r="C839" s="16">
        <v>481480</v>
      </c>
      <c r="D839" s="10">
        <f>PrincipalesVariables[[#This Row],[Base monetaria]]/1000000</f>
        <v>0.48148000000000002</v>
      </c>
      <c r="E839" s="10">
        <v>9.06</v>
      </c>
      <c r="F839" s="11">
        <v>33829</v>
      </c>
      <c r="H839" s="12">
        <f>(PrincipalesVariables[[#This Row],[Base monetaria]]-C838)/C838</f>
        <v>-1.0493520158820846E-2</v>
      </c>
      <c r="I839" s="12">
        <f>(PrincipalesVariables[[#This Row],[Dólar  mayorista]]-E838)/E838</f>
        <v>1.1049723756905842E-3</v>
      </c>
      <c r="J839" s="12">
        <f>(PrincipalesVariables[[#This Row],[Reservas internacionales]]-F838)/F838</f>
        <v>1.478240302743614E-4</v>
      </c>
    </row>
    <row r="840" spans="1:10" ht="15.75" thickBot="1" x14ac:dyDescent="0.3">
      <c r="A840" s="14">
        <v>42177</v>
      </c>
      <c r="B840" s="15">
        <v>42177</v>
      </c>
      <c r="C840" s="16">
        <v>480254</v>
      </c>
      <c r="D840" s="10">
        <f>PrincipalesVariables[[#This Row],[Base monetaria]]/1000000</f>
        <v>0.48025400000000001</v>
      </c>
      <c r="E840" s="10">
        <v>9.06</v>
      </c>
      <c r="F840" s="11">
        <v>33821</v>
      </c>
      <c r="H840" s="12">
        <f>(PrincipalesVariables[[#This Row],[Base monetaria]]-C839)/C839</f>
        <v>-2.5463155271246989E-3</v>
      </c>
      <c r="I840" s="12">
        <f>(PrincipalesVariables[[#This Row],[Dólar  mayorista]]-E839)/E839</f>
        <v>0</v>
      </c>
      <c r="J840" s="12">
        <f>(PrincipalesVariables[[#This Row],[Reservas internacionales]]-F839)/F839</f>
        <v>-2.3648349049631973E-4</v>
      </c>
    </row>
    <row r="841" spans="1:10" ht="15.75" thickBot="1" x14ac:dyDescent="0.3">
      <c r="A841" s="14">
        <v>42178</v>
      </c>
      <c r="B841" s="15">
        <v>42178</v>
      </c>
      <c r="C841" s="16">
        <v>483602</v>
      </c>
      <c r="D841" s="10">
        <f>PrincipalesVariables[[#This Row],[Base monetaria]]/1000000</f>
        <v>0.48360199999999998</v>
      </c>
      <c r="E841" s="10">
        <v>9.06</v>
      </c>
      <c r="F841" s="11">
        <v>33816</v>
      </c>
      <c r="H841" s="12">
        <f>(PrincipalesVariables[[#This Row],[Base monetaria]]-C840)/C840</f>
        <v>6.9713110145881137E-3</v>
      </c>
      <c r="I841" s="12">
        <f>(PrincipalesVariables[[#This Row],[Dólar  mayorista]]-E840)/E840</f>
        <v>0</v>
      </c>
      <c r="J841" s="12">
        <f>(PrincipalesVariables[[#This Row],[Reservas internacionales]]-F840)/F840</f>
        <v>-1.4783714260370776E-4</v>
      </c>
    </row>
    <row r="842" spans="1:10" ht="15.75" thickBot="1" x14ac:dyDescent="0.3">
      <c r="A842" s="14">
        <v>42179</v>
      </c>
      <c r="B842" s="15">
        <v>42179</v>
      </c>
      <c r="C842" s="16">
        <v>487533</v>
      </c>
      <c r="D842" s="10">
        <f>PrincipalesVariables[[#This Row],[Base monetaria]]/1000000</f>
        <v>0.48753299999999999</v>
      </c>
      <c r="E842" s="10">
        <v>9.07</v>
      </c>
      <c r="F842" s="11">
        <v>33821</v>
      </c>
      <c r="H842" s="12">
        <f>(PrincipalesVariables[[#This Row],[Base monetaria]]-C841)/C841</f>
        <v>8.1285850761576676E-3</v>
      </c>
      <c r="I842" s="12">
        <f>(PrincipalesVariables[[#This Row],[Dólar  mayorista]]-E841)/E841</f>
        <v>1.1037527593818748E-3</v>
      </c>
      <c r="J842" s="12">
        <f>(PrincipalesVariables[[#This Row],[Reservas internacionales]]-F841)/F841</f>
        <v>1.4785900165602083E-4</v>
      </c>
    </row>
    <row r="843" spans="1:10" ht="15.75" thickBot="1" x14ac:dyDescent="0.3">
      <c r="A843" s="14">
        <v>42180</v>
      </c>
      <c r="B843" s="15">
        <v>42180</v>
      </c>
      <c r="C843" s="16">
        <v>481341</v>
      </c>
      <c r="D843" s="10">
        <f>PrincipalesVariables[[#This Row],[Base monetaria]]/1000000</f>
        <v>0.48134100000000002</v>
      </c>
      <c r="E843" s="10">
        <v>9.07</v>
      </c>
      <c r="F843" s="11">
        <v>33835</v>
      </c>
      <c r="H843" s="12">
        <f>(PrincipalesVariables[[#This Row],[Base monetaria]]-C842)/C842</f>
        <v>-1.2700678723286424E-2</v>
      </c>
      <c r="I843" s="12">
        <f>(PrincipalesVariables[[#This Row],[Dólar  mayorista]]-E842)/E842</f>
        <v>0</v>
      </c>
      <c r="J843" s="12">
        <f>(PrincipalesVariables[[#This Row],[Reservas internacionales]]-F842)/F842</f>
        <v>4.1394399929038173E-4</v>
      </c>
    </row>
    <row r="844" spans="1:10" ht="15.75" thickBot="1" x14ac:dyDescent="0.3">
      <c r="A844" s="14">
        <v>42181</v>
      </c>
      <c r="B844" s="15">
        <v>42181</v>
      </c>
      <c r="C844" s="16">
        <v>487884</v>
      </c>
      <c r="D844" s="10">
        <f>PrincipalesVariables[[#This Row],[Base monetaria]]/1000000</f>
        <v>0.48788399999999998</v>
      </c>
      <c r="E844" s="10">
        <v>9.08</v>
      </c>
      <c r="F844" s="11">
        <v>33833</v>
      </c>
      <c r="H844" s="12">
        <f>(PrincipalesVariables[[#This Row],[Base monetaria]]-C843)/C843</f>
        <v>1.3593273791345428E-2</v>
      </c>
      <c r="I844" s="12">
        <f>(PrincipalesVariables[[#This Row],[Dólar  mayorista]]-E843)/E843</f>
        <v>1.1025358324145299E-3</v>
      </c>
      <c r="J844" s="12">
        <f>(PrincipalesVariables[[#This Row],[Reservas internacionales]]-F843)/F843</f>
        <v>-5.9110388650805381E-5</v>
      </c>
    </row>
    <row r="845" spans="1:10" ht="15.75" thickBot="1" x14ac:dyDescent="0.3">
      <c r="A845" s="14">
        <v>42184</v>
      </c>
      <c r="B845" s="15">
        <v>42184</v>
      </c>
      <c r="C845" s="16">
        <v>484994</v>
      </c>
      <c r="D845" s="10">
        <f>PrincipalesVariables[[#This Row],[Base monetaria]]/1000000</f>
        <v>0.48499399999999998</v>
      </c>
      <c r="E845" s="10">
        <v>9.08</v>
      </c>
      <c r="F845" s="11">
        <v>33842</v>
      </c>
      <c r="H845" s="12">
        <f>(PrincipalesVariables[[#This Row],[Base monetaria]]-C844)/C844</f>
        <v>-5.9235392019414447E-3</v>
      </c>
      <c r="I845" s="12">
        <f>(PrincipalesVariables[[#This Row],[Dólar  mayorista]]-E844)/E844</f>
        <v>0</v>
      </c>
      <c r="J845" s="12">
        <f>(PrincipalesVariables[[#This Row],[Reservas internacionales]]-F844)/F844</f>
        <v>2.6601247302929091E-4</v>
      </c>
    </row>
    <row r="846" spans="1:10" ht="15.75" thickBot="1" x14ac:dyDescent="0.3">
      <c r="A846" s="14">
        <v>42185</v>
      </c>
      <c r="B846" s="15">
        <v>42185</v>
      </c>
      <c r="C846" s="16">
        <v>482719</v>
      </c>
      <c r="D846" s="10">
        <f>PrincipalesVariables[[#This Row],[Base monetaria]]/1000000</f>
        <v>0.48271900000000001</v>
      </c>
      <c r="E846" s="10">
        <v>9.09</v>
      </c>
      <c r="F846" s="11">
        <v>33851</v>
      </c>
      <c r="H846" s="12">
        <f>(PrincipalesVariables[[#This Row],[Base monetaria]]-C845)/C845</f>
        <v>-4.6907796797486159E-3</v>
      </c>
      <c r="I846" s="12">
        <f>(PrincipalesVariables[[#This Row],[Dólar  mayorista]]-E845)/E845</f>
        <v>1.1013215859030602E-3</v>
      </c>
      <c r="J846" s="12">
        <f>(PrincipalesVariables[[#This Row],[Reservas internacionales]]-F845)/F845</f>
        <v>2.6594172921222148E-4</v>
      </c>
    </row>
    <row r="847" spans="1:10" ht="15.75" thickBot="1" x14ac:dyDescent="0.3">
      <c r="A847" s="14">
        <v>42186</v>
      </c>
      <c r="B847" s="15">
        <v>42186</v>
      </c>
      <c r="C847" s="16">
        <v>500332</v>
      </c>
      <c r="D847" s="10">
        <f>PrincipalesVariables[[#This Row],[Base monetaria]]/1000000</f>
        <v>0.500332</v>
      </c>
      <c r="E847" s="10">
        <v>9.09</v>
      </c>
      <c r="F847" s="11">
        <v>33847</v>
      </c>
      <c r="H847" s="12">
        <f>(PrincipalesVariables[[#This Row],[Base monetaria]]-C846)/C846</f>
        <v>3.648706597420031E-2</v>
      </c>
      <c r="I847" s="12">
        <f>(PrincipalesVariables[[#This Row],[Dólar  mayorista]]-E846)/E846</f>
        <v>0</v>
      </c>
      <c r="J847" s="12">
        <f>(PrincipalesVariables[[#This Row],[Reservas internacionales]]-F846)/F846</f>
        <v>-1.1816489911671737E-4</v>
      </c>
    </row>
    <row r="848" spans="1:10" ht="15.75" thickBot="1" x14ac:dyDescent="0.3">
      <c r="A848" s="14">
        <v>42187</v>
      </c>
      <c r="B848" s="15">
        <v>42187</v>
      </c>
      <c r="C848" s="16">
        <v>504672</v>
      </c>
      <c r="D848" s="10">
        <f>PrincipalesVariables[[#This Row],[Base monetaria]]/1000000</f>
        <v>0.50467200000000001</v>
      </c>
      <c r="E848" s="10">
        <v>9.1</v>
      </c>
      <c r="F848" s="11">
        <v>33850</v>
      </c>
      <c r="H848" s="12">
        <f>(PrincipalesVariables[[#This Row],[Base monetaria]]-C847)/C847</f>
        <v>8.6742403044378531E-3</v>
      </c>
      <c r="I848" s="12">
        <f>(PrincipalesVariables[[#This Row],[Dólar  mayorista]]-E847)/E847</f>
        <v>1.1001100110010766E-3</v>
      </c>
      <c r="J848" s="12">
        <f>(PrincipalesVariables[[#This Row],[Reservas internacionales]]-F847)/F847</f>
        <v>8.8634147782669069E-5</v>
      </c>
    </row>
    <row r="849" spans="1:10" ht="15.75" thickBot="1" x14ac:dyDescent="0.3">
      <c r="A849" s="14">
        <v>42188</v>
      </c>
      <c r="B849" s="15">
        <v>42188</v>
      </c>
      <c r="C849" s="16">
        <v>510594</v>
      </c>
      <c r="D849" s="10">
        <f>PrincipalesVariables[[#This Row],[Base monetaria]]/1000000</f>
        <v>0.51059399999999999</v>
      </c>
      <c r="E849" s="10">
        <v>9.1</v>
      </c>
      <c r="F849" s="11">
        <v>33849</v>
      </c>
      <c r="H849" s="12">
        <f>(PrincipalesVariables[[#This Row],[Base monetaria]]-C848)/C848</f>
        <v>1.1734354194407456E-2</v>
      </c>
      <c r="I849" s="12">
        <f>(PrincipalesVariables[[#This Row],[Dólar  mayorista]]-E848)/E848</f>
        <v>0</v>
      </c>
      <c r="J849" s="12">
        <f>(PrincipalesVariables[[#This Row],[Reservas internacionales]]-F848)/F848</f>
        <v>-2.9542097488921713E-5</v>
      </c>
    </row>
    <row r="850" spans="1:10" ht="15.75" thickBot="1" x14ac:dyDescent="0.3">
      <c r="A850" s="14">
        <v>42191</v>
      </c>
      <c r="B850" s="15">
        <v>42191</v>
      </c>
      <c r="C850" s="16">
        <v>509609</v>
      </c>
      <c r="D850" s="10">
        <f>PrincipalesVariables[[#This Row],[Base monetaria]]/1000000</f>
        <v>0.50960899999999998</v>
      </c>
      <c r="E850" s="10">
        <v>9.11</v>
      </c>
      <c r="F850" s="11">
        <v>33834</v>
      </c>
      <c r="H850" s="12">
        <f>(PrincipalesVariables[[#This Row],[Base monetaria]]-C849)/C849</f>
        <v>-1.929125684986506E-3</v>
      </c>
      <c r="I850" s="12">
        <f>(PrincipalesVariables[[#This Row],[Dólar  mayorista]]-E849)/E849</f>
        <v>1.0989010989010755E-3</v>
      </c>
      <c r="J850" s="12">
        <f>(PrincipalesVariables[[#This Row],[Reservas internacionales]]-F849)/F849</f>
        <v>-4.4314455375343435E-4</v>
      </c>
    </row>
    <row r="851" spans="1:10" ht="15.75" thickBot="1" x14ac:dyDescent="0.3">
      <c r="A851" s="14">
        <v>42192</v>
      </c>
      <c r="B851" s="15">
        <v>42192</v>
      </c>
      <c r="C851" s="16">
        <v>513816</v>
      </c>
      <c r="D851" s="10">
        <f>PrincipalesVariables[[#This Row],[Base monetaria]]/1000000</f>
        <v>0.51381600000000005</v>
      </c>
      <c r="E851" s="10">
        <v>9.11</v>
      </c>
      <c r="F851" s="11">
        <v>33829</v>
      </c>
      <c r="H851" s="12">
        <f>(PrincipalesVariables[[#This Row],[Base monetaria]]-C850)/C850</f>
        <v>8.2553487085196692E-3</v>
      </c>
      <c r="I851" s="12">
        <f>(PrincipalesVariables[[#This Row],[Dólar  mayorista]]-E850)/E850</f>
        <v>0</v>
      </c>
      <c r="J851" s="12">
        <f>(PrincipalesVariables[[#This Row],[Reservas internacionales]]-F850)/F850</f>
        <v>-1.4778033930365903E-4</v>
      </c>
    </row>
    <row r="852" spans="1:10" ht="15.75" thickBot="1" x14ac:dyDescent="0.3">
      <c r="A852" s="14">
        <v>42193</v>
      </c>
      <c r="B852" s="15">
        <v>42193</v>
      </c>
      <c r="C852" s="16">
        <v>514868</v>
      </c>
      <c r="D852" s="10">
        <f>PrincipalesVariables[[#This Row],[Base monetaria]]/1000000</f>
        <v>0.51486799999999999</v>
      </c>
      <c r="E852" s="10">
        <v>9.1199999999999992</v>
      </c>
      <c r="F852" s="11">
        <v>33829</v>
      </c>
      <c r="H852" s="12">
        <f>(PrincipalesVariables[[#This Row],[Base monetaria]]-C851)/C851</f>
        <v>2.0474255375465145E-3</v>
      </c>
      <c r="I852" s="12">
        <f>(PrincipalesVariables[[#This Row],[Dólar  mayorista]]-E851)/E851</f>
        <v>1.0976948408342247E-3</v>
      </c>
      <c r="J852" s="12">
        <f>(PrincipalesVariables[[#This Row],[Reservas internacionales]]-F851)/F851</f>
        <v>0</v>
      </c>
    </row>
    <row r="853" spans="1:10" ht="15.75" thickBot="1" x14ac:dyDescent="0.3">
      <c r="A853" s="14">
        <v>42195</v>
      </c>
      <c r="B853" s="15">
        <v>42195</v>
      </c>
      <c r="C853" s="16">
        <v>517781</v>
      </c>
      <c r="D853" s="10">
        <f>PrincipalesVariables[[#This Row],[Base monetaria]]/1000000</f>
        <v>0.51778100000000005</v>
      </c>
      <c r="E853" s="10">
        <v>9.1199999999999992</v>
      </c>
      <c r="F853" s="11">
        <v>33834</v>
      </c>
      <c r="H853" s="12">
        <f>(PrincipalesVariables[[#This Row],[Base monetaria]]-C852)/C852</f>
        <v>5.6577608241335647E-3</v>
      </c>
      <c r="I853" s="12">
        <f>(PrincipalesVariables[[#This Row],[Dólar  mayorista]]-E852)/E852</f>
        <v>0</v>
      </c>
      <c r="J853" s="12">
        <f>(PrincipalesVariables[[#This Row],[Reservas internacionales]]-F852)/F852</f>
        <v>1.4780218156019984E-4</v>
      </c>
    </row>
    <row r="854" spans="1:10" ht="15.75" thickBot="1" x14ac:dyDescent="0.3">
      <c r="A854" s="14">
        <v>42198</v>
      </c>
      <c r="B854" s="15">
        <v>42198</v>
      </c>
      <c r="C854" s="16">
        <v>515800</v>
      </c>
      <c r="D854" s="10">
        <f>PrincipalesVariables[[#This Row],[Base monetaria]]/1000000</f>
        <v>0.51580000000000004</v>
      </c>
      <c r="E854" s="10">
        <v>9.1300000000000008</v>
      </c>
      <c r="F854" s="11">
        <v>33841</v>
      </c>
      <c r="H854" s="12">
        <f>(PrincipalesVariables[[#This Row],[Base monetaria]]-C853)/C853</f>
        <v>-3.8259418557266491E-3</v>
      </c>
      <c r="I854" s="12">
        <f>(PrincipalesVariables[[#This Row],[Dólar  mayorista]]-E853)/E853</f>
        <v>1.0964912280703469E-3</v>
      </c>
      <c r="J854" s="12">
        <f>(PrincipalesVariables[[#This Row],[Reservas internacionales]]-F853)/F853</f>
        <v>2.0689247502512267E-4</v>
      </c>
    </row>
    <row r="855" spans="1:10" ht="15.75" thickBot="1" x14ac:dyDescent="0.3">
      <c r="A855" s="14">
        <v>42199</v>
      </c>
      <c r="B855" s="15">
        <v>42199</v>
      </c>
      <c r="C855" s="16">
        <v>517340</v>
      </c>
      <c r="D855" s="10">
        <f>PrincipalesVariables[[#This Row],[Base monetaria]]/1000000</f>
        <v>0.51734000000000002</v>
      </c>
      <c r="E855" s="10">
        <v>9.1300000000000008</v>
      </c>
      <c r="F855" s="11">
        <v>33837</v>
      </c>
      <c r="H855" s="12">
        <f>(PrincipalesVariables[[#This Row],[Base monetaria]]-C854)/C854</f>
        <v>2.9856533540131834E-3</v>
      </c>
      <c r="I855" s="12">
        <f>(PrincipalesVariables[[#This Row],[Dólar  mayorista]]-E854)/E854</f>
        <v>0</v>
      </c>
      <c r="J855" s="12">
        <f>(PrincipalesVariables[[#This Row],[Reservas internacionales]]-F854)/F854</f>
        <v>-1.1819981679028398E-4</v>
      </c>
    </row>
    <row r="856" spans="1:10" ht="15.75" thickBot="1" x14ac:dyDescent="0.3">
      <c r="A856" s="14">
        <v>42200</v>
      </c>
      <c r="B856" s="15">
        <v>42200</v>
      </c>
      <c r="C856" s="16">
        <v>516479</v>
      </c>
      <c r="D856" s="10">
        <f>PrincipalesVariables[[#This Row],[Base monetaria]]/1000000</f>
        <v>0.51647900000000002</v>
      </c>
      <c r="E856" s="10">
        <v>9.14</v>
      </c>
      <c r="F856" s="11">
        <v>33843</v>
      </c>
      <c r="H856" s="12">
        <f>(PrincipalesVariables[[#This Row],[Base monetaria]]-C855)/C855</f>
        <v>-1.6642826767696293E-3</v>
      </c>
      <c r="I856" s="12">
        <f>(PrincipalesVariables[[#This Row],[Dólar  mayorista]]-E855)/E855</f>
        <v>1.0952902519167345E-3</v>
      </c>
      <c r="J856" s="12">
        <f>(PrincipalesVariables[[#This Row],[Reservas internacionales]]-F855)/F855</f>
        <v>1.7732068445784201E-4</v>
      </c>
    </row>
    <row r="857" spans="1:10" ht="15.75" thickBot="1" x14ac:dyDescent="0.3">
      <c r="A857" s="14">
        <v>42201</v>
      </c>
      <c r="B857" s="15">
        <v>42201</v>
      </c>
      <c r="C857" s="16">
        <v>515561</v>
      </c>
      <c r="D857" s="10">
        <f>PrincipalesVariables[[#This Row],[Base monetaria]]/1000000</f>
        <v>0.51556100000000005</v>
      </c>
      <c r="E857" s="10">
        <v>9.14</v>
      </c>
      <c r="F857" s="11">
        <v>33843</v>
      </c>
      <c r="H857" s="12">
        <f>(PrincipalesVariables[[#This Row],[Base monetaria]]-C856)/C856</f>
        <v>-1.7774197982880233E-3</v>
      </c>
      <c r="I857" s="12">
        <f>(PrincipalesVariables[[#This Row],[Dólar  mayorista]]-E856)/E856</f>
        <v>0</v>
      </c>
      <c r="J857" s="12">
        <f>(PrincipalesVariables[[#This Row],[Reservas internacionales]]-F856)/F856</f>
        <v>0</v>
      </c>
    </row>
    <row r="858" spans="1:10" ht="15.75" thickBot="1" x14ac:dyDescent="0.3">
      <c r="A858" s="14">
        <v>42202</v>
      </c>
      <c r="B858" s="15">
        <v>42202</v>
      </c>
      <c r="C858" s="16">
        <v>518121</v>
      </c>
      <c r="D858" s="10">
        <f>PrincipalesVariables[[#This Row],[Base monetaria]]/1000000</f>
        <v>0.51812100000000005</v>
      </c>
      <c r="E858" s="10">
        <v>9.15</v>
      </c>
      <c r="F858" s="11">
        <v>33853</v>
      </c>
      <c r="H858" s="12">
        <f>(PrincipalesVariables[[#This Row],[Base monetaria]]-C857)/C857</f>
        <v>4.9654648043587473E-3</v>
      </c>
      <c r="I858" s="12">
        <f>(PrincipalesVariables[[#This Row],[Dólar  mayorista]]-E857)/E857</f>
        <v>1.094091903719889E-3</v>
      </c>
      <c r="J858" s="12">
        <f>(PrincipalesVariables[[#This Row],[Reservas internacionales]]-F857)/F857</f>
        <v>2.9548207901190793E-4</v>
      </c>
    </row>
    <row r="859" spans="1:10" ht="15.75" thickBot="1" x14ac:dyDescent="0.3">
      <c r="A859" s="14">
        <v>42205</v>
      </c>
      <c r="B859" s="15">
        <v>42205</v>
      </c>
      <c r="C859" s="16">
        <v>528049</v>
      </c>
      <c r="D859" s="10">
        <f>PrincipalesVariables[[#This Row],[Base monetaria]]/1000000</f>
        <v>0.52804899999999999</v>
      </c>
      <c r="E859" s="10">
        <v>9.15</v>
      </c>
      <c r="F859" s="11">
        <v>33845</v>
      </c>
      <c r="H859" s="12">
        <f>(PrincipalesVariables[[#This Row],[Base monetaria]]-C858)/C858</f>
        <v>1.9161547206154546E-2</v>
      </c>
      <c r="I859" s="12">
        <f>(PrincipalesVariables[[#This Row],[Dólar  mayorista]]-E858)/E858</f>
        <v>0</v>
      </c>
      <c r="J859" s="12">
        <f>(PrincipalesVariables[[#This Row],[Reservas internacionales]]-F858)/F858</f>
        <v>-2.3631583611496764E-4</v>
      </c>
    </row>
    <row r="860" spans="1:10" ht="15.75" thickBot="1" x14ac:dyDescent="0.3">
      <c r="A860" s="14">
        <v>42206</v>
      </c>
      <c r="B860" s="15">
        <v>42206</v>
      </c>
      <c r="C860" s="16">
        <v>531382</v>
      </c>
      <c r="D860" s="10">
        <f>PrincipalesVariables[[#This Row],[Base monetaria]]/1000000</f>
        <v>0.53138200000000002</v>
      </c>
      <c r="E860" s="10">
        <v>9.15</v>
      </c>
      <c r="F860" s="11">
        <v>33861</v>
      </c>
      <c r="H860" s="12">
        <f>(PrincipalesVariables[[#This Row],[Base monetaria]]-C859)/C859</f>
        <v>6.3119142352319572E-3</v>
      </c>
      <c r="I860" s="12">
        <f>(PrincipalesVariables[[#This Row],[Dólar  mayorista]]-E859)/E859</f>
        <v>0</v>
      </c>
      <c r="J860" s="12">
        <f>(PrincipalesVariables[[#This Row],[Reservas internacionales]]-F859)/F859</f>
        <v>4.7274338897916975E-4</v>
      </c>
    </row>
    <row r="861" spans="1:10" ht="15.75" thickBot="1" x14ac:dyDescent="0.3">
      <c r="A861" s="14">
        <v>42207</v>
      </c>
      <c r="B861" s="15">
        <v>42207</v>
      </c>
      <c r="C861" s="16">
        <v>532919</v>
      </c>
      <c r="D861" s="10">
        <f>PrincipalesVariables[[#This Row],[Base monetaria]]/1000000</f>
        <v>0.53291900000000003</v>
      </c>
      <c r="E861" s="10">
        <v>9.16</v>
      </c>
      <c r="F861" s="11">
        <v>33928</v>
      </c>
      <c r="H861" s="12">
        <f>(PrincipalesVariables[[#This Row],[Base monetaria]]-C860)/C860</f>
        <v>2.8924577799022172E-3</v>
      </c>
      <c r="I861" s="12">
        <f>(PrincipalesVariables[[#This Row],[Dólar  mayorista]]-E860)/E860</f>
        <v>1.0928961748633646E-3</v>
      </c>
      <c r="J861" s="12">
        <f>(PrincipalesVariables[[#This Row],[Reservas internacionales]]-F860)/F860</f>
        <v>1.978677534626857E-3</v>
      </c>
    </row>
    <row r="862" spans="1:10" ht="15.75" thickBot="1" x14ac:dyDescent="0.3">
      <c r="A862" s="14">
        <v>42208</v>
      </c>
      <c r="B862" s="15">
        <v>42208</v>
      </c>
      <c r="C862" s="16">
        <v>533181</v>
      </c>
      <c r="D862" s="10">
        <f>PrincipalesVariables[[#This Row],[Base monetaria]]/1000000</f>
        <v>0.53318100000000002</v>
      </c>
      <c r="E862" s="10">
        <v>9.16</v>
      </c>
      <c r="F862" s="11">
        <v>33929</v>
      </c>
      <c r="H862" s="12">
        <f>(PrincipalesVariables[[#This Row],[Base monetaria]]-C861)/C861</f>
        <v>4.9163193656071556E-4</v>
      </c>
      <c r="I862" s="12">
        <f>(PrincipalesVariables[[#This Row],[Dólar  mayorista]]-E861)/E861</f>
        <v>0</v>
      </c>
      <c r="J862" s="12">
        <f>(PrincipalesVariables[[#This Row],[Reservas internacionales]]-F861)/F861</f>
        <v>2.9474180617778827E-5</v>
      </c>
    </row>
    <row r="863" spans="1:10" ht="15.75" thickBot="1" x14ac:dyDescent="0.3">
      <c r="A863" s="14">
        <v>42209</v>
      </c>
      <c r="B863" s="15">
        <v>42209</v>
      </c>
      <c r="C863" s="16">
        <v>519403</v>
      </c>
      <c r="D863" s="10">
        <f>PrincipalesVariables[[#This Row],[Base monetaria]]/1000000</f>
        <v>0.51940299999999995</v>
      </c>
      <c r="E863" s="10">
        <v>9.17</v>
      </c>
      <c r="F863" s="11">
        <v>33933</v>
      </c>
      <c r="H863" s="12">
        <f>(PrincipalesVariables[[#This Row],[Base monetaria]]-C862)/C862</f>
        <v>-2.5841130873005602E-2</v>
      </c>
      <c r="I863" s="12">
        <f>(PrincipalesVariables[[#This Row],[Dólar  mayorista]]-E862)/E862</f>
        <v>1.0917030567685357E-3</v>
      </c>
      <c r="J863" s="12">
        <f>(PrincipalesVariables[[#This Row],[Reservas internacionales]]-F862)/F862</f>
        <v>1.1789324766424003E-4</v>
      </c>
    </row>
    <row r="864" spans="1:10" ht="15.75" thickBot="1" x14ac:dyDescent="0.3">
      <c r="A864" s="14">
        <v>42212</v>
      </c>
      <c r="B864" s="15">
        <v>42212</v>
      </c>
      <c r="C864" s="16">
        <v>517285</v>
      </c>
      <c r="D864" s="10">
        <f>PrincipalesVariables[[#This Row],[Base monetaria]]/1000000</f>
        <v>0.51728499999999999</v>
      </c>
      <c r="E864" s="10">
        <v>9.17</v>
      </c>
      <c r="F864" s="11">
        <v>33931</v>
      </c>
      <c r="H864" s="12">
        <f>(PrincipalesVariables[[#This Row],[Base monetaria]]-C863)/C863</f>
        <v>-4.0777585035126863E-3</v>
      </c>
      <c r="I864" s="12">
        <f>(PrincipalesVariables[[#This Row],[Dólar  mayorista]]-E863)/E863</f>
        <v>0</v>
      </c>
      <c r="J864" s="12">
        <f>(PrincipalesVariables[[#This Row],[Reservas internacionales]]-F863)/F863</f>
        <v>-5.8939675242389414E-5</v>
      </c>
    </row>
    <row r="865" spans="1:10" ht="15.75" thickBot="1" x14ac:dyDescent="0.3">
      <c r="A865" s="14">
        <v>42213</v>
      </c>
      <c r="B865" s="15">
        <v>42213</v>
      </c>
      <c r="C865" s="16">
        <v>521573</v>
      </c>
      <c r="D865" s="10">
        <f>PrincipalesVariables[[#This Row],[Base monetaria]]/1000000</f>
        <v>0.52157299999999995</v>
      </c>
      <c r="E865" s="10">
        <v>9.18</v>
      </c>
      <c r="F865" s="11">
        <v>33933</v>
      </c>
      <c r="H865" s="12">
        <f>(PrincipalesVariables[[#This Row],[Base monetaria]]-C864)/C864</f>
        <v>8.2894342577109325E-3</v>
      </c>
      <c r="I865" s="12">
        <f>(PrincipalesVariables[[#This Row],[Dólar  mayorista]]-E864)/E864</f>
        <v>1.0905125408941971E-3</v>
      </c>
      <c r="J865" s="12">
        <f>(PrincipalesVariables[[#This Row],[Reservas internacionales]]-F864)/F864</f>
        <v>5.8943149332468837E-5</v>
      </c>
    </row>
    <row r="866" spans="1:10" ht="15.75" thickBot="1" x14ac:dyDescent="0.3">
      <c r="A866" s="14">
        <v>42214</v>
      </c>
      <c r="B866" s="15">
        <v>42214</v>
      </c>
      <c r="C866" s="16">
        <v>515123</v>
      </c>
      <c r="D866" s="10">
        <f>PrincipalesVariables[[#This Row],[Base monetaria]]/1000000</f>
        <v>0.515123</v>
      </c>
      <c r="E866" s="10">
        <v>9.18</v>
      </c>
      <c r="F866" s="11">
        <v>33931</v>
      </c>
      <c r="H866" s="12">
        <f>(PrincipalesVariables[[#This Row],[Base monetaria]]-C865)/C865</f>
        <v>-1.2366437679864563E-2</v>
      </c>
      <c r="I866" s="12">
        <f>(PrincipalesVariables[[#This Row],[Dólar  mayorista]]-E865)/E865</f>
        <v>0</v>
      </c>
      <c r="J866" s="12">
        <f>(PrincipalesVariables[[#This Row],[Reservas internacionales]]-F865)/F865</f>
        <v>-5.8939675242389414E-5</v>
      </c>
    </row>
    <row r="867" spans="1:10" ht="15.75" thickBot="1" x14ac:dyDescent="0.3">
      <c r="A867" s="14">
        <v>42215</v>
      </c>
      <c r="B867" s="15">
        <v>42215</v>
      </c>
      <c r="C867" s="16">
        <v>507309</v>
      </c>
      <c r="D867" s="10">
        <f>PrincipalesVariables[[#This Row],[Base monetaria]]/1000000</f>
        <v>0.50730900000000001</v>
      </c>
      <c r="E867" s="10">
        <v>9.18</v>
      </c>
      <c r="F867" s="11">
        <v>33927</v>
      </c>
      <c r="H867" s="12">
        <f>(PrincipalesVariables[[#This Row],[Base monetaria]]-C866)/C866</f>
        <v>-1.5169192600602186E-2</v>
      </c>
      <c r="I867" s="12">
        <f>(PrincipalesVariables[[#This Row],[Dólar  mayorista]]-E866)/E866</f>
        <v>0</v>
      </c>
      <c r="J867" s="12">
        <f>(PrincipalesVariables[[#This Row],[Reservas internacionales]]-F866)/F866</f>
        <v>-1.1788629866493767E-4</v>
      </c>
    </row>
    <row r="868" spans="1:10" ht="15.75" thickBot="1" x14ac:dyDescent="0.3">
      <c r="A868" s="14">
        <v>42216</v>
      </c>
      <c r="B868" s="15">
        <v>42216</v>
      </c>
      <c r="C868" s="16">
        <v>520170</v>
      </c>
      <c r="D868" s="10">
        <f>PrincipalesVariables[[#This Row],[Base monetaria]]/1000000</f>
        <v>0.52017000000000002</v>
      </c>
      <c r="E868" s="10">
        <v>9.19</v>
      </c>
      <c r="F868" s="11">
        <v>33943</v>
      </c>
      <c r="H868" s="12">
        <f>(PrincipalesVariables[[#This Row],[Base monetaria]]-C867)/C867</f>
        <v>2.535141304412104E-2</v>
      </c>
      <c r="I868" s="12">
        <f>(PrincipalesVariables[[#This Row],[Dólar  mayorista]]-E867)/E867</f>
        <v>1.0893246187363603E-3</v>
      </c>
      <c r="J868" s="12">
        <f>(PrincipalesVariables[[#This Row],[Reservas internacionales]]-F867)/F867</f>
        <v>4.7160078993132312E-4</v>
      </c>
    </row>
    <row r="869" spans="1:10" ht="15.75" thickBot="1" x14ac:dyDescent="0.3">
      <c r="A869" s="14">
        <v>42219</v>
      </c>
      <c r="B869" s="15">
        <v>42219</v>
      </c>
      <c r="C869" s="16">
        <v>531539</v>
      </c>
      <c r="D869" s="10">
        <f>PrincipalesVariables[[#This Row],[Base monetaria]]/1000000</f>
        <v>0.53153899999999998</v>
      </c>
      <c r="E869" s="10">
        <v>9.19</v>
      </c>
      <c r="F869" s="11">
        <v>33915</v>
      </c>
      <c r="H869" s="12">
        <f>(PrincipalesVariables[[#This Row],[Base monetaria]]-C868)/C868</f>
        <v>2.185631620431782E-2</v>
      </c>
      <c r="I869" s="12">
        <f>(PrincipalesVariables[[#This Row],[Dólar  mayorista]]-E868)/E868</f>
        <v>0</v>
      </c>
      <c r="J869" s="12">
        <f>(PrincipalesVariables[[#This Row],[Reservas internacionales]]-F868)/F868</f>
        <v>-8.2491235306248714E-4</v>
      </c>
    </row>
    <row r="870" spans="1:10" ht="15.75" thickBot="1" x14ac:dyDescent="0.3">
      <c r="A870" s="14">
        <v>42220</v>
      </c>
      <c r="B870" s="15">
        <v>42220</v>
      </c>
      <c r="C870" s="16">
        <v>540908</v>
      </c>
      <c r="D870" s="10">
        <f>PrincipalesVariables[[#This Row],[Base monetaria]]/1000000</f>
        <v>0.54090800000000006</v>
      </c>
      <c r="E870" s="10">
        <v>9.1999999999999993</v>
      </c>
      <c r="F870" s="11">
        <v>33888</v>
      </c>
      <c r="H870" s="12">
        <f>(PrincipalesVariables[[#This Row],[Base monetaria]]-C869)/C869</f>
        <v>1.7626176066102395E-2</v>
      </c>
      <c r="I870" s="12">
        <f>(PrincipalesVariables[[#This Row],[Dólar  mayorista]]-E869)/E869</f>
        <v>1.0881392818280508E-3</v>
      </c>
      <c r="J870" s="12">
        <f>(PrincipalesVariables[[#This Row],[Reservas internacionales]]-F869)/F869</f>
        <v>-7.9610791685095095E-4</v>
      </c>
    </row>
    <row r="871" spans="1:10" ht="15.75" thickBot="1" x14ac:dyDescent="0.3">
      <c r="A871" s="14">
        <v>42221</v>
      </c>
      <c r="B871" s="15">
        <v>42221</v>
      </c>
      <c r="C871" s="16">
        <v>536010</v>
      </c>
      <c r="D871" s="10">
        <f>PrincipalesVariables[[#This Row],[Base monetaria]]/1000000</f>
        <v>0.53600999999999999</v>
      </c>
      <c r="E871" s="10">
        <v>9.1999999999999993</v>
      </c>
      <c r="F871" s="11">
        <v>33849</v>
      </c>
      <c r="H871" s="12">
        <f>(PrincipalesVariables[[#This Row],[Base monetaria]]-C870)/C870</f>
        <v>-9.0551443128960938E-3</v>
      </c>
      <c r="I871" s="12">
        <f>(PrincipalesVariables[[#This Row],[Dólar  mayorista]]-E870)/E870</f>
        <v>0</v>
      </c>
      <c r="J871" s="12">
        <f>(PrincipalesVariables[[#This Row],[Reservas internacionales]]-F870)/F870</f>
        <v>-1.1508498583569404E-3</v>
      </c>
    </row>
    <row r="872" spans="1:10" ht="15.75" thickBot="1" x14ac:dyDescent="0.3">
      <c r="A872" s="14">
        <v>42222</v>
      </c>
      <c r="B872" s="15">
        <v>42222</v>
      </c>
      <c r="C872" s="16">
        <v>533181</v>
      </c>
      <c r="D872" s="10">
        <f>PrincipalesVariables[[#This Row],[Base monetaria]]/1000000</f>
        <v>0.53318100000000002</v>
      </c>
      <c r="E872" s="10">
        <v>9.2100000000000009</v>
      </c>
      <c r="F872" s="11">
        <v>33837</v>
      </c>
      <c r="H872" s="12">
        <f>(PrincipalesVariables[[#This Row],[Base monetaria]]-C871)/C871</f>
        <v>-5.277886606593161E-3</v>
      </c>
      <c r="I872" s="12">
        <f>(PrincipalesVariables[[#This Row],[Dólar  mayorista]]-E871)/E871</f>
        <v>1.0869565217393005E-3</v>
      </c>
      <c r="J872" s="12">
        <f>(PrincipalesVariables[[#This Row],[Reservas internacionales]]-F871)/F871</f>
        <v>-3.5451564300274747E-4</v>
      </c>
    </row>
    <row r="873" spans="1:10" ht="15.75" thickBot="1" x14ac:dyDescent="0.3">
      <c r="A873" s="14">
        <v>42223</v>
      </c>
      <c r="B873" s="15">
        <v>42223</v>
      </c>
      <c r="C873" s="16">
        <v>531891</v>
      </c>
      <c r="D873" s="10">
        <f>PrincipalesVariables[[#This Row],[Base monetaria]]/1000000</f>
        <v>0.531891</v>
      </c>
      <c r="E873" s="10">
        <v>9.2100000000000009</v>
      </c>
      <c r="F873" s="11">
        <v>33837</v>
      </c>
      <c r="H873" s="12">
        <f>(PrincipalesVariables[[#This Row],[Base monetaria]]-C872)/C872</f>
        <v>-2.4194410528507204E-3</v>
      </c>
      <c r="I873" s="12">
        <f>(PrincipalesVariables[[#This Row],[Dólar  mayorista]]-E872)/E872</f>
        <v>0</v>
      </c>
      <c r="J873" s="12">
        <f>(PrincipalesVariables[[#This Row],[Reservas internacionales]]-F872)/F872</f>
        <v>0</v>
      </c>
    </row>
    <row r="874" spans="1:10" ht="15.75" thickBot="1" x14ac:dyDescent="0.3">
      <c r="A874" s="14">
        <v>42226</v>
      </c>
      <c r="B874" s="15">
        <v>42226</v>
      </c>
      <c r="C874" s="16">
        <v>533763</v>
      </c>
      <c r="D874" s="10">
        <f>PrincipalesVariables[[#This Row],[Base monetaria]]/1000000</f>
        <v>0.53376299999999999</v>
      </c>
      <c r="E874" s="10">
        <v>9.2200000000000006</v>
      </c>
      <c r="F874" s="11">
        <v>33842</v>
      </c>
      <c r="H874" s="12">
        <f>(PrincipalesVariables[[#This Row],[Base monetaria]]-C873)/C873</f>
        <v>3.5195180967529062E-3</v>
      </c>
      <c r="I874" s="12">
        <f>(PrincipalesVariables[[#This Row],[Dólar  mayorista]]-E873)/E873</f>
        <v>1.0857763300759812E-3</v>
      </c>
      <c r="J874" s="12">
        <f>(PrincipalesVariables[[#This Row],[Reservas internacionales]]-F873)/F873</f>
        <v>1.4776723704820166E-4</v>
      </c>
    </row>
    <row r="875" spans="1:10" ht="15.75" thickBot="1" x14ac:dyDescent="0.3">
      <c r="A875" s="14">
        <v>42227</v>
      </c>
      <c r="B875" s="15">
        <v>42227</v>
      </c>
      <c r="C875" s="16">
        <v>536767</v>
      </c>
      <c r="D875" s="10">
        <f>PrincipalesVariables[[#This Row],[Base monetaria]]/1000000</f>
        <v>0.53676699999999999</v>
      </c>
      <c r="E875" s="10">
        <v>9.2200000000000006</v>
      </c>
      <c r="F875" s="11">
        <v>33712</v>
      </c>
      <c r="H875" s="12">
        <f>(PrincipalesVariables[[#This Row],[Base monetaria]]-C874)/C874</f>
        <v>5.6279659699154869E-3</v>
      </c>
      <c r="I875" s="12">
        <f>(PrincipalesVariables[[#This Row],[Dólar  mayorista]]-E874)/E874</f>
        <v>0</v>
      </c>
      <c r="J875" s="12">
        <f>(PrincipalesVariables[[#This Row],[Reservas internacionales]]-F874)/F874</f>
        <v>-3.8413805330654218E-3</v>
      </c>
    </row>
    <row r="876" spans="1:10" ht="15.75" thickBot="1" x14ac:dyDescent="0.3">
      <c r="A876" s="14">
        <v>42228</v>
      </c>
      <c r="B876" s="15">
        <v>42228</v>
      </c>
      <c r="C876" s="16">
        <v>531806</v>
      </c>
      <c r="D876" s="10">
        <f>PrincipalesVariables[[#This Row],[Base monetaria]]/1000000</f>
        <v>0.531806</v>
      </c>
      <c r="E876" s="10">
        <v>9.23</v>
      </c>
      <c r="F876" s="11">
        <v>33692</v>
      </c>
      <c r="H876" s="12">
        <f>(PrincipalesVariables[[#This Row],[Base monetaria]]-C875)/C875</f>
        <v>-9.2423714572617173E-3</v>
      </c>
      <c r="I876" s="12">
        <f>(PrincipalesVariables[[#This Row],[Dólar  mayorista]]-E875)/E875</f>
        <v>1.0845986984815387E-3</v>
      </c>
      <c r="J876" s="12">
        <f>(PrincipalesVariables[[#This Row],[Reservas internacionales]]-F875)/F875</f>
        <v>-5.9326056003796866E-4</v>
      </c>
    </row>
    <row r="877" spans="1:10" ht="15.75" thickBot="1" x14ac:dyDescent="0.3">
      <c r="A877" s="14">
        <v>42229</v>
      </c>
      <c r="B877" s="15">
        <v>42229</v>
      </c>
      <c r="C877" s="16">
        <v>531306</v>
      </c>
      <c r="D877" s="10">
        <f>PrincipalesVariables[[#This Row],[Base monetaria]]/1000000</f>
        <v>0.53130599999999994</v>
      </c>
      <c r="E877" s="10">
        <v>9.24</v>
      </c>
      <c r="F877" s="11">
        <v>33632</v>
      </c>
      <c r="H877" s="12">
        <f>(PrincipalesVariables[[#This Row],[Base monetaria]]-C876)/C876</f>
        <v>-9.4019247620372843E-4</v>
      </c>
      <c r="I877" s="12">
        <f>(PrincipalesVariables[[#This Row],[Dólar  mayorista]]-E876)/E876</f>
        <v>1.0834236186348632E-3</v>
      </c>
      <c r="J877" s="12">
        <f>(PrincipalesVariables[[#This Row],[Reservas internacionales]]-F876)/F876</f>
        <v>-1.7808381811706042E-3</v>
      </c>
    </row>
    <row r="878" spans="1:10" ht="15.75" thickBot="1" x14ac:dyDescent="0.3">
      <c r="A878" s="14">
        <v>42230</v>
      </c>
      <c r="B878" s="15">
        <v>42230</v>
      </c>
      <c r="C878" s="16">
        <v>532662</v>
      </c>
      <c r="D878" s="10">
        <f>PrincipalesVariables[[#This Row],[Base monetaria]]/1000000</f>
        <v>0.53266199999999997</v>
      </c>
      <c r="E878" s="10">
        <v>9.24</v>
      </c>
      <c r="F878" s="11">
        <v>33653</v>
      </c>
      <c r="H878" s="12">
        <f>(PrincipalesVariables[[#This Row],[Base monetaria]]-C877)/C877</f>
        <v>2.5522015561653738E-3</v>
      </c>
      <c r="I878" s="12">
        <f>(PrincipalesVariables[[#This Row],[Dólar  mayorista]]-E877)/E877</f>
        <v>0</v>
      </c>
      <c r="J878" s="12">
        <f>(PrincipalesVariables[[#This Row],[Reservas internacionales]]-F877)/F877</f>
        <v>6.2440532825880119E-4</v>
      </c>
    </row>
    <row r="879" spans="1:10" ht="15.75" thickBot="1" x14ac:dyDescent="0.3">
      <c r="A879" s="14">
        <v>42234</v>
      </c>
      <c r="B879" s="15">
        <v>42234</v>
      </c>
      <c r="C879" s="16">
        <v>527996</v>
      </c>
      <c r="D879" s="10">
        <f>PrincipalesVariables[[#This Row],[Base monetaria]]/1000000</f>
        <v>0.52799600000000002</v>
      </c>
      <c r="E879" s="10">
        <v>9.25</v>
      </c>
      <c r="F879" s="11">
        <v>33663</v>
      </c>
      <c r="H879" s="12">
        <f>(PrincipalesVariables[[#This Row],[Base monetaria]]-C878)/C878</f>
        <v>-8.7597763685038545E-3</v>
      </c>
      <c r="I879" s="12">
        <f>(PrincipalesVariables[[#This Row],[Dólar  mayorista]]-E878)/E878</f>
        <v>1.082251082251059E-3</v>
      </c>
      <c r="J879" s="12">
        <f>(PrincipalesVariables[[#This Row],[Reservas internacionales]]-F878)/F878</f>
        <v>2.9715032835111283E-4</v>
      </c>
    </row>
    <row r="880" spans="1:10" ht="15.75" thickBot="1" x14ac:dyDescent="0.3">
      <c r="A880" s="14">
        <v>42235</v>
      </c>
      <c r="B880" s="15">
        <v>42235</v>
      </c>
      <c r="C880" s="16">
        <v>530790</v>
      </c>
      <c r="D880" s="10">
        <f>PrincipalesVariables[[#This Row],[Base monetaria]]/1000000</f>
        <v>0.53078999999999998</v>
      </c>
      <c r="E880" s="10">
        <v>9.25</v>
      </c>
      <c r="F880" s="11">
        <v>33664</v>
      </c>
      <c r="H880" s="12">
        <f>(PrincipalesVariables[[#This Row],[Base monetaria]]-C879)/C879</f>
        <v>5.2917067553542073E-3</v>
      </c>
      <c r="I880" s="12">
        <f>(PrincipalesVariables[[#This Row],[Dólar  mayorista]]-E879)/E879</f>
        <v>0</v>
      </c>
      <c r="J880" s="12">
        <f>(PrincipalesVariables[[#This Row],[Reservas internacionales]]-F879)/F879</f>
        <v>2.9706205626355346E-5</v>
      </c>
    </row>
    <row r="881" spans="1:10" ht="15.75" thickBot="1" x14ac:dyDescent="0.3">
      <c r="A881" s="14">
        <v>42236</v>
      </c>
      <c r="B881" s="15">
        <v>42236</v>
      </c>
      <c r="C881" s="16">
        <v>522124</v>
      </c>
      <c r="D881" s="10">
        <f>PrincipalesVariables[[#This Row],[Base monetaria]]/1000000</f>
        <v>0.52212400000000003</v>
      </c>
      <c r="E881" s="10">
        <v>9.26</v>
      </c>
      <c r="F881" s="11">
        <v>33674</v>
      </c>
      <c r="H881" s="12">
        <f>(PrincipalesVariables[[#This Row],[Base monetaria]]-C880)/C880</f>
        <v>-1.632660750956122E-2</v>
      </c>
      <c r="I881" s="12">
        <f>(PrincipalesVariables[[#This Row],[Dólar  mayorista]]-E880)/E880</f>
        <v>1.0810810810810581E-3</v>
      </c>
      <c r="J881" s="12">
        <f>(PrincipalesVariables[[#This Row],[Reservas internacionales]]-F880)/F880</f>
        <v>2.9705323193916349E-4</v>
      </c>
    </row>
    <row r="882" spans="1:10" ht="15.75" thickBot="1" x14ac:dyDescent="0.3">
      <c r="A882" s="14">
        <v>42237</v>
      </c>
      <c r="B882" s="15">
        <v>42237</v>
      </c>
      <c r="C882" s="16">
        <v>519869</v>
      </c>
      <c r="D882" s="10">
        <f>PrincipalesVariables[[#This Row],[Base monetaria]]/1000000</f>
        <v>0.51986900000000003</v>
      </c>
      <c r="E882" s="10">
        <v>9.26</v>
      </c>
      <c r="F882" s="11">
        <v>33684</v>
      </c>
      <c r="H882" s="12">
        <f>(PrincipalesVariables[[#This Row],[Base monetaria]]-C881)/C881</f>
        <v>-4.3188974266649303E-3</v>
      </c>
      <c r="I882" s="12">
        <f>(PrincipalesVariables[[#This Row],[Dólar  mayorista]]-E881)/E881</f>
        <v>0</v>
      </c>
      <c r="J882" s="12">
        <f>(PrincipalesVariables[[#This Row],[Reservas internacionales]]-F881)/F881</f>
        <v>2.9696501752093604E-4</v>
      </c>
    </row>
    <row r="883" spans="1:10" ht="15.75" thickBot="1" x14ac:dyDescent="0.3">
      <c r="A883" s="14">
        <v>42240</v>
      </c>
      <c r="B883" s="15">
        <v>42240</v>
      </c>
      <c r="C883" s="16">
        <v>516918</v>
      </c>
      <c r="D883" s="10">
        <f>PrincipalesVariables[[#This Row],[Base monetaria]]/1000000</f>
        <v>0.51691799999999999</v>
      </c>
      <c r="E883" s="10">
        <v>9.27</v>
      </c>
      <c r="F883" s="11">
        <v>33674</v>
      </c>
      <c r="H883" s="12">
        <f>(PrincipalesVariables[[#This Row],[Base monetaria]]-C882)/C882</f>
        <v>-5.6764300237175137E-3</v>
      </c>
      <c r="I883" s="12">
        <f>(PrincipalesVariables[[#This Row],[Dólar  mayorista]]-E882)/E882</f>
        <v>1.0799136069114242E-3</v>
      </c>
      <c r="J883" s="12">
        <f>(PrincipalesVariables[[#This Row],[Reservas internacionales]]-F882)/F882</f>
        <v>-2.9687685548034673E-4</v>
      </c>
    </row>
    <row r="884" spans="1:10" ht="15.75" thickBot="1" x14ac:dyDescent="0.3">
      <c r="A884" s="14">
        <v>42241</v>
      </c>
      <c r="B884" s="15">
        <v>42241</v>
      </c>
      <c r="C884" s="16">
        <v>519732</v>
      </c>
      <c r="D884" s="10">
        <f>PrincipalesVariables[[#This Row],[Base monetaria]]/1000000</f>
        <v>0.51973199999999997</v>
      </c>
      <c r="E884" s="10">
        <v>9.27</v>
      </c>
      <c r="F884" s="11">
        <v>33634</v>
      </c>
      <c r="H884" s="12">
        <f>(PrincipalesVariables[[#This Row],[Base monetaria]]-C883)/C883</f>
        <v>5.4438034659268974E-3</v>
      </c>
      <c r="I884" s="12">
        <f>(PrincipalesVariables[[#This Row],[Dólar  mayorista]]-E883)/E883</f>
        <v>0</v>
      </c>
      <c r="J884" s="12">
        <f>(PrincipalesVariables[[#This Row],[Reservas internacionales]]-F883)/F883</f>
        <v>-1.1878600700837441E-3</v>
      </c>
    </row>
    <row r="885" spans="1:10" ht="15.75" thickBot="1" x14ac:dyDescent="0.3">
      <c r="A885" s="14">
        <v>42242</v>
      </c>
      <c r="B885" s="15">
        <v>42242</v>
      </c>
      <c r="C885" s="16">
        <v>517694</v>
      </c>
      <c r="D885" s="10">
        <f>PrincipalesVariables[[#This Row],[Base monetaria]]/1000000</f>
        <v>0.51769399999999999</v>
      </c>
      <c r="E885" s="10">
        <v>9.2799999999999994</v>
      </c>
      <c r="F885" s="11">
        <v>33606</v>
      </c>
      <c r="H885" s="12">
        <f>(PrincipalesVariables[[#This Row],[Base monetaria]]-C884)/C884</f>
        <v>-3.9212517220413596E-3</v>
      </c>
      <c r="I885" s="12">
        <f>(PrincipalesVariables[[#This Row],[Dólar  mayorista]]-E884)/E884</f>
        <v>1.0787486515641627E-3</v>
      </c>
      <c r="J885" s="12">
        <f>(PrincipalesVariables[[#This Row],[Reservas internacionales]]-F884)/F884</f>
        <v>-8.3249093179520726E-4</v>
      </c>
    </row>
    <row r="886" spans="1:10" ht="15.75" thickBot="1" x14ac:dyDescent="0.3">
      <c r="A886" s="14">
        <v>42243</v>
      </c>
      <c r="B886" s="15">
        <v>42243</v>
      </c>
      <c r="C886" s="16">
        <v>515377</v>
      </c>
      <c r="D886" s="10">
        <f>PrincipalesVariables[[#This Row],[Base monetaria]]/1000000</f>
        <v>0.51537699999999997</v>
      </c>
      <c r="E886" s="10">
        <v>9.2799999999999994</v>
      </c>
      <c r="F886" s="11">
        <v>33599</v>
      </c>
      <c r="H886" s="12">
        <f>(PrincipalesVariables[[#This Row],[Base monetaria]]-C885)/C885</f>
        <v>-4.4756168701974523E-3</v>
      </c>
      <c r="I886" s="12">
        <f>(PrincipalesVariables[[#This Row],[Dólar  mayorista]]-E885)/E885</f>
        <v>0</v>
      </c>
      <c r="J886" s="12">
        <f>(PrincipalesVariables[[#This Row],[Reservas internacionales]]-F885)/F885</f>
        <v>-2.0829613759447717E-4</v>
      </c>
    </row>
    <row r="887" spans="1:10" ht="15.75" thickBot="1" x14ac:dyDescent="0.3">
      <c r="A887" s="14">
        <v>42244</v>
      </c>
      <c r="B887" s="15">
        <v>42244</v>
      </c>
      <c r="C887" s="16">
        <v>525086</v>
      </c>
      <c r="D887" s="10">
        <f>PrincipalesVariables[[#This Row],[Base monetaria]]/1000000</f>
        <v>0.52508600000000005</v>
      </c>
      <c r="E887" s="10">
        <v>9.2899999999999991</v>
      </c>
      <c r="F887" s="11">
        <v>33598</v>
      </c>
      <c r="H887" s="12">
        <f>(PrincipalesVariables[[#This Row],[Base monetaria]]-C886)/C886</f>
        <v>1.8838636570898584E-2</v>
      </c>
      <c r="I887" s="12">
        <f>(PrincipalesVariables[[#This Row],[Dólar  mayorista]]-E886)/E886</f>
        <v>1.0775862068965287E-3</v>
      </c>
      <c r="J887" s="12">
        <f>(PrincipalesVariables[[#This Row],[Reservas internacionales]]-F886)/F886</f>
        <v>-2.9762790559242836E-5</v>
      </c>
    </row>
    <row r="888" spans="1:10" ht="15.75" thickBot="1" x14ac:dyDescent="0.3">
      <c r="A888" s="14">
        <v>42247</v>
      </c>
      <c r="B888" s="15">
        <v>42247</v>
      </c>
      <c r="C888" s="16">
        <v>509258</v>
      </c>
      <c r="D888" s="10">
        <f>PrincipalesVariables[[#This Row],[Base monetaria]]/1000000</f>
        <v>0.50925799999999999</v>
      </c>
      <c r="E888" s="10">
        <v>9.3000000000000007</v>
      </c>
      <c r="F888" s="11">
        <v>33606</v>
      </c>
      <c r="H888" s="12">
        <f>(PrincipalesVariables[[#This Row],[Base monetaria]]-C887)/C887</f>
        <v>-3.0143633614303181E-2</v>
      </c>
      <c r="I888" s="12">
        <f>(PrincipalesVariables[[#This Row],[Dólar  mayorista]]-E887)/E887</f>
        <v>1.0764262648010295E-3</v>
      </c>
      <c r="J888" s="12">
        <f>(PrincipalesVariables[[#This Row],[Reservas internacionales]]-F887)/F887</f>
        <v>2.3810941127448061E-4</v>
      </c>
    </row>
    <row r="889" spans="1:10" ht="15.75" thickBot="1" x14ac:dyDescent="0.3">
      <c r="A889" s="14">
        <v>42248</v>
      </c>
      <c r="B889" s="15">
        <v>42248</v>
      </c>
      <c r="C889" s="16">
        <v>532788</v>
      </c>
      <c r="D889" s="10">
        <f>PrincipalesVariables[[#This Row],[Base monetaria]]/1000000</f>
        <v>0.53278800000000004</v>
      </c>
      <c r="E889" s="10">
        <v>9.3000000000000007</v>
      </c>
      <c r="F889" s="11">
        <v>33582</v>
      </c>
      <c r="H889" s="12">
        <f>(PrincipalesVariables[[#This Row],[Base monetaria]]-C888)/C888</f>
        <v>4.6204477887436229E-2</v>
      </c>
      <c r="I889" s="12">
        <f>(PrincipalesVariables[[#This Row],[Dólar  mayorista]]-E888)/E888</f>
        <v>0</v>
      </c>
      <c r="J889" s="12">
        <f>(PrincipalesVariables[[#This Row],[Reservas internacionales]]-F888)/F888</f>
        <v>-7.1415818603820741E-4</v>
      </c>
    </row>
    <row r="890" spans="1:10" ht="15.75" thickBot="1" x14ac:dyDescent="0.3">
      <c r="A890" s="14">
        <v>42249</v>
      </c>
      <c r="B890" s="15">
        <v>42249</v>
      </c>
      <c r="C890" s="16">
        <v>531425</v>
      </c>
      <c r="D890" s="10">
        <f>PrincipalesVariables[[#This Row],[Base monetaria]]/1000000</f>
        <v>0.53142500000000004</v>
      </c>
      <c r="E890" s="10">
        <v>9.31</v>
      </c>
      <c r="F890" s="11">
        <v>33569</v>
      </c>
      <c r="H890" s="12">
        <f>(PrincipalesVariables[[#This Row],[Base monetaria]]-C889)/C889</f>
        <v>-2.5582408012192466E-3</v>
      </c>
      <c r="I890" s="12">
        <f>(PrincipalesVariables[[#This Row],[Dólar  mayorista]]-E889)/E889</f>
        <v>1.0752688172042781E-3</v>
      </c>
      <c r="J890" s="12">
        <f>(PrincipalesVariables[[#This Row],[Reservas internacionales]]-F889)/F889</f>
        <v>-3.8711214341016021E-4</v>
      </c>
    </row>
    <row r="891" spans="1:10" ht="15.75" thickBot="1" x14ac:dyDescent="0.3">
      <c r="A891" s="14">
        <v>42250</v>
      </c>
      <c r="B891" s="15">
        <v>42250</v>
      </c>
      <c r="C891" s="16">
        <v>530974</v>
      </c>
      <c r="D891" s="10">
        <f>PrincipalesVariables[[#This Row],[Base monetaria]]/1000000</f>
        <v>0.53097399999999995</v>
      </c>
      <c r="E891" s="10">
        <v>9.32</v>
      </c>
      <c r="F891" s="11">
        <v>33542</v>
      </c>
      <c r="H891" s="12">
        <f>(PrincipalesVariables[[#This Row],[Base monetaria]]-C890)/C890</f>
        <v>-8.4866161734957891E-4</v>
      </c>
      <c r="I891" s="12">
        <f>(PrincipalesVariables[[#This Row],[Dólar  mayorista]]-E890)/E890</f>
        <v>1.0741138560687203E-3</v>
      </c>
      <c r="J891" s="12">
        <f>(PrincipalesVariables[[#This Row],[Reservas internacionales]]-F890)/F890</f>
        <v>-8.0431350353004261E-4</v>
      </c>
    </row>
    <row r="892" spans="1:10" ht="15.75" thickBot="1" x14ac:dyDescent="0.3">
      <c r="A892" s="14">
        <v>42251</v>
      </c>
      <c r="B892" s="15">
        <v>42251</v>
      </c>
      <c r="C892" s="16">
        <v>534587</v>
      </c>
      <c r="D892" s="10">
        <f>PrincipalesVariables[[#This Row],[Base monetaria]]/1000000</f>
        <v>0.53458700000000003</v>
      </c>
      <c r="E892" s="10">
        <v>9.32</v>
      </c>
      <c r="F892" s="11">
        <v>33552</v>
      </c>
      <c r="H892" s="12">
        <f>(PrincipalesVariables[[#This Row],[Base monetaria]]-C891)/C891</f>
        <v>6.8044763020411545E-3</v>
      </c>
      <c r="I892" s="12">
        <f>(PrincipalesVariables[[#This Row],[Dólar  mayorista]]-E891)/E891</f>
        <v>0</v>
      </c>
      <c r="J892" s="12">
        <f>(PrincipalesVariables[[#This Row],[Reservas internacionales]]-F891)/F891</f>
        <v>2.9813368314352153E-4</v>
      </c>
    </row>
    <row r="893" spans="1:10" ht="15.75" thickBot="1" x14ac:dyDescent="0.3">
      <c r="A893" s="14">
        <v>42254</v>
      </c>
      <c r="B893" s="15">
        <v>42254</v>
      </c>
      <c r="C893" s="16">
        <v>534713</v>
      </c>
      <c r="D893" s="10">
        <f>PrincipalesVariables[[#This Row],[Base monetaria]]/1000000</f>
        <v>0.53471299999999999</v>
      </c>
      <c r="E893" s="10">
        <v>9.33</v>
      </c>
      <c r="F893" s="11">
        <v>33546</v>
      </c>
      <c r="H893" s="12">
        <f>(PrincipalesVariables[[#This Row],[Base monetaria]]-C892)/C892</f>
        <v>2.3569596716717766E-4</v>
      </c>
      <c r="I893" s="12">
        <f>(PrincipalesVariables[[#This Row],[Dólar  mayorista]]-E892)/E892</f>
        <v>1.072961373390535E-3</v>
      </c>
      <c r="J893" s="12">
        <f>(PrincipalesVariables[[#This Row],[Reservas internacionales]]-F892)/F892</f>
        <v>-1.7882689556509299E-4</v>
      </c>
    </row>
    <row r="894" spans="1:10" ht="15.75" thickBot="1" x14ac:dyDescent="0.3">
      <c r="A894" s="14">
        <v>42255</v>
      </c>
      <c r="B894" s="15">
        <v>42255</v>
      </c>
      <c r="C894" s="16">
        <v>532247</v>
      </c>
      <c r="D894" s="10">
        <f>PrincipalesVariables[[#This Row],[Base monetaria]]/1000000</f>
        <v>0.53224700000000003</v>
      </c>
      <c r="E894" s="10">
        <v>9.33</v>
      </c>
      <c r="F894" s="11">
        <v>33521</v>
      </c>
      <c r="H894" s="12">
        <f>(PrincipalesVariables[[#This Row],[Base monetaria]]-C893)/C893</f>
        <v>-4.6118197986583457E-3</v>
      </c>
      <c r="I894" s="12">
        <f>(PrincipalesVariables[[#This Row],[Dólar  mayorista]]-E893)/E893</f>
        <v>0</v>
      </c>
      <c r="J894" s="12">
        <f>(PrincipalesVariables[[#This Row],[Reservas internacionales]]-F893)/F893</f>
        <v>-7.4524533476420438E-4</v>
      </c>
    </row>
    <row r="895" spans="1:10" ht="15.75" thickBot="1" x14ac:dyDescent="0.3">
      <c r="A895" s="14">
        <v>42256</v>
      </c>
      <c r="B895" s="15">
        <v>42256</v>
      </c>
      <c r="C895" s="16">
        <v>532427</v>
      </c>
      <c r="D895" s="10">
        <f>PrincipalesVariables[[#This Row],[Base monetaria]]/1000000</f>
        <v>0.53242699999999998</v>
      </c>
      <c r="E895" s="10">
        <v>9.34</v>
      </c>
      <c r="F895" s="11">
        <v>33500</v>
      </c>
      <c r="H895" s="12">
        <f>(PrincipalesVariables[[#This Row],[Base monetaria]]-C894)/C894</f>
        <v>3.3818884841060637E-4</v>
      </c>
      <c r="I895" s="12">
        <f>(PrincipalesVariables[[#This Row],[Dólar  mayorista]]-E894)/E894</f>
        <v>1.0718113612004059E-3</v>
      </c>
      <c r="J895" s="12">
        <f>(PrincipalesVariables[[#This Row],[Reservas internacionales]]-F894)/F894</f>
        <v>-6.2647295725067867E-4</v>
      </c>
    </row>
    <row r="896" spans="1:10" ht="15.75" thickBot="1" x14ac:dyDescent="0.3">
      <c r="A896" s="14">
        <v>42257</v>
      </c>
      <c r="B896" s="15">
        <v>42257</v>
      </c>
      <c r="C896" s="16">
        <v>535164</v>
      </c>
      <c r="D896" s="10">
        <f>PrincipalesVariables[[#This Row],[Base monetaria]]/1000000</f>
        <v>0.53516399999999997</v>
      </c>
      <c r="E896" s="10">
        <v>9.35</v>
      </c>
      <c r="F896" s="11">
        <v>33499</v>
      </c>
      <c r="H896" s="12">
        <f>(PrincipalesVariables[[#This Row],[Base monetaria]]-C895)/C895</f>
        <v>5.140610825521621E-3</v>
      </c>
      <c r="I896" s="12">
        <f>(PrincipalesVariables[[#This Row],[Dólar  mayorista]]-E895)/E895</f>
        <v>1.0706638115631465E-3</v>
      </c>
      <c r="J896" s="12">
        <f>(PrincipalesVariables[[#This Row],[Reservas internacionales]]-F895)/F895</f>
        <v>-2.9850746268656717E-5</v>
      </c>
    </row>
    <row r="897" spans="1:10" ht="15.75" thickBot="1" x14ac:dyDescent="0.3">
      <c r="A897" s="14">
        <v>42258</v>
      </c>
      <c r="B897" s="15">
        <v>42258</v>
      </c>
      <c r="C897" s="16">
        <v>542568</v>
      </c>
      <c r="D897" s="10">
        <f>PrincipalesVariables[[#This Row],[Base monetaria]]/1000000</f>
        <v>0.54256800000000005</v>
      </c>
      <c r="E897" s="10">
        <v>9.35</v>
      </c>
      <c r="F897" s="11">
        <v>33505</v>
      </c>
      <c r="H897" s="12">
        <f>(PrincipalesVariables[[#This Row],[Base monetaria]]-C896)/C896</f>
        <v>1.3835011323631635E-2</v>
      </c>
      <c r="I897" s="12">
        <f>(PrincipalesVariables[[#This Row],[Dólar  mayorista]]-E896)/E896</f>
        <v>0</v>
      </c>
      <c r="J897" s="12">
        <f>(PrincipalesVariables[[#This Row],[Reservas internacionales]]-F896)/F896</f>
        <v>1.7910982417385595E-4</v>
      </c>
    </row>
    <row r="898" spans="1:10" ht="15.75" thickBot="1" x14ac:dyDescent="0.3">
      <c r="A898" s="14">
        <v>42261</v>
      </c>
      <c r="B898" s="15">
        <v>42261</v>
      </c>
      <c r="C898" s="16">
        <v>538371</v>
      </c>
      <c r="D898" s="10">
        <f>PrincipalesVariables[[#This Row],[Base monetaria]]/1000000</f>
        <v>0.53837100000000004</v>
      </c>
      <c r="E898" s="10">
        <v>9.36</v>
      </c>
      <c r="F898" s="11">
        <v>33492</v>
      </c>
      <c r="H898" s="12">
        <f>(PrincipalesVariables[[#This Row],[Base monetaria]]-C897)/C897</f>
        <v>-7.7354359269252888E-3</v>
      </c>
      <c r="I898" s="12">
        <f>(PrincipalesVariables[[#This Row],[Dólar  mayorista]]-E897)/E897</f>
        <v>1.0695187165775174E-3</v>
      </c>
      <c r="J898" s="12">
        <f>(PrincipalesVariables[[#This Row],[Reservas internacionales]]-F897)/F897</f>
        <v>-3.8800179077749591E-4</v>
      </c>
    </row>
    <row r="899" spans="1:10" ht="15.75" thickBot="1" x14ac:dyDescent="0.3">
      <c r="A899" s="14">
        <v>42262</v>
      </c>
      <c r="B899" s="15">
        <v>42262</v>
      </c>
      <c r="C899" s="16">
        <v>538686</v>
      </c>
      <c r="D899" s="10">
        <f>PrincipalesVariables[[#This Row],[Base monetaria]]/1000000</f>
        <v>0.538686</v>
      </c>
      <c r="E899" s="10">
        <v>9.36</v>
      </c>
      <c r="F899" s="11">
        <v>33453</v>
      </c>
      <c r="H899" s="12">
        <f>(PrincipalesVariables[[#This Row],[Base monetaria]]-C898)/C898</f>
        <v>5.8509838011334189E-4</v>
      </c>
      <c r="I899" s="12">
        <f>(PrincipalesVariables[[#This Row],[Dólar  mayorista]]-E898)/E898</f>
        <v>0</v>
      </c>
      <c r="J899" s="12">
        <f>(PrincipalesVariables[[#This Row],[Reservas internacionales]]-F898)/F898</f>
        <v>-1.1644571838050877E-3</v>
      </c>
    </row>
    <row r="900" spans="1:10" ht="15.75" thickBot="1" x14ac:dyDescent="0.3">
      <c r="A900" s="14">
        <v>42263</v>
      </c>
      <c r="B900" s="15">
        <v>42263</v>
      </c>
      <c r="C900" s="16">
        <v>535598</v>
      </c>
      <c r="D900" s="10">
        <f>PrincipalesVariables[[#This Row],[Base monetaria]]/1000000</f>
        <v>0.53559800000000002</v>
      </c>
      <c r="E900" s="10">
        <v>9.3699999999999992</v>
      </c>
      <c r="F900" s="11">
        <v>33445</v>
      </c>
      <c r="H900" s="12">
        <f>(PrincipalesVariables[[#This Row],[Base monetaria]]-C899)/C899</f>
        <v>-5.7324675228240573E-3</v>
      </c>
      <c r="I900" s="12">
        <f>(PrincipalesVariables[[#This Row],[Dólar  mayorista]]-E899)/E899</f>
        <v>1.0683760683760457E-3</v>
      </c>
      <c r="J900" s="12">
        <f>(PrincipalesVariables[[#This Row],[Reservas internacionales]]-F899)/F899</f>
        <v>-2.391414820793352E-4</v>
      </c>
    </row>
    <row r="901" spans="1:10" ht="15.75" thickBot="1" x14ac:dyDescent="0.3">
      <c r="A901" s="14">
        <v>42264</v>
      </c>
      <c r="B901" s="15">
        <v>42264</v>
      </c>
      <c r="C901" s="16">
        <v>531919</v>
      </c>
      <c r="D901" s="10">
        <f>PrincipalesVariables[[#This Row],[Base monetaria]]/1000000</f>
        <v>0.53191900000000003</v>
      </c>
      <c r="E901" s="10">
        <v>9.3800000000000008</v>
      </c>
      <c r="F901" s="11">
        <v>33452</v>
      </c>
      <c r="H901" s="12">
        <f>(PrincipalesVariables[[#This Row],[Base monetaria]]-C900)/C900</f>
        <v>-6.8689576884155652E-3</v>
      </c>
      <c r="I901" s="12">
        <f>(PrincipalesVariables[[#This Row],[Dólar  mayorista]]-E900)/E900</f>
        <v>1.0672358591250334E-3</v>
      </c>
      <c r="J901" s="12">
        <f>(PrincipalesVariables[[#This Row],[Reservas internacionales]]-F900)/F900</f>
        <v>2.092988488563313E-4</v>
      </c>
    </row>
    <row r="902" spans="1:10" ht="15.75" thickBot="1" x14ac:dyDescent="0.3">
      <c r="A902" s="14">
        <v>42265</v>
      </c>
      <c r="B902" s="15">
        <v>42265</v>
      </c>
      <c r="C902" s="16">
        <v>533275</v>
      </c>
      <c r="D902" s="10">
        <f>PrincipalesVariables[[#This Row],[Base monetaria]]/1000000</f>
        <v>0.53327500000000005</v>
      </c>
      <c r="E902" s="10">
        <v>9.3800000000000008</v>
      </c>
      <c r="F902" s="11">
        <v>33425</v>
      </c>
      <c r="H902" s="12">
        <f>(PrincipalesVariables[[#This Row],[Base monetaria]]-C901)/C901</f>
        <v>2.5492603197103318E-3</v>
      </c>
      <c r="I902" s="12">
        <f>(PrincipalesVariables[[#This Row],[Dólar  mayorista]]-E901)/E901</f>
        <v>0</v>
      </c>
      <c r="J902" s="12">
        <f>(PrincipalesVariables[[#This Row],[Reservas internacionales]]-F901)/F901</f>
        <v>-8.0712662920004788E-4</v>
      </c>
    </row>
    <row r="903" spans="1:10" ht="15.75" thickBot="1" x14ac:dyDescent="0.3">
      <c r="A903" s="14">
        <v>42268</v>
      </c>
      <c r="B903" s="15">
        <v>42268</v>
      </c>
      <c r="C903" s="16">
        <v>531529</v>
      </c>
      <c r="D903" s="10">
        <f>PrincipalesVariables[[#This Row],[Base monetaria]]/1000000</f>
        <v>0.53152900000000003</v>
      </c>
      <c r="E903" s="10">
        <v>9.39</v>
      </c>
      <c r="F903" s="11">
        <v>33396</v>
      </c>
      <c r="H903" s="12">
        <f>(PrincipalesVariables[[#This Row],[Base monetaria]]-C902)/C902</f>
        <v>-3.2741081055740473E-3</v>
      </c>
      <c r="I903" s="12">
        <f>(PrincipalesVariables[[#This Row],[Dólar  mayorista]]-E902)/E902</f>
        <v>1.0660980810234314E-3</v>
      </c>
      <c r="J903" s="12">
        <f>(PrincipalesVariables[[#This Row],[Reservas internacionales]]-F902)/F902</f>
        <v>-8.6761406133133883E-4</v>
      </c>
    </row>
    <row r="904" spans="1:10" ht="15.75" thickBot="1" x14ac:dyDescent="0.3">
      <c r="A904" s="14">
        <v>42269</v>
      </c>
      <c r="B904" s="15">
        <v>42269</v>
      </c>
      <c r="C904" s="16">
        <v>535125</v>
      </c>
      <c r="D904" s="10">
        <f>PrincipalesVariables[[#This Row],[Base monetaria]]/1000000</f>
        <v>0.53512499999999996</v>
      </c>
      <c r="E904" s="10">
        <v>9.39</v>
      </c>
      <c r="F904" s="11">
        <v>33401</v>
      </c>
      <c r="H904" s="12">
        <f>(PrincipalesVariables[[#This Row],[Base monetaria]]-C903)/C903</f>
        <v>6.7653881537978171E-3</v>
      </c>
      <c r="I904" s="12">
        <f>(PrincipalesVariables[[#This Row],[Dólar  mayorista]]-E903)/E903</f>
        <v>0</v>
      </c>
      <c r="J904" s="12">
        <f>(PrincipalesVariables[[#This Row],[Reservas internacionales]]-F903)/F903</f>
        <v>1.4971852916516949E-4</v>
      </c>
    </row>
    <row r="905" spans="1:10" ht="15.75" thickBot="1" x14ac:dyDescent="0.3">
      <c r="A905" s="14">
        <v>42270</v>
      </c>
      <c r="B905" s="15">
        <v>42270</v>
      </c>
      <c r="C905" s="16">
        <v>530225</v>
      </c>
      <c r="D905" s="10">
        <f>PrincipalesVariables[[#This Row],[Base monetaria]]/1000000</f>
        <v>0.53022499999999995</v>
      </c>
      <c r="E905" s="10">
        <v>9.4</v>
      </c>
      <c r="F905" s="11">
        <v>33338</v>
      </c>
      <c r="H905" s="12">
        <f>(PrincipalesVariables[[#This Row],[Base monetaria]]-C904)/C904</f>
        <v>-9.1567390796542872E-3</v>
      </c>
      <c r="I905" s="12">
        <f>(PrincipalesVariables[[#This Row],[Dólar  mayorista]]-E904)/E904</f>
        <v>1.0649627263045567E-3</v>
      </c>
      <c r="J905" s="12">
        <f>(PrincipalesVariables[[#This Row],[Reservas internacionales]]-F904)/F904</f>
        <v>-1.8861710727223736E-3</v>
      </c>
    </row>
    <row r="906" spans="1:10" ht="15.75" thickBot="1" x14ac:dyDescent="0.3">
      <c r="A906" s="14">
        <v>42271</v>
      </c>
      <c r="B906" s="15">
        <v>42271</v>
      </c>
      <c r="C906" s="16">
        <v>531047</v>
      </c>
      <c r="D906" s="10">
        <f>PrincipalesVariables[[#This Row],[Base monetaria]]/1000000</f>
        <v>0.53104700000000005</v>
      </c>
      <c r="E906" s="10">
        <v>9.4</v>
      </c>
      <c r="F906" s="11">
        <v>33343</v>
      </c>
      <c r="H906" s="12">
        <f>(PrincipalesVariables[[#This Row],[Base monetaria]]-C905)/C905</f>
        <v>1.5502852562591352E-3</v>
      </c>
      <c r="I906" s="12">
        <f>(PrincipalesVariables[[#This Row],[Dólar  mayorista]]-E905)/E905</f>
        <v>0</v>
      </c>
      <c r="J906" s="12">
        <f>(PrincipalesVariables[[#This Row],[Reservas internacionales]]-F905)/F905</f>
        <v>1.4997900293958847E-4</v>
      </c>
    </row>
    <row r="907" spans="1:10" ht="15.75" thickBot="1" x14ac:dyDescent="0.3">
      <c r="A907" s="14">
        <v>42272</v>
      </c>
      <c r="B907" s="15">
        <v>42272</v>
      </c>
      <c r="C907" s="16">
        <v>527591</v>
      </c>
      <c r="D907" s="10">
        <f>PrincipalesVariables[[#This Row],[Base monetaria]]/1000000</f>
        <v>0.52759100000000003</v>
      </c>
      <c r="E907" s="10">
        <v>9.41</v>
      </c>
      <c r="F907" s="11">
        <v>33104</v>
      </c>
      <c r="H907" s="12">
        <f>(PrincipalesVariables[[#This Row],[Base monetaria]]-C906)/C906</f>
        <v>-6.5078985475861837E-3</v>
      </c>
      <c r="I907" s="12">
        <f>(PrincipalesVariables[[#This Row],[Dólar  mayorista]]-E906)/E906</f>
        <v>1.0638297872340198E-3</v>
      </c>
      <c r="J907" s="12">
        <f>(PrincipalesVariables[[#This Row],[Reservas internacionales]]-F906)/F906</f>
        <v>-7.1679213028221812E-3</v>
      </c>
    </row>
    <row r="908" spans="1:10" ht="15.75" thickBot="1" x14ac:dyDescent="0.3">
      <c r="A908" s="14">
        <v>42275</v>
      </c>
      <c r="B908" s="15">
        <v>42275</v>
      </c>
      <c r="C908" s="16">
        <v>520067</v>
      </c>
      <c r="D908" s="10">
        <f>PrincipalesVariables[[#This Row],[Base monetaria]]/1000000</f>
        <v>0.52006699999999995</v>
      </c>
      <c r="E908" s="10">
        <v>9.41</v>
      </c>
      <c r="F908" s="11">
        <v>33318</v>
      </c>
      <c r="H908" s="12">
        <f>(PrincipalesVariables[[#This Row],[Base monetaria]]-C907)/C907</f>
        <v>-1.4261046909443111E-2</v>
      </c>
      <c r="I908" s="12">
        <f>(PrincipalesVariables[[#This Row],[Dólar  mayorista]]-E907)/E907</f>
        <v>0</v>
      </c>
      <c r="J908" s="12">
        <f>(PrincipalesVariables[[#This Row],[Reservas internacionales]]-F907)/F907</f>
        <v>6.4644755920734657E-3</v>
      </c>
    </row>
    <row r="909" spans="1:10" ht="15.75" thickBot="1" x14ac:dyDescent="0.3">
      <c r="A909" s="14">
        <v>42276</v>
      </c>
      <c r="B909" s="15">
        <v>42276</v>
      </c>
      <c r="C909" s="16">
        <v>534074</v>
      </c>
      <c r="D909" s="10">
        <f>PrincipalesVariables[[#This Row],[Base monetaria]]/1000000</f>
        <v>0.53407400000000005</v>
      </c>
      <c r="E909" s="10">
        <v>9.41</v>
      </c>
      <c r="F909" s="11">
        <v>33288</v>
      </c>
      <c r="H909" s="12">
        <f>(PrincipalesVariables[[#This Row],[Base monetaria]]-C908)/C908</f>
        <v>2.6933068239284555E-2</v>
      </c>
      <c r="I909" s="12">
        <f>(PrincipalesVariables[[#This Row],[Dólar  mayorista]]-E908)/E908</f>
        <v>0</v>
      </c>
      <c r="J909" s="12">
        <f>(PrincipalesVariables[[#This Row],[Reservas internacionales]]-F908)/F908</f>
        <v>-9.004141905276427E-4</v>
      </c>
    </row>
    <row r="910" spans="1:10" ht="15.75" thickBot="1" x14ac:dyDescent="0.3">
      <c r="A910" s="14">
        <v>42277</v>
      </c>
      <c r="B910" s="15">
        <v>42277</v>
      </c>
      <c r="C910" s="16">
        <v>530135</v>
      </c>
      <c r="D910" s="10">
        <f>PrincipalesVariables[[#This Row],[Base monetaria]]/1000000</f>
        <v>0.53013500000000002</v>
      </c>
      <c r="E910" s="10">
        <v>9.42</v>
      </c>
      <c r="F910" s="11">
        <v>33257</v>
      </c>
      <c r="H910" s="12">
        <f>(PrincipalesVariables[[#This Row],[Base monetaria]]-C909)/C909</f>
        <v>-7.375382437639728E-3</v>
      </c>
      <c r="I910" s="12">
        <f>(PrincipalesVariables[[#This Row],[Dólar  mayorista]]-E909)/E909</f>
        <v>1.0626992561104981E-3</v>
      </c>
      <c r="J910" s="12">
        <f>(PrincipalesVariables[[#This Row],[Reservas internacionales]]-F909)/F909</f>
        <v>-9.3126652247055991E-4</v>
      </c>
    </row>
    <row r="911" spans="1:10" ht="15.75" thickBot="1" x14ac:dyDescent="0.3">
      <c r="A911" s="14">
        <v>42278</v>
      </c>
      <c r="B911" s="15">
        <v>42278</v>
      </c>
      <c r="C911" s="16">
        <v>541547</v>
      </c>
      <c r="D911" s="10">
        <f>PrincipalesVariables[[#This Row],[Base monetaria]]/1000000</f>
        <v>0.541547</v>
      </c>
      <c r="E911" s="10">
        <v>9.43</v>
      </c>
      <c r="F911" s="11">
        <v>32471</v>
      </c>
      <c r="H911" s="12">
        <f>(PrincipalesVariables[[#This Row],[Base monetaria]]-C910)/C910</f>
        <v>2.1526592283097702E-2</v>
      </c>
      <c r="I911" s="12">
        <f>(PrincipalesVariables[[#This Row],[Dólar  mayorista]]-E910)/E910</f>
        <v>1.0615711252653702E-3</v>
      </c>
      <c r="J911" s="12">
        <f>(PrincipalesVariables[[#This Row],[Reservas internacionales]]-F910)/F910</f>
        <v>-2.3634122139699912E-2</v>
      </c>
    </row>
    <row r="912" spans="1:10" ht="15.75" thickBot="1" x14ac:dyDescent="0.3">
      <c r="A912" s="14">
        <v>42279</v>
      </c>
      <c r="B912" s="15">
        <v>42279</v>
      </c>
      <c r="C912" s="16">
        <v>539362</v>
      </c>
      <c r="D912" s="10">
        <f>PrincipalesVariables[[#This Row],[Base monetaria]]/1000000</f>
        <v>0.53936200000000001</v>
      </c>
      <c r="E912" s="10">
        <v>9.44</v>
      </c>
      <c r="F912" s="11">
        <v>32462</v>
      </c>
      <c r="H912" s="12">
        <f>(PrincipalesVariables[[#This Row],[Base monetaria]]-C911)/C911</f>
        <v>-4.0347375204737536E-3</v>
      </c>
      <c r="I912" s="12">
        <f>(PrincipalesVariables[[#This Row],[Dólar  mayorista]]-E911)/E911</f>
        <v>1.0604453870625436E-3</v>
      </c>
      <c r="J912" s="12">
        <f>(PrincipalesVariables[[#This Row],[Reservas internacionales]]-F911)/F911</f>
        <v>-2.771703982014721E-4</v>
      </c>
    </row>
    <row r="913" spans="1:10" ht="15.75" thickBot="1" x14ac:dyDescent="0.3">
      <c r="A913" s="14">
        <v>42282</v>
      </c>
      <c r="B913" s="15">
        <v>42282</v>
      </c>
      <c r="C913" s="16">
        <v>546926</v>
      </c>
      <c r="D913" s="10">
        <f>PrincipalesVariables[[#This Row],[Base monetaria]]/1000000</f>
        <v>0.54692600000000002</v>
      </c>
      <c r="E913" s="10">
        <v>9.44</v>
      </c>
      <c r="F913" s="11">
        <v>27713</v>
      </c>
      <c r="H913" s="12">
        <f>(PrincipalesVariables[[#This Row],[Base monetaria]]-C912)/C912</f>
        <v>1.4023976475910428E-2</v>
      </c>
      <c r="I913" s="12">
        <f>(PrincipalesVariables[[#This Row],[Dólar  mayorista]]-E912)/E912</f>
        <v>0</v>
      </c>
      <c r="J913" s="12">
        <f>(PrincipalesVariables[[#This Row],[Reservas internacionales]]-F912)/F912</f>
        <v>-0.14629412851949972</v>
      </c>
    </row>
    <row r="914" spans="1:10" ht="15.75" thickBot="1" x14ac:dyDescent="0.3">
      <c r="A914" s="14">
        <v>42283</v>
      </c>
      <c r="B914" s="15">
        <v>42283</v>
      </c>
      <c r="C914" s="16">
        <v>546202</v>
      </c>
      <c r="D914" s="10">
        <f>PrincipalesVariables[[#This Row],[Base monetaria]]/1000000</f>
        <v>0.54620199999999997</v>
      </c>
      <c r="E914" s="10">
        <v>9.4499999999999993</v>
      </c>
      <c r="F914" s="11">
        <v>27722</v>
      </c>
      <c r="H914" s="12">
        <f>(PrincipalesVariables[[#This Row],[Base monetaria]]-C913)/C913</f>
        <v>-1.3237622639991516E-3</v>
      </c>
      <c r="I914" s="12">
        <f>(PrincipalesVariables[[#This Row],[Dólar  mayorista]]-E913)/E913</f>
        <v>1.0593220338982825E-3</v>
      </c>
      <c r="J914" s="12">
        <f>(PrincipalesVariables[[#This Row],[Reservas internacionales]]-F913)/F913</f>
        <v>3.2475733410312847E-4</v>
      </c>
    </row>
    <row r="915" spans="1:10" ht="15.75" thickBot="1" x14ac:dyDescent="0.3">
      <c r="A915" s="14">
        <v>42284</v>
      </c>
      <c r="B915" s="15">
        <v>42284</v>
      </c>
      <c r="C915" s="16">
        <v>547052</v>
      </c>
      <c r="D915" s="10">
        <f>PrincipalesVariables[[#This Row],[Base monetaria]]/1000000</f>
        <v>0.54705199999999998</v>
      </c>
      <c r="E915" s="10">
        <v>9.4499999999999993</v>
      </c>
      <c r="F915" s="11">
        <v>27691</v>
      </c>
      <c r="H915" s="12">
        <f>(PrincipalesVariables[[#This Row],[Base monetaria]]-C914)/C914</f>
        <v>1.5562008194770433E-3</v>
      </c>
      <c r="I915" s="12">
        <f>(PrincipalesVariables[[#This Row],[Dólar  mayorista]]-E914)/E914</f>
        <v>0</v>
      </c>
      <c r="J915" s="12">
        <f>(PrincipalesVariables[[#This Row],[Reservas internacionales]]-F914)/F914</f>
        <v>-1.118245436837169E-3</v>
      </c>
    </row>
    <row r="916" spans="1:10" ht="15.75" thickBot="1" x14ac:dyDescent="0.3">
      <c r="A916" s="14">
        <v>42285</v>
      </c>
      <c r="B916" s="15">
        <v>42285</v>
      </c>
      <c r="C916" s="16">
        <v>547386</v>
      </c>
      <c r="D916" s="10">
        <f>PrincipalesVariables[[#This Row],[Base monetaria]]/1000000</f>
        <v>0.54738600000000004</v>
      </c>
      <c r="E916" s="10">
        <v>9.4600000000000009</v>
      </c>
      <c r="F916" s="11">
        <v>27747</v>
      </c>
      <c r="H916" s="12">
        <f>(PrincipalesVariables[[#This Row],[Base monetaria]]-C915)/C915</f>
        <v>6.1054524981171807E-4</v>
      </c>
      <c r="I916" s="12">
        <f>(PrincipalesVariables[[#This Row],[Dólar  mayorista]]-E915)/E915</f>
        <v>1.0582010582012237E-3</v>
      </c>
      <c r="J916" s="12">
        <f>(PrincipalesVariables[[#This Row],[Reservas internacionales]]-F915)/F915</f>
        <v>2.0223177205590265E-3</v>
      </c>
    </row>
    <row r="917" spans="1:10" ht="15.75" thickBot="1" x14ac:dyDescent="0.3">
      <c r="A917" s="14">
        <v>42286</v>
      </c>
      <c r="B917" s="15">
        <v>42286</v>
      </c>
      <c r="C917" s="16">
        <v>545767</v>
      </c>
      <c r="D917" s="10">
        <f>PrincipalesVariables[[#This Row],[Base monetaria]]/1000000</f>
        <v>0.545767</v>
      </c>
      <c r="E917" s="10">
        <v>9.4700000000000006</v>
      </c>
      <c r="F917" s="11">
        <v>27758</v>
      </c>
      <c r="H917" s="12">
        <f>(PrincipalesVariables[[#This Row],[Base monetaria]]-C916)/C916</f>
        <v>-2.9576934740749672E-3</v>
      </c>
      <c r="I917" s="12">
        <f>(PrincipalesVariables[[#This Row],[Dólar  mayorista]]-E916)/E916</f>
        <v>1.0570824524312669E-3</v>
      </c>
      <c r="J917" s="12">
        <f>(PrincipalesVariables[[#This Row],[Reservas internacionales]]-F916)/F916</f>
        <v>3.9643925469420117E-4</v>
      </c>
    </row>
    <row r="918" spans="1:10" ht="15.75" thickBot="1" x14ac:dyDescent="0.3">
      <c r="A918" s="14">
        <v>42290</v>
      </c>
      <c r="B918" s="15">
        <v>42290</v>
      </c>
      <c r="C918" s="16">
        <v>547021</v>
      </c>
      <c r="D918" s="10">
        <f>PrincipalesVariables[[#This Row],[Base monetaria]]/1000000</f>
        <v>0.54702099999999998</v>
      </c>
      <c r="E918" s="10">
        <v>9.4700000000000006</v>
      </c>
      <c r="F918" s="11">
        <v>27753</v>
      </c>
      <c r="H918" s="12">
        <f>(PrincipalesVariables[[#This Row],[Base monetaria]]-C917)/C917</f>
        <v>2.2976838101241006E-3</v>
      </c>
      <c r="I918" s="12">
        <f>(PrincipalesVariables[[#This Row],[Dólar  mayorista]]-E917)/E917</f>
        <v>0</v>
      </c>
      <c r="J918" s="12">
        <f>(PrincipalesVariables[[#This Row],[Reservas internacionales]]-F917)/F917</f>
        <v>-1.8012825131493622E-4</v>
      </c>
    </row>
    <row r="919" spans="1:10" ht="15.75" thickBot="1" x14ac:dyDescent="0.3">
      <c r="A919" s="14">
        <v>42291</v>
      </c>
      <c r="B919" s="15">
        <v>42291</v>
      </c>
      <c r="C919" s="16">
        <v>542237</v>
      </c>
      <c r="D919" s="10">
        <f>PrincipalesVariables[[#This Row],[Base monetaria]]/1000000</f>
        <v>0.54223699999999997</v>
      </c>
      <c r="E919" s="10">
        <v>9.48</v>
      </c>
      <c r="F919" s="11">
        <v>27755</v>
      </c>
      <c r="H919" s="12">
        <f>(PrincipalesVariables[[#This Row],[Base monetaria]]-C918)/C918</f>
        <v>-8.7455509020677447E-3</v>
      </c>
      <c r="I919" s="12">
        <f>(PrincipalesVariables[[#This Row],[Dólar  mayorista]]-E918)/E918</f>
        <v>1.0559662090812868E-3</v>
      </c>
      <c r="J919" s="12">
        <f>(PrincipalesVariables[[#This Row],[Reservas internacionales]]-F918)/F918</f>
        <v>7.2064281338954351E-5</v>
      </c>
    </row>
    <row r="920" spans="1:10" ht="15.75" thickBot="1" x14ac:dyDescent="0.3">
      <c r="A920" s="14">
        <v>42292</v>
      </c>
      <c r="B920" s="15">
        <v>42292</v>
      </c>
      <c r="C920" s="16">
        <v>551862</v>
      </c>
      <c r="D920" s="10">
        <f>PrincipalesVariables[[#This Row],[Base monetaria]]/1000000</f>
        <v>0.55186199999999996</v>
      </c>
      <c r="E920" s="10">
        <v>9.48</v>
      </c>
      <c r="F920" s="11">
        <v>27636</v>
      </c>
      <c r="H920" s="12">
        <f>(PrincipalesVariables[[#This Row],[Base monetaria]]-C919)/C919</f>
        <v>1.7750540815178604E-2</v>
      </c>
      <c r="I920" s="12">
        <f>(PrincipalesVariables[[#This Row],[Dólar  mayorista]]-E919)/E919</f>
        <v>0</v>
      </c>
      <c r="J920" s="12">
        <f>(PrincipalesVariables[[#This Row],[Reservas internacionales]]-F919)/F919</f>
        <v>-4.287515762925599E-3</v>
      </c>
    </row>
    <row r="921" spans="1:10" ht="15.75" thickBot="1" x14ac:dyDescent="0.3">
      <c r="A921" s="14">
        <v>42293</v>
      </c>
      <c r="B921" s="15">
        <v>42293</v>
      </c>
      <c r="C921" s="16">
        <v>550024</v>
      </c>
      <c r="D921" s="10">
        <f>PrincipalesVariables[[#This Row],[Base monetaria]]/1000000</f>
        <v>0.55002399999999996</v>
      </c>
      <c r="E921" s="10">
        <v>9.49</v>
      </c>
      <c r="F921" s="11">
        <v>27635</v>
      </c>
      <c r="H921" s="12">
        <f>(PrincipalesVariables[[#This Row],[Base monetaria]]-C920)/C920</f>
        <v>-3.3305427806226921E-3</v>
      </c>
      <c r="I921" s="12">
        <f>(PrincipalesVariables[[#This Row],[Dólar  mayorista]]-E920)/E920</f>
        <v>1.0548523206750828E-3</v>
      </c>
      <c r="J921" s="12">
        <f>(PrincipalesVariables[[#This Row],[Reservas internacionales]]-F920)/F920</f>
        <v>-3.6184686640613689E-5</v>
      </c>
    </row>
    <row r="922" spans="1:10" ht="15.75" thickBot="1" x14ac:dyDescent="0.3">
      <c r="A922" s="14">
        <v>42296</v>
      </c>
      <c r="B922" s="15">
        <v>42296</v>
      </c>
      <c r="C922" s="16">
        <v>547101</v>
      </c>
      <c r="D922" s="10">
        <f>PrincipalesVariables[[#This Row],[Base monetaria]]/1000000</f>
        <v>0.54710099999999995</v>
      </c>
      <c r="E922" s="10">
        <v>9.5</v>
      </c>
      <c r="F922" s="11">
        <v>27389</v>
      </c>
      <c r="H922" s="12">
        <f>(PrincipalesVariables[[#This Row],[Base monetaria]]-C921)/C921</f>
        <v>-5.3143135572265941E-3</v>
      </c>
      <c r="I922" s="12">
        <f>(PrincipalesVariables[[#This Row],[Dólar  mayorista]]-E921)/E921</f>
        <v>1.0537407797681546E-3</v>
      </c>
      <c r="J922" s="12">
        <f>(PrincipalesVariables[[#This Row],[Reservas internacionales]]-F921)/F921</f>
        <v>-8.9017550208069472E-3</v>
      </c>
    </row>
    <row r="923" spans="1:10" ht="15.75" thickBot="1" x14ac:dyDescent="0.3">
      <c r="A923" s="14">
        <v>42297</v>
      </c>
      <c r="B923" s="15">
        <v>42297</v>
      </c>
      <c r="C923" s="16">
        <v>550690</v>
      </c>
      <c r="D923" s="10">
        <f>PrincipalesVariables[[#This Row],[Base monetaria]]/1000000</f>
        <v>0.55069000000000001</v>
      </c>
      <c r="E923" s="10">
        <v>9.5</v>
      </c>
      <c r="F923" s="11">
        <v>27389</v>
      </c>
      <c r="H923" s="12">
        <f>(PrincipalesVariables[[#This Row],[Base monetaria]]-C922)/C922</f>
        <v>6.56003187711227E-3</v>
      </c>
      <c r="I923" s="12">
        <f>(PrincipalesVariables[[#This Row],[Dólar  mayorista]]-E922)/E922</f>
        <v>0</v>
      </c>
      <c r="J923" s="12">
        <f>(PrincipalesVariables[[#This Row],[Reservas internacionales]]-F922)/F922</f>
        <v>0</v>
      </c>
    </row>
    <row r="924" spans="1:10" ht="15.75" thickBot="1" x14ac:dyDescent="0.3">
      <c r="A924" s="14">
        <v>42298</v>
      </c>
      <c r="B924" s="15">
        <v>42298</v>
      </c>
      <c r="C924" s="16">
        <v>546567</v>
      </c>
      <c r="D924" s="10">
        <f>PrincipalesVariables[[#This Row],[Base monetaria]]/1000000</f>
        <v>0.54656700000000003</v>
      </c>
      <c r="E924" s="10">
        <v>9.51</v>
      </c>
      <c r="F924" s="11">
        <v>27335</v>
      </c>
      <c r="H924" s="12">
        <f>(PrincipalesVariables[[#This Row],[Base monetaria]]-C923)/C923</f>
        <v>-7.4869708910639378E-3</v>
      </c>
      <c r="I924" s="12">
        <f>(PrincipalesVariables[[#This Row],[Dólar  mayorista]]-E923)/E923</f>
        <v>1.0526315789473461E-3</v>
      </c>
      <c r="J924" s="12">
        <f>(PrincipalesVariables[[#This Row],[Reservas internacionales]]-F923)/F923</f>
        <v>-1.9715944357223702E-3</v>
      </c>
    </row>
    <row r="925" spans="1:10" ht="15.75" thickBot="1" x14ac:dyDescent="0.3">
      <c r="A925" s="14">
        <v>42299</v>
      </c>
      <c r="B925" s="15">
        <v>42299</v>
      </c>
      <c r="C925" s="16">
        <v>548448</v>
      </c>
      <c r="D925" s="10">
        <f>PrincipalesVariables[[#This Row],[Base monetaria]]/1000000</f>
        <v>0.54844800000000005</v>
      </c>
      <c r="E925" s="10">
        <v>9.51</v>
      </c>
      <c r="F925" s="11">
        <v>27300</v>
      </c>
      <c r="H925" s="12">
        <f>(PrincipalesVariables[[#This Row],[Base monetaria]]-C924)/C924</f>
        <v>3.4414810992979819E-3</v>
      </c>
      <c r="I925" s="12">
        <f>(PrincipalesVariables[[#This Row],[Dólar  mayorista]]-E924)/E924</f>
        <v>0</v>
      </c>
      <c r="J925" s="12">
        <f>(PrincipalesVariables[[#This Row],[Reservas internacionales]]-F924)/F924</f>
        <v>-1.2804097311139564E-3</v>
      </c>
    </row>
    <row r="926" spans="1:10" ht="15.75" thickBot="1" x14ac:dyDescent="0.3">
      <c r="A926" s="14">
        <v>42300</v>
      </c>
      <c r="B926" s="15">
        <v>42300</v>
      </c>
      <c r="C926" s="16">
        <v>546397</v>
      </c>
      <c r="D926" s="10">
        <f>PrincipalesVariables[[#This Row],[Base monetaria]]/1000000</f>
        <v>0.54639700000000002</v>
      </c>
      <c r="E926" s="10">
        <v>9.52</v>
      </c>
      <c r="F926" s="11">
        <v>27305</v>
      </c>
      <c r="H926" s="12">
        <f>(PrincipalesVariables[[#This Row],[Base monetaria]]-C925)/C925</f>
        <v>-3.7396435031215357E-3</v>
      </c>
      <c r="I926" s="12">
        <f>(PrincipalesVariables[[#This Row],[Dólar  mayorista]]-E925)/E925</f>
        <v>1.0515247108306822E-3</v>
      </c>
      <c r="J926" s="12">
        <f>(PrincipalesVariables[[#This Row],[Reservas internacionales]]-F925)/F925</f>
        <v>1.8315018315018315E-4</v>
      </c>
    </row>
    <row r="927" spans="1:10" ht="15.75" thickBot="1" x14ac:dyDescent="0.3">
      <c r="A927" s="14">
        <v>42303</v>
      </c>
      <c r="B927" s="15">
        <v>42303</v>
      </c>
      <c r="C927" s="16">
        <v>542948</v>
      </c>
      <c r="D927" s="10">
        <f>PrincipalesVariables[[#This Row],[Base monetaria]]/1000000</f>
        <v>0.54294799999999999</v>
      </c>
      <c r="E927" s="10">
        <v>9.5299999999999994</v>
      </c>
      <c r="F927" s="11">
        <v>27162</v>
      </c>
      <c r="H927" s="12">
        <f>(PrincipalesVariables[[#This Row],[Base monetaria]]-C926)/C926</f>
        <v>-6.3122601331998532E-3</v>
      </c>
      <c r="I927" s="12">
        <f>(PrincipalesVariables[[#This Row],[Dólar  mayorista]]-E926)/E926</f>
        <v>1.0504201680672045E-3</v>
      </c>
      <c r="J927" s="12">
        <f>(PrincipalesVariables[[#This Row],[Reservas internacionales]]-F926)/F926</f>
        <v>-5.2371360556674601E-3</v>
      </c>
    </row>
    <row r="928" spans="1:10" ht="15.75" thickBot="1" x14ac:dyDescent="0.3">
      <c r="A928" s="14">
        <v>42304</v>
      </c>
      <c r="B928" s="15">
        <v>42304</v>
      </c>
      <c r="C928" s="16">
        <v>541247</v>
      </c>
      <c r="D928" s="10">
        <f>PrincipalesVariables[[#This Row],[Base monetaria]]/1000000</f>
        <v>0.54124700000000003</v>
      </c>
      <c r="E928" s="10">
        <v>9.5299999999999994</v>
      </c>
      <c r="F928" s="11">
        <v>27060</v>
      </c>
      <c r="H928" s="12">
        <f>(PrincipalesVariables[[#This Row],[Base monetaria]]-C927)/C927</f>
        <v>-3.1328967046567995E-3</v>
      </c>
      <c r="I928" s="12">
        <f>(PrincipalesVariables[[#This Row],[Dólar  mayorista]]-E927)/E927</f>
        <v>0</v>
      </c>
      <c r="J928" s="12">
        <f>(PrincipalesVariables[[#This Row],[Reservas internacionales]]-F927)/F927</f>
        <v>-3.7552462999779104E-3</v>
      </c>
    </row>
    <row r="929" spans="1:10" ht="15.75" thickBot="1" x14ac:dyDescent="0.3">
      <c r="A929" s="14">
        <v>42305</v>
      </c>
      <c r="B929" s="15">
        <v>42305</v>
      </c>
      <c r="C929" s="16">
        <v>532436</v>
      </c>
      <c r="D929" s="10">
        <f>PrincipalesVariables[[#This Row],[Base monetaria]]/1000000</f>
        <v>0.53243600000000002</v>
      </c>
      <c r="E929" s="10">
        <v>9.5399999999999991</v>
      </c>
      <c r="F929" s="11">
        <v>27037</v>
      </c>
      <c r="H929" s="12">
        <f>(PrincipalesVariables[[#This Row],[Base monetaria]]-C928)/C928</f>
        <v>-1.6279074064151858E-2</v>
      </c>
      <c r="I929" s="12">
        <f>(PrincipalesVariables[[#This Row],[Dólar  mayorista]]-E928)/E928</f>
        <v>1.0493179433368088E-3</v>
      </c>
      <c r="J929" s="12">
        <f>(PrincipalesVariables[[#This Row],[Reservas internacionales]]-F928)/F928</f>
        <v>-8.499630450849963E-4</v>
      </c>
    </row>
    <row r="930" spans="1:10" ht="15.75" thickBot="1" x14ac:dyDescent="0.3">
      <c r="A930" s="14">
        <v>42306</v>
      </c>
      <c r="B930" s="15">
        <v>42306</v>
      </c>
      <c r="C930" s="16">
        <v>525726</v>
      </c>
      <c r="D930" s="10">
        <f>PrincipalesVariables[[#This Row],[Base monetaria]]/1000000</f>
        <v>0.52572600000000003</v>
      </c>
      <c r="E930" s="10">
        <v>9.5399999999999991</v>
      </c>
      <c r="F930" s="11">
        <v>26965</v>
      </c>
      <c r="H930" s="12">
        <f>(PrincipalesVariables[[#This Row],[Base monetaria]]-C929)/C929</f>
        <v>-1.2602453628229496E-2</v>
      </c>
      <c r="I930" s="12">
        <f>(PrincipalesVariables[[#This Row],[Dólar  mayorista]]-E929)/E929</f>
        <v>0</v>
      </c>
      <c r="J930" s="12">
        <f>(PrincipalesVariables[[#This Row],[Reservas internacionales]]-F929)/F929</f>
        <v>-2.663017346599105E-3</v>
      </c>
    </row>
    <row r="931" spans="1:10" ht="15.75" thickBot="1" x14ac:dyDescent="0.3">
      <c r="A931" s="14">
        <v>42307</v>
      </c>
      <c r="B931" s="15">
        <v>42307</v>
      </c>
      <c r="C931" s="16">
        <v>543201</v>
      </c>
      <c r="D931" s="10">
        <f>PrincipalesVariables[[#This Row],[Base monetaria]]/1000000</f>
        <v>0.54320100000000004</v>
      </c>
      <c r="E931" s="10">
        <v>9.5500000000000007</v>
      </c>
      <c r="F931" s="11">
        <v>26970</v>
      </c>
      <c r="H931" s="12">
        <f>(PrincipalesVariables[[#This Row],[Base monetaria]]-C930)/C930</f>
        <v>3.3239748462126656E-2</v>
      </c>
      <c r="I931" s="12">
        <f>(PrincipalesVariables[[#This Row],[Dólar  mayorista]]-E930)/E930</f>
        <v>1.0482180293502688E-3</v>
      </c>
      <c r="J931" s="12">
        <f>(PrincipalesVariables[[#This Row],[Reservas internacionales]]-F930)/F930</f>
        <v>1.8542555164101615E-4</v>
      </c>
    </row>
    <row r="932" spans="1:10" ht="15.75" thickBot="1" x14ac:dyDescent="0.3">
      <c r="A932" s="14">
        <v>42310</v>
      </c>
      <c r="B932" s="15">
        <v>42310</v>
      </c>
      <c r="C932" s="16">
        <v>561158</v>
      </c>
      <c r="D932" s="10">
        <f>PrincipalesVariables[[#This Row],[Base monetaria]]/1000000</f>
        <v>0.56115800000000005</v>
      </c>
      <c r="E932" s="10">
        <v>9.5500000000000007</v>
      </c>
      <c r="F932" s="11">
        <v>26938</v>
      </c>
      <c r="H932" s="12">
        <f>(PrincipalesVariables[[#This Row],[Base monetaria]]-C931)/C931</f>
        <v>3.305774473905608E-2</v>
      </c>
      <c r="I932" s="12">
        <f>(PrincipalesVariables[[#This Row],[Dólar  mayorista]]-E931)/E931</f>
        <v>0</v>
      </c>
      <c r="J932" s="12">
        <f>(PrincipalesVariables[[#This Row],[Reservas internacionales]]-F931)/F931</f>
        <v>-1.1865035224323322E-3</v>
      </c>
    </row>
    <row r="933" spans="1:10" ht="15.75" thickBot="1" x14ac:dyDescent="0.3">
      <c r="A933" s="14">
        <v>42311</v>
      </c>
      <c r="B933" s="15">
        <v>42311</v>
      </c>
      <c r="C933" s="16">
        <v>560592</v>
      </c>
      <c r="D933" s="10">
        <f>PrincipalesVariables[[#This Row],[Base monetaria]]/1000000</f>
        <v>0.56059199999999998</v>
      </c>
      <c r="E933" s="10">
        <v>9.56</v>
      </c>
      <c r="F933" s="11">
        <v>26877</v>
      </c>
      <c r="H933" s="12">
        <f>(PrincipalesVariables[[#This Row],[Base monetaria]]-C932)/C932</f>
        <v>-1.0086285858884663E-3</v>
      </c>
      <c r="I933" s="12">
        <f>(PrincipalesVariables[[#This Row],[Dólar  mayorista]]-E932)/E932</f>
        <v>1.0471204188481451E-3</v>
      </c>
      <c r="J933" s="12">
        <f>(PrincipalesVariables[[#This Row],[Reservas internacionales]]-F932)/F932</f>
        <v>-2.2644591283688472E-3</v>
      </c>
    </row>
    <row r="934" spans="1:10" ht="15.75" thickBot="1" x14ac:dyDescent="0.3">
      <c r="A934" s="14">
        <v>42312</v>
      </c>
      <c r="B934" s="15">
        <v>42312</v>
      </c>
      <c r="C934" s="16">
        <v>563935</v>
      </c>
      <c r="D934" s="10">
        <f>PrincipalesVariables[[#This Row],[Base monetaria]]/1000000</f>
        <v>0.56393499999999996</v>
      </c>
      <c r="E934" s="10">
        <v>9.57</v>
      </c>
      <c r="F934" s="11">
        <v>26807</v>
      </c>
      <c r="H934" s="12">
        <f>(PrincipalesVariables[[#This Row],[Base monetaria]]-C933)/C933</f>
        <v>5.9633387561720463E-3</v>
      </c>
      <c r="I934" s="12">
        <f>(PrincipalesVariables[[#This Row],[Dólar  mayorista]]-E933)/E933</f>
        <v>1.046025104602488E-3</v>
      </c>
      <c r="J934" s="12">
        <f>(PrincipalesVariables[[#This Row],[Reservas internacionales]]-F933)/F933</f>
        <v>-2.6044573427093797E-3</v>
      </c>
    </row>
    <row r="935" spans="1:10" ht="15.75" thickBot="1" x14ac:dyDescent="0.3">
      <c r="A935" s="14">
        <v>42313</v>
      </c>
      <c r="B935" s="15">
        <v>42313</v>
      </c>
      <c r="C935" s="16">
        <v>567390</v>
      </c>
      <c r="D935" s="10">
        <f>PrincipalesVariables[[#This Row],[Base monetaria]]/1000000</f>
        <v>0.56738999999999995</v>
      </c>
      <c r="E935" s="10">
        <v>9.58</v>
      </c>
      <c r="F935" s="11">
        <v>26710</v>
      </c>
      <c r="H935" s="12">
        <f>(PrincipalesVariables[[#This Row],[Base monetaria]]-C934)/C934</f>
        <v>6.126592603757525E-3</v>
      </c>
      <c r="I935" s="12">
        <f>(PrincipalesVariables[[#This Row],[Dólar  mayorista]]-E934)/E934</f>
        <v>1.0449320794148158E-3</v>
      </c>
      <c r="J935" s="12">
        <f>(PrincipalesVariables[[#This Row],[Reservas internacionales]]-F934)/F934</f>
        <v>-3.6184578654828961E-3</v>
      </c>
    </row>
    <row r="936" spans="1:10" ht="15.75" thickBot="1" x14ac:dyDescent="0.3">
      <c r="A936" s="14">
        <v>42317</v>
      </c>
      <c r="B936" s="15">
        <v>42317</v>
      </c>
      <c r="C936" s="16">
        <v>568409</v>
      </c>
      <c r="D936" s="10">
        <f>PrincipalesVariables[[#This Row],[Base monetaria]]/1000000</f>
        <v>0.56840900000000005</v>
      </c>
      <c r="E936" s="10">
        <v>9.59</v>
      </c>
      <c r="F936" s="11">
        <v>26440</v>
      </c>
      <c r="H936" s="12">
        <f>(PrincipalesVariables[[#This Row],[Base monetaria]]-C935)/C935</f>
        <v>1.7959428259222052E-3</v>
      </c>
      <c r="I936" s="12">
        <f>(PrincipalesVariables[[#This Row],[Dólar  mayorista]]-E935)/E935</f>
        <v>1.043841336116888E-3</v>
      </c>
      <c r="J936" s="12">
        <f>(PrincipalesVariables[[#This Row],[Reservas internacionales]]-F935)/F935</f>
        <v>-1.0108573567952079E-2</v>
      </c>
    </row>
    <row r="937" spans="1:10" ht="15.75" thickBot="1" x14ac:dyDescent="0.3">
      <c r="A937" s="14">
        <v>42318</v>
      </c>
      <c r="B937" s="15">
        <v>42318</v>
      </c>
      <c r="C937" s="16">
        <v>569809</v>
      </c>
      <c r="D937" s="10">
        <f>PrincipalesVariables[[#This Row],[Base monetaria]]/1000000</f>
        <v>0.56980900000000001</v>
      </c>
      <c r="E937" s="10">
        <v>9.59</v>
      </c>
      <c r="F937" s="11">
        <v>26391</v>
      </c>
      <c r="H937" s="12">
        <f>(PrincipalesVariables[[#This Row],[Base monetaria]]-C936)/C936</f>
        <v>2.4630151880072272E-3</v>
      </c>
      <c r="I937" s="12">
        <f>(PrincipalesVariables[[#This Row],[Dólar  mayorista]]-E936)/E936</f>
        <v>0</v>
      </c>
      <c r="J937" s="12">
        <f>(PrincipalesVariables[[#This Row],[Reservas internacionales]]-F936)/F936</f>
        <v>-1.853252647503782E-3</v>
      </c>
    </row>
    <row r="938" spans="1:10" ht="15.75" thickBot="1" x14ac:dyDescent="0.3">
      <c r="A938" s="14">
        <v>42319</v>
      </c>
      <c r="B938" s="15">
        <v>42319</v>
      </c>
      <c r="C938" s="16">
        <v>573043</v>
      </c>
      <c r="D938" s="10">
        <f>PrincipalesVariables[[#This Row],[Base monetaria]]/1000000</f>
        <v>0.57304299999999997</v>
      </c>
      <c r="E938" s="10">
        <v>9.6</v>
      </c>
      <c r="F938" s="11">
        <v>26278</v>
      </c>
      <c r="H938" s="12">
        <f>(PrincipalesVariables[[#This Row],[Base monetaria]]-C937)/C937</f>
        <v>5.6755860297046908E-3</v>
      </c>
      <c r="I938" s="12">
        <f>(PrincipalesVariables[[#This Row],[Dólar  mayorista]]-E937)/E937</f>
        <v>1.0427528675703635E-3</v>
      </c>
      <c r="J938" s="12">
        <f>(PrincipalesVariables[[#This Row],[Reservas internacionales]]-F937)/F937</f>
        <v>-4.2817627221401235E-3</v>
      </c>
    </row>
    <row r="939" spans="1:10" ht="15.75" thickBot="1" x14ac:dyDescent="0.3">
      <c r="A939" s="14">
        <v>42320</v>
      </c>
      <c r="B939" s="15">
        <v>42320</v>
      </c>
      <c r="C939" s="16">
        <v>562438</v>
      </c>
      <c r="D939" s="10">
        <f>PrincipalesVariables[[#This Row],[Base monetaria]]/1000000</f>
        <v>0.56243799999999999</v>
      </c>
      <c r="E939" s="10">
        <v>9.61</v>
      </c>
      <c r="F939" s="11">
        <v>26246</v>
      </c>
      <c r="H939" s="12">
        <f>(PrincipalesVariables[[#This Row],[Base monetaria]]-C938)/C938</f>
        <v>-1.8506464610858173E-2</v>
      </c>
      <c r="I939" s="12">
        <f>(PrincipalesVariables[[#This Row],[Dólar  mayorista]]-E938)/E938</f>
        <v>1.0416666666666445E-3</v>
      </c>
      <c r="J939" s="12">
        <f>(PrincipalesVariables[[#This Row],[Reservas internacionales]]-F938)/F938</f>
        <v>-1.2177486871146968E-3</v>
      </c>
    </row>
    <row r="940" spans="1:10" ht="15.75" thickBot="1" x14ac:dyDescent="0.3">
      <c r="A940" s="14">
        <v>42321</v>
      </c>
      <c r="B940" s="15">
        <v>42321</v>
      </c>
      <c r="C940" s="16">
        <v>567972</v>
      </c>
      <c r="D940" s="10">
        <f>PrincipalesVariables[[#This Row],[Base monetaria]]/1000000</f>
        <v>0.56797200000000003</v>
      </c>
      <c r="E940" s="10">
        <v>9.6199999999999992</v>
      </c>
      <c r="F940" s="11">
        <v>26203</v>
      </c>
      <c r="H940" s="12">
        <f>(PrincipalesVariables[[#This Row],[Base monetaria]]-C939)/C939</f>
        <v>9.8393067324754023E-3</v>
      </c>
      <c r="I940" s="12">
        <f>(PrincipalesVariables[[#This Row],[Dólar  mayorista]]-E939)/E939</f>
        <v>1.040582726326721E-3</v>
      </c>
      <c r="J940" s="12">
        <f>(PrincipalesVariables[[#This Row],[Reservas internacionales]]-F939)/F939</f>
        <v>-1.6383448906500037E-3</v>
      </c>
    </row>
    <row r="941" spans="1:10" ht="15.75" thickBot="1" x14ac:dyDescent="0.3">
      <c r="A941" s="14">
        <v>42324</v>
      </c>
      <c r="B941" s="15">
        <v>42324</v>
      </c>
      <c r="C941" s="16">
        <v>569391</v>
      </c>
      <c r="D941" s="10">
        <f>PrincipalesVariables[[#This Row],[Base monetaria]]/1000000</f>
        <v>0.56939099999999998</v>
      </c>
      <c r="E941" s="10">
        <v>9.6300000000000008</v>
      </c>
      <c r="F941" s="11">
        <v>26111</v>
      </c>
      <c r="H941" s="12">
        <f>(PrincipalesVariables[[#This Row],[Base monetaria]]-C940)/C940</f>
        <v>2.4983625953392068E-3</v>
      </c>
      <c r="I941" s="12">
        <f>(PrincipalesVariables[[#This Row],[Dólar  mayorista]]-E940)/E940</f>
        <v>1.039501039501202E-3</v>
      </c>
      <c r="J941" s="12">
        <f>(PrincipalesVariables[[#This Row],[Reservas internacionales]]-F940)/F940</f>
        <v>-3.5110483532419952E-3</v>
      </c>
    </row>
    <row r="942" spans="1:10" ht="15.75" thickBot="1" x14ac:dyDescent="0.3">
      <c r="A942" s="14">
        <v>42325</v>
      </c>
      <c r="B942" s="15">
        <v>42325</v>
      </c>
      <c r="C942" s="16">
        <v>568050</v>
      </c>
      <c r="D942" s="10">
        <f>PrincipalesVariables[[#This Row],[Base monetaria]]/1000000</f>
        <v>0.56805000000000005</v>
      </c>
      <c r="E942" s="10">
        <v>9.64</v>
      </c>
      <c r="F942" s="11">
        <v>25924</v>
      </c>
      <c r="H942" s="12">
        <f>(PrincipalesVariables[[#This Row],[Base monetaria]]-C941)/C941</f>
        <v>-2.3551478685121473E-3</v>
      </c>
      <c r="I942" s="12">
        <f>(PrincipalesVariables[[#This Row],[Dólar  mayorista]]-E941)/E941</f>
        <v>1.0384215991692406E-3</v>
      </c>
      <c r="J942" s="12">
        <f>(PrincipalesVariables[[#This Row],[Reservas internacionales]]-F941)/F941</f>
        <v>-7.1617326031174601E-3</v>
      </c>
    </row>
    <row r="943" spans="1:10" ht="15.75" thickBot="1" x14ac:dyDescent="0.3">
      <c r="A943" s="14">
        <v>42326</v>
      </c>
      <c r="B943" s="15">
        <v>42326</v>
      </c>
      <c r="C943" s="16">
        <v>557773</v>
      </c>
      <c r="D943" s="10">
        <f>PrincipalesVariables[[#This Row],[Base monetaria]]/1000000</f>
        <v>0.55777299999999996</v>
      </c>
      <c r="E943" s="10">
        <v>9.65</v>
      </c>
      <c r="F943" s="11">
        <v>25933</v>
      </c>
      <c r="H943" s="12">
        <f>(PrincipalesVariables[[#This Row],[Base monetaria]]-C942)/C942</f>
        <v>-1.8091717278408592E-2</v>
      </c>
      <c r="I943" s="12">
        <f>(PrincipalesVariables[[#This Row],[Dólar  mayorista]]-E942)/E942</f>
        <v>1.0373443983402268E-3</v>
      </c>
      <c r="J943" s="12">
        <f>(PrincipalesVariables[[#This Row],[Reservas internacionales]]-F942)/F942</f>
        <v>3.4716864681376332E-4</v>
      </c>
    </row>
    <row r="944" spans="1:10" ht="15.75" thickBot="1" x14ac:dyDescent="0.3">
      <c r="A944" s="14">
        <v>42327</v>
      </c>
      <c r="B944" s="15">
        <v>42327</v>
      </c>
      <c r="C944" s="16">
        <v>552367</v>
      </c>
      <c r="D944" s="10">
        <f>PrincipalesVariables[[#This Row],[Base monetaria]]/1000000</f>
        <v>0.55236700000000005</v>
      </c>
      <c r="E944" s="10">
        <v>9.66</v>
      </c>
      <c r="F944" s="11">
        <v>25889</v>
      </c>
      <c r="H944" s="12">
        <f>(PrincipalesVariables[[#This Row],[Base monetaria]]-C943)/C943</f>
        <v>-9.6921148926176065E-3</v>
      </c>
      <c r="I944" s="12">
        <f>(PrincipalesVariables[[#This Row],[Dólar  mayorista]]-E943)/E943</f>
        <v>1.0362694300517913E-3</v>
      </c>
      <c r="J944" s="12">
        <f>(PrincipalesVariables[[#This Row],[Reservas internacionales]]-F943)/F943</f>
        <v>-1.6966799059113871E-3</v>
      </c>
    </row>
    <row r="945" spans="1:10" ht="15.75" thickBot="1" x14ac:dyDescent="0.3">
      <c r="A945" s="14">
        <v>42328</v>
      </c>
      <c r="B945" s="15">
        <v>42328</v>
      </c>
      <c r="C945" s="16">
        <v>546172</v>
      </c>
      <c r="D945" s="10">
        <f>PrincipalesVariables[[#This Row],[Base monetaria]]/1000000</f>
        <v>0.54617199999999999</v>
      </c>
      <c r="E945" s="10">
        <v>9.67</v>
      </c>
      <c r="F945" s="11">
        <v>25841</v>
      </c>
      <c r="H945" s="12">
        <f>(PrincipalesVariables[[#This Row],[Base monetaria]]-C944)/C944</f>
        <v>-1.1215369491660436E-2</v>
      </c>
      <c r="I945" s="12">
        <f>(PrincipalesVariables[[#This Row],[Dólar  mayorista]]-E944)/E944</f>
        <v>1.0351966873705784E-3</v>
      </c>
      <c r="J945" s="12">
        <f>(PrincipalesVariables[[#This Row],[Reservas internacionales]]-F944)/F944</f>
        <v>-1.8540692958399321E-3</v>
      </c>
    </row>
    <row r="946" spans="1:10" ht="15.75" thickBot="1" x14ac:dyDescent="0.3">
      <c r="A946" s="14">
        <v>42331</v>
      </c>
      <c r="B946" s="15">
        <v>42331</v>
      </c>
      <c r="C946" s="16">
        <v>554954</v>
      </c>
      <c r="D946" s="10">
        <f>PrincipalesVariables[[#This Row],[Base monetaria]]/1000000</f>
        <v>0.55495399999999995</v>
      </c>
      <c r="E946" s="10">
        <v>9.67</v>
      </c>
      <c r="F946" s="11">
        <v>25812</v>
      </c>
      <c r="H946" s="12">
        <f>(PrincipalesVariables[[#This Row],[Base monetaria]]-C945)/C945</f>
        <v>1.6079183846846781E-2</v>
      </c>
      <c r="I946" s="12">
        <f>(PrincipalesVariables[[#This Row],[Dólar  mayorista]]-E945)/E945</f>
        <v>0</v>
      </c>
      <c r="J946" s="12">
        <f>(PrincipalesVariables[[#This Row],[Reservas internacionales]]-F945)/F945</f>
        <v>-1.1222475910374985E-3</v>
      </c>
    </row>
    <row r="947" spans="1:10" ht="15.75" thickBot="1" x14ac:dyDescent="0.3">
      <c r="A947" s="14">
        <v>42332</v>
      </c>
      <c r="B947" s="15">
        <v>42332</v>
      </c>
      <c r="C947" s="16">
        <v>552876</v>
      </c>
      <c r="D947" s="10">
        <f>PrincipalesVariables[[#This Row],[Base monetaria]]/1000000</f>
        <v>0.55287600000000003</v>
      </c>
      <c r="E947" s="10">
        <v>9.67</v>
      </c>
      <c r="F947" s="11">
        <v>25782</v>
      </c>
      <c r="H947" s="12">
        <f>(PrincipalesVariables[[#This Row],[Base monetaria]]-C946)/C946</f>
        <v>-3.7444544953275406E-3</v>
      </c>
      <c r="I947" s="12">
        <f>(PrincipalesVariables[[#This Row],[Dólar  mayorista]]-E946)/E946</f>
        <v>0</v>
      </c>
      <c r="J947" s="12">
        <f>(PrincipalesVariables[[#This Row],[Reservas internacionales]]-F946)/F946</f>
        <v>-1.1622501162250117E-3</v>
      </c>
    </row>
    <row r="948" spans="1:10" ht="15.75" thickBot="1" x14ac:dyDescent="0.3">
      <c r="A948" s="14">
        <v>42333</v>
      </c>
      <c r="B948" s="15">
        <v>42333</v>
      </c>
      <c r="C948" s="16">
        <v>549976</v>
      </c>
      <c r="D948" s="10">
        <f>PrincipalesVariables[[#This Row],[Base monetaria]]/1000000</f>
        <v>0.54997600000000002</v>
      </c>
      <c r="E948" s="10">
        <v>9.68</v>
      </c>
      <c r="F948" s="11">
        <v>25768</v>
      </c>
      <c r="H948" s="12">
        <f>(PrincipalesVariables[[#This Row],[Base monetaria]]-C947)/C947</f>
        <v>-5.2452991267481312E-3</v>
      </c>
      <c r="I948" s="12">
        <f>(PrincipalesVariables[[#This Row],[Dólar  mayorista]]-E947)/E947</f>
        <v>1.0341261633919118E-3</v>
      </c>
      <c r="J948" s="12">
        <f>(PrincipalesVariables[[#This Row],[Reservas internacionales]]-F947)/F947</f>
        <v>-5.4301450624466682E-4</v>
      </c>
    </row>
    <row r="949" spans="1:10" ht="15.75" thickBot="1" x14ac:dyDescent="0.3">
      <c r="A949" s="14">
        <v>42334</v>
      </c>
      <c r="B949" s="15">
        <v>42334</v>
      </c>
      <c r="C949" s="16">
        <v>558481</v>
      </c>
      <c r="D949" s="10">
        <f>PrincipalesVariables[[#This Row],[Base monetaria]]/1000000</f>
        <v>0.55848100000000001</v>
      </c>
      <c r="E949" s="10">
        <v>9.68</v>
      </c>
      <c r="F949" s="11">
        <v>25761</v>
      </c>
      <c r="H949" s="12">
        <f>(PrincipalesVariables[[#This Row],[Base monetaria]]-C948)/C948</f>
        <v>1.5464311169941961E-2</v>
      </c>
      <c r="I949" s="12">
        <f>(PrincipalesVariables[[#This Row],[Dólar  mayorista]]-E948)/E948</f>
        <v>0</v>
      </c>
      <c r="J949" s="12">
        <f>(PrincipalesVariables[[#This Row],[Reservas internacionales]]-F948)/F948</f>
        <v>-2.716547656007451E-4</v>
      </c>
    </row>
    <row r="950" spans="1:10" ht="15.75" thickBot="1" x14ac:dyDescent="0.3">
      <c r="A950" s="14">
        <v>42338</v>
      </c>
      <c r="B950" s="15">
        <v>42338</v>
      </c>
      <c r="C950" s="16">
        <v>536761</v>
      </c>
      <c r="D950" s="10">
        <f>PrincipalesVariables[[#This Row],[Base monetaria]]/1000000</f>
        <v>0.53676100000000004</v>
      </c>
      <c r="E950" s="10">
        <v>9.69</v>
      </c>
      <c r="F950" s="11">
        <v>25615</v>
      </c>
      <c r="H950" s="12">
        <f>(PrincipalesVariables[[#This Row],[Base monetaria]]-C949)/C949</f>
        <v>-3.8891206683844215E-2</v>
      </c>
      <c r="I950" s="12">
        <f>(PrincipalesVariables[[#This Row],[Dólar  mayorista]]-E949)/E949</f>
        <v>1.0330578512396473E-3</v>
      </c>
      <c r="J950" s="12">
        <f>(PrincipalesVariables[[#This Row],[Reservas internacionales]]-F949)/F949</f>
        <v>-5.6674818524125618E-3</v>
      </c>
    </row>
    <row r="951" spans="1:10" ht="15.75" thickBot="1" x14ac:dyDescent="0.3">
      <c r="A951" s="14">
        <v>42339</v>
      </c>
      <c r="B951" s="15">
        <v>42339</v>
      </c>
      <c r="C951" s="16">
        <v>611051</v>
      </c>
      <c r="D951" s="10">
        <f>PrincipalesVariables[[#This Row],[Base monetaria]]/1000000</f>
        <v>0.61105100000000001</v>
      </c>
      <c r="E951" s="10">
        <v>9.6999999999999993</v>
      </c>
      <c r="F951" s="11">
        <v>25410</v>
      </c>
      <c r="H951" s="12">
        <f>(PrincipalesVariables[[#This Row],[Base monetaria]]-C950)/C950</f>
        <v>0.13840424322929573</v>
      </c>
      <c r="I951" s="12">
        <f>(PrincipalesVariables[[#This Row],[Dólar  mayorista]]-E950)/E950</f>
        <v>1.0319917440660255E-3</v>
      </c>
      <c r="J951" s="12">
        <f>(PrincipalesVariables[[#This Row],[Reservas internacionales]]-F950)/F950</f>
        <v>-8.0031231700175686E-3</v>
      </c>
    </row>
    <row r="952" spans="1:10" ht="15.75" thickBot="1" x14ac:dyDescent="0.3">
      <c r="A952" s="14">
        <v>42340</v>
      </c>
      <c r="B952" s="15">
        <v>42340</v>
      </c>
      <c r="C952" s="16">
        <v>610863</v>
      </c>
      <c r="D952" s="10">
        <f>PrincipalesVariables[[#This Row],[Base monetaria]]/1000000</f>
        <v>0.61086300000000004</v>
      </c>
      <c r="E952" s="10">
        <v>9.7100000000000009</v>
      </c>
      <c r="F952" s="11">
        <v>25184</v>
      </c>
      <c r="H952" s="12">
        <f>(PrincipalesVariables[[#This Row],[Base monetaria]]-C951)/C951</f>
        <v>-3.0766662684456779E-4</v>
      </c>
      <c r="I952" s="12">
        <f>(PrincipalesVariables[[#This Row],[Dólar  mayorista]]-E951)/E951</f>
        <v>1.0309278350517075E-3</v>
      </c>
      <c r="J952" s="12">
        <f>(PrincipalesVariables[[#This Row],[Reservas internacionales]]-F951)/F951</f>
        <v>-8.8941361668634401E-3</v>
      </c>
    </row>
    <row r="953" spans="1:10" ht="15.75" thickBot="1" x14ac:dyDescent="0.3">
      <c r="A953" s="14">
        <v>42341</v>
      </c>
      <c r="B953" s="15">
        <v>42341</v>
      </c>
      <c r="C953" s="16">
        <v>618454</v>
      </c>
      <c r="D953" s="10">
        <f>PrincipalesVariables[[#This Row],[Base monetaria]]/1000000</f>
        <v>0.61845399999999995</v>
      </c>
      <c r="E953" s="10">
        <v>9.7200000000000006</v>
      </c>
      <c r="F953" s="11">
        <v>25046</v>
      </c>
      <c r="H953" s="12">
        <f>(PrincipalesVariables[[#This Row],[Base monetaria]]-C952)/C952</f>
        <v>1.2426681596364487E-2</v>
      </c>
      <c r="I953" s="12">
        <f>(PrincipalesVariables[[#This Row],[Dólar  mayorista]]-E952)/E952</f>
        <v>1.0298661174047154E-3</v>
      </c>
      <c r="J953" s="12">
        <f>(PrincipalesVariables[[#This Row],[Reservas internacionales]]-F952)/F952</f>
        <v>-5.4796696315120713E-3</v>
      </c>
    </row>
    <row r="954" spans="1:10" ht="15.75" thickBot="1" x14ac:dyDescent="0.3">
      <c r="A954" s="14">
        <v>42342</v>
      </c>
      <c r="B954" s="15">
        <v>42342</v>
      </c>
      <c r="C954" s="16">
        <v>612316</v>
      </c>
      <c r="D954" s="10">
        <f>PrincipalesVariables[[#This Row],[Base monetaria]]/1000000</f>
        <v>0.61231599999999997</v>
      </c>
      <c r="E954" s="10">
        <v>9.73</v>
      </c>
      <c r="F954" s="11">
        <v>25030</v>
      </c>
      <c r="H954" s="12">
        <f>(PrincipalesVariables[[#This Row],[Base monetaria]]-C953)/C953</f>
        <v>-9.9247478389661963E-3</v>
      </c>
      <c r="I954" s="12">
        <f>(PrincipalesVariables[[#This Row],[Dólar  mayorista]]-E953)/E953</f>
        <v>1.0288065843621179E-3</v>
      </c>
      <c r="J954" s="12">
        <f>(PrincipalesVariables[[#This Row],[Reservas internacionales]]-F953)/F953</f>
        <v>-6.3882456280443985E-4</v>
      </c>
    </row>
    <row r="955" spans="1:10" ht="15.75" thickBot="1" x14ac:dyDescent="0.3">
      <c r="A955" s="14">
        <v>42347</v>
      </c>
      <c r="B955" s="15">
        <v>42347</v>
      </c>
      <c r="C955" s="16">
        <v>629249</v>
      </c>
      <c r="D955" s="10">
        <f>PrincipalesVariables[[#This Row],[Base monetaria]]/1000000</f>
        <v>0.62924899999999995</v>
      </c>
      <c r="E955" s="10">
        <v>9.74</v>
      </c>
      <c r="F955" s="11">
        <v>25092</v>
      </c>
      <c r="H955" s="12">
        <f>(PrincipalesVariables[[#This Row],[Base monetaria]]-C954)/C954</f>
        <v>2.7654021779603997E-2</v>
      </c>
      <c r="I955" s="12">
        <f>(PrincipalesVariables[[#This Row],[Dólar  mayorista]]-E954)/E954</f>
        <v>1.0277492291880562E-3</v>
      </c>
      <c r="J955" s="12">
        <f>(PrincipalesVariables[[#This Row],[Reservas internacionales]]-F954)/F954</f>
        <v>2.4770275669196962E-3</v>
      </c>
    </row>
    <row r="956" spans="1:10" ht="15.75" thickBot="1" x14ac:dyDescent="0.3">
      <c r="A956" s="14">
        <v>42348</v>
      </c>
      <c r="B956" s="15">
        <v>42348</v>
      </c>
      <c r="C956" s="16">
        <v>621978</v>
      </c>
      <c r="D956" s="10">
        <f>PrincipalesVariables[[#This Row],[Base monetaria]]/1000000</f>
        <v>0.62197800000000003</v>
      </c>
      <c r="E956" s="10">
        <v>9.75</v>
      </c>
      <c r="F956" s="11">
        <v>24862</v>
      </c>
      <c r="H956" s="12">
        <f>(PrincipalesVariables[[#This Row],[Base monetaria]]-C955)/C955</f>
        <v>-1.1555044187595055E-2</v>
      </c>
      <c r="I956" s="12">
        <f>(PrincipalesVariables[[#This Row],[Dólar  mayorista]]-E955)/E955</f>
        <v>1.0266940451745161E-3</v>
      </c>
      <c r="J956" s="12">
        <f>(PrincipalesVariables[[#This Row],[Reservas internacionales]]-F955)/F955</f>
        <v>-9.1662681332695672E-3</v>
      </c>
    </row>
    <row r="957" spans="1:10" ht="15.75" thickBot="1" x14ac:dyDescent="0.3">
      <c r="A957" s="14">
        <v>42349</v>
      </c>
      <c r="B957" s="15">
        <v>42349</v>
      </c>
      <c r="C957" s="16">
        <v>617257</v>
      </c>
      <c r="D957" s="10">
        <f>PrincipalesVariables[[#This Row],[Base monetaria]]/1000000</f>
        <v>0.61725699999999994</v>
      </c>
      <c r="E957" s="10">
        <v>9.77</v>
      </c>
      <c r="F957" s="11">
        <v>24661</v>
      </c>
      <c r="H957" s="12">
        <f>(PrincipalesVariables[[#This Row],[Base monetaria]]-C956)/C956</f>
        <v>-7.5903006215653933E-3</v>
      </c>
      <c r="I957" s="12">
        <f>(PrincipalesVariables[[#This Row],[Dólar  mayorista]]-E956)/E956</f>
        <v>2.0512820512820075E-3</v>
      </c>
      <c r="J957" s="12">
        <f>(PrincipalesVariables[[#This Row],[Reservas internacionales]]-F956)/F956</f>
        <v>-8.084627141822863E-3</v>
      </c>
    </row>
    <row r="958" spans="1:10" ht="15.75" thickBot="1" x14ac:dyDescent="0.3">
      <c r="A958" s="14">
        <v>42352</v>
      </c>
      <c r="B958" s="15">
        <v>42352</v>
      </c>
      <c r="C958" s="16">
        <v>616654</v>
      </c>
      <c r="D958" s="10">
        <f>PrincipalesVariables[[#This Row],[Base monetaria]]/1000000</f>
        <v>0.61665400000000004</v>
      </c>
      <c r="E958" s="10">
        <v>9.7899999999999991</v>
      </c>
      <c r="F958" s="11">
        <v>24473</v>
      </c>
      <c r="H958" s="12">
        <f>(PrincipalesVariables[[#This Row],[Base monetaria]]-C957)/C957</f>
        <v>-9.7690265156976752E-4</v>
      </c>
      <c r="I958" s="12">
        <f>(PrincipalesVariables[[#This Row],[Dólar  mayorista]]-E957)/E957</f>
        <v>2.047082906857684E-3</v>
      </c>
      <c r="J958" s="12">
        <f>(PrincipalesVariables[[#This Row],[Reservas internacionales]]-F957)/F957</f>
        <v>-7.6233729370260737E-3</v>
      </c>
    </row>
    <row r="959" spans="1:10" ht="15.75" thickBot="1" x14ac:dyDescent="0.3">
      <c r="A959" s="14">
        <v>42353</v>
      </c>
      <c r="B959" s="15">
        <v>42353</v>
      </c>
      <c r="C959" s="16">
        <v>612401</v>
      </c>
      <c r="D959" s="10">
        <f>PrincipalesVariables[[#This Row],[Base monetaria]]/1000000</f>
        <v>0.61240099999999997</v>
      </c>
      <c r="E959" s="10">
        <v>9.81</v>
      </c>
      <c r="F959" s="11">
        <v>24290</v>
      </c>
      <c r="H959" s="12">
        <f>(PrincipalesVariables[[#This Row],[Base monetaria]]-C958)/C958</f>
        <v>-6.8968984227784141E-3</v>
      </c>
      <c r="I959" s="12">
        <f>(PrincipalesVariables[[#This Row],[Dólar  mayorista]]-E958)/E958</f>
        <v>2.0429009193055517E-3</v>
      </c>
      <c r="J959" s="12">
        <f>(PrincipalesVariables[[#This Row],[Reservas internacionales]]-F958)/F958</f>
        <v>-7.4776284068156741E-3</v>
      </c>
    </row>
    <row r="960" spans="1:10" ht="15.75" thickBot="1" x14ac:dyDescent="0.3">
      <c r="A960" s="14">
        <v>42354</v>
      </c>
      <c r="B960" s="15">
        <v>42354</v>
      </c>
      <c r="C960" s="16">
        <v>605974</v>
      </c>
      <c r="D960" s="10">
        <f>PrincipalesVariables[[#This Row],[Base monetaria]]/1000000</f>
        <v>0.60597400000000001</v>
      </c>
      <c r="E960" s="10">
        <v>9.83</v>
      </c>
      <c r="F960" s="11">
        <v>24164</v>
      </c>
      <c r="H960" s="12">
        <f>(PrincipalesVariables[[#This Row],[Base monetaria]]-C959)/C959</f>
        <v>-1.0494757519990986E-2</v>
      </c>
      <c r="I960" s="12">
        <f>(PrincipalesVariables[[#This Row],[Dólar  mayorista]]-E959)/E959</f>
        <v>2.0387359836900685E-3</v>
      </c>
      <c r="J960" s="12">
        <f>(PrincipalesVariables[[#This Row],[Reservas internacionales]]-F959)/F959</f>
        <v>-5.1873198847262247E-3</v>
      </c>
    </row>
    <row r="961" spans="1:10" ht="15.75" thickBot="1" x14ac:dyDescent="0.3">
      <c r="A961" s="14">
        <v>42355</v>
      </c>
      <c r="B961" s="15">
        <v>42355</v>
      </c>
      <c r="C961" s="16">
        <v>630771</v>
      </c>
      <c r="D961" s="10">
        <f>PrincipalesVariables[[#This Row],[Base monetaria]]/1000000</f>
        <v>0.63077099999999997</v>
      </c>
      <c r="E961" s="10">
        <v>13.76</v>
      </c>
      <c r="F961" s="11">
        <v>24141</v>
      </c>
      <c r="H961" s="12">
        <f>(PrincipalesVariables[[#This Row],[Base monetaria]]-C960)/C960</f>
        <v>4.0920897596266506E-2</v>
      </c>
      <c r="I961" s="12">
        <f>(PrincipalesVariables[[#This Row],[Dólar  mayorista]]-E960)/E960</f>
        <v>0.39979654120040686</v>
      </c>
      <c r="J961" s="12">
        <f>(PrincipalesVariables[[#This Row],[Reservas internacionales]]-F960)/F960</f>
        <v>-9.518291673563979E-4</v>
      </c>
    </row>
    <row r="962" spans="1:10" ht="15.75" thickBot="1" x14ac:dyDescent="0.3">
      <c r="A962" s="14">
        <v>42356</v>
      </c>
      <c r="B962" s="15">
        <v>42356</v>
      </c>
      <c r="C962" s="16">
        <v>629444</v>
      </c>
      <c r="D962" s="10">
        <f>PrincipalesVariables[[#This Row],[Base monetaria]]/1000000</f>
        <v>0.629444</v>
      </c>
      <c r="E962" s="10">
        <v>13.42</v>
      </c>
      <c r="F962" s="11">
        <v>24396</v>
      </c>
      <c r="H962" s="12">
        <f>(PrincipalesVariables[[#This Row],[Base monetaria]]-C961)/C961</f>
        <v>-2.1037745869737193E-3</v>
      </c>
      <c r="I962" s="12">
        <f>(PrincipalesVariables[[#This Row],[Dólar  mayorista]]-E961)/E961</f>
        <v>-2.4709302325581384E-2</v>
      </c>
      <c r="J962" s="12">
        <f>(PrincipalesVariables[[#This Row],[Reservas internacionales]]-F961)/F961</f>
        <v>1.056294271156953E-2</v>
      </c>
    </row>
    <row r="963" spans="1:10" ht="15.75" thickBot="1" x14ac:dyDescent="0.3">
      <c r="A963" s="14">
        <v>42359</v>
      </c>
      <c r="B963" s="15">
        <v>42359</v>
      </c>
      <c r="C963" s="16">
        <v>638629</v>
      </c>
      <c r="D963" s="10">
        <f>PrincipalesVariables[[#This Row],[Base monetaria]]/1000000</f>
        <v>0.638629</v>
      </c>
      <c r="E963" s="10">
        <v>12.81</v>
      </c>
      <c r="F963" s="11">
        <v>24417</v>
      </c>
      <c r="H963" s="12">
        <f>(PrincipalesVariables[[#This Row],[Base monetaria]]-C962)/C962</f>
        <v>1.4592243313146205E-2</v>
      </c>
      <c r="I963" s="12">
        <f>(PrincipalesVariables[[#This Row],[Dólar  mayorista]]-E962)/E962</f>
        <v>-4.5454545454545414E-2</v>
      </c>
      <c r="J963" s="12">
        <f>(PrincipalesVariables[[#This Row],[Reservas internacionales]]-F962)/F962</f>
        <v>8.6079685194294148E-4</v>
      </c>
    </row>
    <row r="964" spans="1:10" ht="15.75" thickBot="1" x14ac:dyDescent="0.3">
      <c r="A964" s="14">
        <v>42360</v>
      </c>
      <c r="B964" s="15">
        <v>42360</v>
      </c>
      <c r="C964" s="16">
        <v>640006</v>
      </c>
      <c r="D964" s="10">
        <f>PrincipalesVariables[[#This Row],[Base monetaria]]/1000000</f>
        <v>0.64000599999999996</v>
      </c>
      <c r="E964" s="10">
        <v>12.94</v>
      </c>
      <c r="F964" s="11">
        <v>24441</v>
      </c>
      <c r="H964" s="12">
        <f>(PrincipalesVariables[[#This Row],[Base monetaria]]-C963)/C963</f>
        <v>2.1561814449390804E-3</v>
      </c>
      <c r="I964" s="12">
        <f>(PrincipalesVariables[[#This Row],[Dólar  mayorista]]-E963)/E963</f>
        <v>1.0148321623731383E-2</v>
      </c>
      <c r="J964" s="12">
        <f>(PrincipalesVariables[[#This Row],[Reservas internacionales]]-F963)/F963</f>
        <v>9.8292173485686209E-4</v>
      </c>
    </row>
    <row r="965" spans="1:10" ht="15.75" thickBot="1" x14ac:dyDescent="0.3">
      <c r="A965" s="14">
        <v>42361</v>
      </c>
      <c r="B965" s="15">
        <v>42361</v>
      </c>
      <c r="C965" s="16">
        <v>633578</v>
      </c>
      <c r="D965" s="10">
        <f>PrincipalesVariables[[#This Row],[Base monetaria]]/1000000</f>
        <v>0.63357799999999997</v>
      </c>
      <c r="E965" s="10">
        <v>13.04</v>
      </c>
      <c r="F965" s="11">
        <v>24720</v>
      </c>
      <c r="H965" s="12">
        <f>(PrincipalesVariables[[#This Row],[Base monetaria]]-C964)/C964</f>
        <v>-1.0043655840726494E-2</v>
      </c>
      <c r="I965" s="12">
        <f>(PrincipalesVariables[[#This Row],[Dólar  mayorista]]-E964)/E964</f>
        <v>7.7279752704791076E-3</v>
      </c>
      <c r="J965" s="12">
        <f>(PrincipalesVariables[[#This Row],[Reservas internacionales]]-F964)/F964</f>
        <v>1.1415244875414263E-2</v>
      </c>
    </row>
    <row r="966" spans="1:10" ht="15.75" thickBot="1" x14ac:dyDescent="0.3">
      <c r="A966" s="14">
        <v>42362</v>
      </c>
      <c r="B966" s="15">
        <v>42362</v>
      </c>
      <c r="C966" s="16">
        <v>631161</v>
      </c>
      <c r="D966" s="10">
        <f>PrincipalesVariables[[#This Row],[Base monetaria]]/1000000</f>
        <v>0.63116099999999997</v>
      </c>
      <c r="E966" s="10">
        <v>13.05</v>
      </c>
      <c r="F966" s="11">
        <v>24858</v>
      </c>
      <c r="H966" s="12">
        <f>(PrincipalesVariables[[#This Row],[Base monetaria]]-C965)/C965</f>
        <v>-3.8148420557531986E-3</v>
      </c>
      <c r="I966" s="12">
        <f>(PrincipalesVariables[[#This Row],[Dólar  mayorista]]-E965)/E965</f>
        <v>7.6687116564429171E-4</v>
      </c>
      <c r="J966" s="12">
        <f>(PrincipalesVariables[[#This Row],[Reservas internacionales]]-F965)/F965</f>
        <v>5.5825242718446598E-3</v>
      </c>
    </row>
    <row r="967" spans="1:10" ht="15.75" thickBot="1" x14ac:dyDescent="0.3">
      <c r="A967" s="14">
        <v>42366</v>
      </c>
      <c r="B967" s="15">
        <v>42366</v>
      </c>
      <c r="C967" s="16">
        <v>629210</v>
      </c>
      <c r="D967" s="10">
        <f>PrincipalesVariables[[#This Row],[Base monetaria]]/1000000</f>
        <v>0.62921000000000005</v>
      </c>
      <c r="E967" s="10">
        <v>13.06</v>
      </c>
      <c r="F967" s="11">
        <v>25077</v>
      </c>
      <c r="H967" s="12">
        <f>(PrincipalesVariables[[#This Row],[Base monetaria]]-C966)/C966</f>
        <v>-3.0911288878748846E-3</v>
      </c>
      <c r="I967" s="12">
        <f>(PrincipalesVariables[[#This Row],[Dólar  mayorista]]-E966)/E966</f>
        <v>7.6628352490419821E-4</v>
      </c>
      <c r="J967" s="12">
        <f>(PrincipalesVariables[[#This Row],[Reservas internacionales]]-F966)/F966</f>
        <v>8.8100410330678256E-3</v>
      </c>
    </row>
    <row r="968" spans="1:10" ht="15.75" thickBot="1" x14ac:dyDescent="0.3">
      <c r="A968" s="14">
        <v>42367</v>
      </c>
      <c r="B968" s="15">
        <v>42367</v>
      </c>
      <c r="C968" s="16">
        <v>632065</v>
      </c>
      <c r="D968" s="10">
        <f>PrincipalesVariables[[#This Row],[Base monetaria]]/1000000</f>
        <v>0.63206499999999999</v>
      </c>
      <c r="E968" s="10">
        <v>12.97</v>
      </c>
      <c r="F968" s="11">
        <v>25267</v>
      </c>
      <c r="H968" s="12">
        <f>(PrincipalesVariables[[#This Row],[Base monetaria]]-C967)/C967</f>
        <v>4.537435832234071E-3</v>
      </c>
      <c r="I968" s="12">
        <f>(PrincipalesVariables[[#This Row],[Dólar  mayorista]]-E967)/E967</f>
        <v>-6.8912710566615505E-3</v>
      </c>
      <c r="J968" s="12">
        <f>(PrincipalesVariables[[#This Row],[Reservas internacionales]]-F967)/F967</f>
        <v>7.5766638752641866E-3</v>
      </c>
    </row>
    <row r="969" spans="1:10" ht="15.75" thickBot="1" x14ac:dyDescent="0.3">
      <c r="A969" s="14">
        <v>42368</v>
      </c>
      <c r="B969" s="15">
        <v>42368</v>
      </c>
      <c r="C969" s="16">
        <v>609041</v>
      </c>
      <c r="D969" s="10">
        <f>PrincipalesVariables[[#This Row],[Base monetaria]]/1000000</f>
        <v>0.60904100000000005</v>
      </c>
      <c r="E969" s="10">
        <v>12.98</v>
      </c>
      <c r="F969" s="11">
        <v>25385</v>
      </c>
      <c r="H969" s="12">
        <f>(PrincipalesVariables[[#This Row],[Base monetaria]]-C968)/C968</f>
        <v>-3.6426633336761251E-2</v>
      </c>
      <c r="I969" s="12">
        <f>(PrincipalesVariables[[#This Row],[Dólar  mayorista]]-E968)/E968</f>
        <v>7.7101002313028418E-4</v>
      </c>
      <c r="J969" s="12">
        <f>(PrincipalesVariables[[#This Row],[Reservas internacionales]]-F968)/F968</f>
        <v>4.6701230854474217E-3</v>
      </c>
    </row>
    <row r="970" spans="1:10" ht="15.75" thickBot="1" x14ac:dyDescent="0.3">
      <c r="A970" s="14">
        <v>42369</v>
      </c>
      <c r="B970" s="15">
        <v>42369</v>
      </c>
      <c r="C970" s="16">
        <v>623890</v>
      </c>
      <c r="D970" s="10">
        <f>PrincipalesVariables[[#This Row],[Base monetaria]]/1000000</f>
        <v>0.62388999999999994</v>
      </c>
      <c r="E970" s="10">
        <v>13.01</v>
      </c>
      <c r="F970" s="11">
        <v>25563</v>
      </c>
      <c r="H970" s="12">
        <f>(PrincipalesVariables[[#This Row],[Base monetaria]]-C969)/C969</f>
        <v>2.4380953006447843E-2</v>
      </c>
      <c r="I970" s="12">
        <f>(PrincipalesVariables[[#This Row],[Dólar  mayorista]]-E969)/E969</f>
        <v>2.3112480739598891E-3</v>
      </c>
      <c r="J970" s="12">
        <f>(PrincipalesVariables[[#This Row],[Reservas internacionales]]-F969)/F969</f>
        <v>7.01201496947016E-3</v>
      </c>
    </row>
    <row r="971" spans="1:10" ht="15.75" thickBot="1" x14ac:dyDescent="0.3">
      <c r="A971" s="14">
        <v>42373</v>
      </c>
      <c r="B971" s="15">
        <v>42373</v>
      </c>
      <c r="C971" s="16">
        <v>620295</v>
      </c>
      <c r="D971" s="10">
        <f>PrincipalesVariables[[#This Row],[Base monetaria]]/1000000</f>
        <v>0.62029500000000004</v>
      </c>
      <c r="E971" s="10">
        <v>13.07</v>
      </c>
      <c r="F971" s="11">
        <v>25515</v>
      </c>
      <c r="H971" s="12">
        <f>(PrincipalesVariables[[#This Row],[Base monetaria]]-C970)/C970</f>
        <v>-5.7622337270993281E-3</v>
      </c>
      <c r="I971" s="12">
        <f>(PrincipalesVariables[[#This Row],[Dólar  mayorista]]-E970)/E970</f>
        <v>4.6118370484243276E-3</v>
      </c>
      <c r="J971" s="12">
        <f>(PrincipalesVariables[[#This Row],[Reservas internacionales]]-F970)/F970</f>
        <v>-1.8777138833470249E-3</v>
      </c>
    </row>
    <row r="972" spans="1:10" ht="15.75" thickBot="1" x14ac:dyDescent="0.3">
      <c r="A972" s="14">
        <v>42374</v>
      </c>
      <c r="B972" s="15">
        <v>42374</v>
      </c>
      <c r="C972" s="16">
        <v>622070</v>
      </c>
      <c r="D972" s="10">
        <f>PrincipalesVariables[[#This Row],[Base monetaria]]/1000000</f>
        <v>0.62207000000000001</v>
      </c>
      <c r="E972" s="10">
        <v>13.46</v>
      </c>
      <c r="F972" s="11">
        <v>25512</v>
      </c>
      <c r="H972" s="12">
        <f>(PrincipalesVariables[[#This Row],[Base monetaria]]-C971)/C971</f>
        <v>2.8615416858107836E-3</v>
      </c>
      <c r="I972" s="12">
        <f>(PrincipalesVariables[[#This Row],[Dólar  mayorista]]-E971)/E971</f>
        <v>2.9839326702371886E-2</v>
      </c>
      <c r="J972" s="12">
        <f>(PrincipalesVariables[[#This Row],[Reservas internacionales]]-F971)/F971</f>
        <v>-1.1757789535567314E-4</v>
      </c>
    </row>
    <row r="973" spans="1:10" ht="15.75" thickBot="1" x14ac:dyDescent="0.3">
      <c r="A973" s="14">
        <v>42375</v>
      </c>
      <c r="B973" s="15">
        <v>42375</v>
      </c>
      <c r="C973" s="16">
        <v>604698</v>
      </c>
      <c r="D973" s="10">
        <f>PrincipalesVariables[[#This Row],[Base monetaria]]/1000000</f>
        <v>0.60469799999999996</v>
      </c>
      <c r="E973" s="10">
        <v>13.84</v>
      </c>
      <c r="F973" s="11">
        <v>25668</v>
      </c>
      <c r="H973" s="12">
        <f>(PrincipalesVariables[[#This Row],[Base monetaria]]-C972)/C972</f>
        <v>-2.7926117639493948E-2</v>
      </c>
      <c r="I973" s="12">
        <f>(PrincipalesVariables[[#This Row],[Dólar  mayorista]]-E972)/E972</f>
        <v>2.8231797919762183E-2</v>
      </c>
      <c r="J973" s="12">
        <f>(PrincipalesVariables[[#This Row],[Reservas internacionales]]-F972)/F972</f>
        <v>6.1147695202257765E-3</v>
      </c>
    </row>
    <row r="974" spans="1:10" ht="15.75" thickBot="1" x14ac:dyDescent="0.3">
      <c r="A974" s="14">
        <v>42376</v>
      </c>
      <c r="B974" s="15">
        <v>42376</v>
      </c>
      <c r="C974" s="16">
        <v>606740</v>
      </c>
      <c r="D974" s="10">
        <f>PrincipalesVariables[[#This Row],[Base monetaria]]/1000000</f>
        <v>0.60673999999999995</v>
      </c>
      <c r="E974" s="10">
        <v>13.94</v>
      </c>
      <c r="F974" s="11">
        <v>25671</v>
      </c>
      <c r="H974" s="12">
        <f>(PrincipalesVariables[[#This Row],[Base monetaria]]-C973)/C973</f>
        <v>3.3768922668836344E-3</v>
      </c>
      <c r="I974" s="12">
        <f>(PrincipalesVariables[[#This Row],[Dólar  mayorista]]-E973)/E973</f>
        <v>7.2254335260115354E-3</v>
      </c>
      <c r="J974" s="12">
        <f>(PrincipalesVariables[[#This Row],[Reservas internacionales]]-F973)/F973</f>
        <v>1.168770453482936E-4</v>
      </c>
    </row>
    <row r="975" spans="1:10" ht="15.75" thickBot="1" x14ac:dyDescent="0.3">
      <c r="A975" s="14">
        <v>42377</v>
      </c>
      <c r="B975" s="15">
        <v>42377</v>
      </c>
      <c r="C975" s="16">
        <v>612384</v>
      </c>
      <c r="D975" s="10">
        <f>PrincipalesVariables[[#This Row],[Base monetaria]]/1000000</f>
        <v>0.61238400000000004</v>
      </c>
      <c r="E975" s="10">
        <v>13.87</v>
      </c>
      <c r="F975" s="11">
        <v>25559</v>
      </c>
      <c r="H975" s="12">
        <f>(PrincipalesVariables[[#This Row],[Base monetaria]]-C974)/C974</f>
        <v>9.3021722648910579E-3</v>
      </c>
      <c r="I975" s="12">
        <f>(PrincipalesVariables[[#This Row],[Dólar  mayorista]]-E974)/E974</f>
        <v>-5.021520803443349E-3</v>
      </c>
      <c r="J975" s="12">
        <f>(PrincipalesVariables[[#This Row],[Reservas internacionales]]-F974)/F974</f>
        <v>-4.3628997701686727E-3</v>
      </c>
    </row>
    <row r="976" spans="1:10" ht="15.75" thickBot="1" x14ac:dyDescent="0.3">
      <c r="A976" s="14">
        <v>42380</v>
      </c>
      <c r="B976" s="15">
        <v>42380</v>
      </c>
      <c r="C976" s="16">
        <v>620606</v>
      </c>
      <c r="D976" s="10">
        <f>PrincipalesVariables[[#This Row],[Base monetaria]]/1000000</f>
        <v>0.62060599999999999</v>
      </c>
      <c r="E976" s="10">
        <v>13.87</v>
      </c>
      <c r="F976" s="11">
        <v>25710</v>
      </c>
      <c r="H976" s="12">
        <f>(PrincipalesVariables[[#This Row],[Base monetaria]]-C975)/C975</f>
        <v>1.3426216230339134E-2</v>
      </c>
      <c r="I976" s="12">
        <f>(PrincipalesVariables[[#This Row],[Dólar  mayorista]]-E975)/E975</f>
        <v>0</v>
      </c>
      <c r="J976" s="12">
        <f>(PrincipalesVariables[[#This Row],[Reservas internacionales]]-F975)/F975</f>
        <v>5.9078993700849014E-3</v>
      </c>
    </row>
    <row r="977" spans="1:10" ht="15.75" thickBot="1" x14ac:dyDescent="0.3">
      <c r="A977" s="14">
        <v>42381</v>
      </c>
      <c r="B977" s="15">
        <v>42381</v>
      </c>
      <c r="C977" s="16">
        <v>620175</v>
      </c>
      <c r="D977" s="10">
        <f>PrincipalesVariables[[#This Row],[Base monetaria]]/1000000</f>
        <v>0.62017500000000003</v>
      </c>
      <c r="E977" s="10">
        <v>13.58</v>
      </c>
      <c r="F977" s="11">
        <v>25610</v>
      </c>
      <c r="H977" s="12">
        <f>(PrincipalesVariables[[#This Row],[Base monetaria]]-C976)/C976</f>
        <v>-6.9448248969555565E-4</v>
      </c>
      <c r="I977" s="12">
        <f>(PrincipalesVariables[[#This Row],[Dólar  mayorista]]-E976)/E976</f>
        <v>-2.0908435472242189E-2</v>
      </c>
      <c r="J977" s="12">
        <f>(PrincipalesVariables[[#This Row],[Reservas internacionales]]-F976)/F976</f>
        <v>-3.8895371450797353E-3</v>
      </c>
    </row>
    <row r="978" spans="1:10" ht="15.75" thickBot="1" x14ac:dyDescent="0.3">
      <c r="A978" s="14">
        <v>42382</v>
      </c>
      <c r="B978" s="15">
        <v>42382</v>
      </c>
      <c r="C978" s="16">
        <v>602523</v>
      </c>
      <c r="D978" s="10">
        <f>PrincipalesVariables[[#This Row],[Base monetaria]]/1000000</f>
        <v>0.60252300000000003</v>
      </c>
      <c r="E978" s="10">
        <v>13.56</v>
      </c>
      <c r="F978" s="11">
        <v>25591</v>
      </c>
      <c r="H978" s="12">
        <f>(PrincipalesVariables[[#This Row],[Base monetaria]]-C977)/C977</f>
        <v>-2.8462933849316724E-2</v>
      </c>
      <c r="I978" s="12">
        <f>(PrincipalesVariables[[#This Row],[Dólar  mayorista]]-E977)/E977</f>
        <v>-1.4727540500736062E-3</v>
      </c>
      <c r="J978" s="12">
        <f>(PrincipalesVariables[[#This Row],[Reservas internacionales]]-F977)/F977</f>
        <v>-7.4189769621241708E-4</v>
      </c>
    </row>
    <row r="979" spans="1:10" ht="15.75" thickBot="1" x14ac:dyDescent="0.3">
      <c r="A979" s="14">
        <v>42383</v>
      </c>
      <c r="B979" s="15">
        <v>42383</v>
      </c>
      <c r="C979" s="16">
        <v>602908</v>
      </c>
      <c r="D979" s="10">
        <f>PrincipalesVariables[[#This Row],[Base monetaria]]/1000000</f>
        <v>0.602908</v>
      </c>
      <c r="E979" s="10">
        <v>13.46</v>
      </c>
      <c r="F979" s="11">
        <v>25543</v>
      </c>
      <c r="H979" s="12">
        <f>(PrincipalesVariables[[#This Row],[Base monetaria]]-C978)/C978</f>
        <v>6.3897975678936742E-4</v>
      </c>
      <c r="I979" s="12">
        <f>(PrincipalesVariables[[#This Row],[Dólar  mayorista]]-E978)/E978</f>
        <v>-7.374631268436552E-3</v>
      </c>
      <c r="J979" s="12">
        <f>(PrincipalesVariables[[#This Row],[Reservas internacionales]]-F978)/F978</f>
        <v>-1.8756594115118595E-3</v>
      </c>
    </row>
    <row r="980" spans="1:10" ht="15.75" thickBot="1" x14ac:dyDescent="0.3">
      <c r="A980" s="14">
        <v>42384</v>
      </c>
      <c r="B980" s="15">
        <v>42384</v>
      </c>
      <c r="C980" s="16">
        <v>600995</v>
      </c>
      <c r="D980" s="10">
        <f>PrincipalesVariables[[#This Row],[Base monetaria]]/1000000</f>
        <v>0.60099499999999995</v>
      </c>
      <c r="E980" s="10">
        <v>13.44</v>
      </c>
      <c r="F980" s="11">
        <v>25645</v>
      </c>
      <c r="H980" s="12">
        <f>(PrincipalesVariables[[#This Row],[Base monetaria]]-C979)/C979</f>
        <v>-3.1729550777233012E-3</v>
      </c>
      <c r="I980" s="12">
        <f>(PrincipalesVariables[[#This Row],[Dólar  mayorista]]-E979)/E979</f>
        <v>-1.485884101040219E-3</v>
      </c>
      <c r="J980" s="12">
        <f>(PrincipalesVariables[[#This Row],[Reservas internacionales]]-F979)/F979</f>
        <v>3.9932662569001293E-3</v>
      </c>
    </row>
    <row r="981" spans="1:10" ht="15.75" thickBot="1" x14ac:dyDescent="0.3">
      <c r="A981" s="14">
        <v>42387</v>
      </c>
      <c r="B981" s="15">
        <v>42387</v>
      </c>
      <c r="C981" s="16">
        <v>589318</v>
      </c>
      <c r="D981" s="10">
        <f>PrincipalesVariables[[#This Row],[Base monetaria]]/1000000</f>
        <v>0.58931800000000001</v>
      </c>
      <c r="E981" s="10">
        <v>13.51</v>
      </c>
      <c r="F981" s="11">
        <v>25665</v>
      </c>
      <c r="H981" s="12">
        <f>(PrincipalesVariables[[#This Row],[Base monetaria]]-C980)/C980</f>
        <v>-1.942944616843734E-2</v>
      </c>
      <c r="I981" s="12">
        <f>(PrincipalesVariables[[#This Row],[Dólar  mayorista]]-E980)/E980</f>
        <v>5.2083333333333547E-3</v>
      </c>
      <c r="J981" s="12">
        <f>(PrincipalesVariables[[#This Row],[Reservas internacionales]]-F980)/F980</f>
        <v>7.7987911873659578E-4</v>
      </c>
    </row>
    <row r="982" spans="1:10" ht="15.75" thickBot="1" x14ac:dyDescent="0.3">
      <c r="A982" s="14">
        <v>42388</v>
      </c>
      <c r="B982" s="15">
        <v>42388</v>
      </c>
      <c r="C982" s="16">
        <v>589939</v>
      </c>
      <c r="D982" s="10">
        <f>PrincipalesVariables[[#This Row],[Base monetaria]]/1000000</f>
        <v>0.58993899999999999</v>
      </c>
      <c r="E982" s="10">
        <v>13.49</v>
      </c>
      <c r="F982" s="11">
        <v>25587</v>
      </c>
      <c r="H982" s="12">
        <f>(PrincipalesVariables[[#This Row],[Base monetaria]]-C981)/C981</f>
        <v>1.0537604485184569E-3</v>
      </c>
      <c r="I982" s="12">
        <f>(PrincipalesVariables[[#This Row],[Dólar  mayorista]]-E981)/E981</f>
        <v>-1.4803849000739877E-3</v>
      </c>
      <c r="J982" s="12">
        <f>(PrincipalesVariables[[#This Row],[Reservas internacionales]]-F981)/F981</f>
        <v>-3.0391583869082408E-3</v>
      </c>
    </row>
    <row r="983" spans="1:10" ht="15.75" thickBot="1" x14ac:dyDescent="0.3">
      <c r="A983" s="14">
        <v>42389</v>
      </c>
      <c r="B983" s="15">
        <v>42389</v>
      </c>
      <c r="C983" s="16">
        <v>590418</v>
      </c>
      <c r="D983" s="10">
        <f>PrincipalesVariables[[#This Row],[Base monetaria]]/1000000</f>
        <v>0.590418</v>
      </c>
      <c r="E983" s="10">
        <v>13.45</v>
      </c>
      <c r="F983" s="11">
        <v>25546</v>
      </c>
      <c r="H983" s="12">
        <f>(PrincipalesVariables[[#This Row],[Base monetaria]]-C982)/C982</f>
        <v>8.1194835398236084E-4</v>
      </c>
      <c r="I983" s="12">
        <f>(PrincipalesVariables[[#This Row],[Dólar  mayorista]]-E982)/E982</f>
        <v>-2.9651593773165992E-3</v>
      </c>
      <c r="J983" s="12">
        <f>(PrincipalesVariables[[#This Row],[Reservas internacionales]]-F982)/F982</f>
        <v>-1.6023762066674483E-3</v>
      </c>
    </row>
    <row r="984" spans="1:10" ht="15.75" thickBot="1" x14ac:dyDescent="0.3">
      <c r="A984" s="14">
        <v>42390</v>
      </c>
      <c r="B984" s="15">
        <v>42390</v>
      </c>
      <c r="C984" s="16">
        <v>593241</v>
      </c>
      <c r="D984" s="10">
        <f>PrincipalesVariables[[#This Row],[Base monetaria]]/1000000</f>
        <v>0.59324100000000002</v>
      </c>
      <c r="E984" s="10">
        <v>13.55</v>
      </c>
      <c r="F984" s="11">
        <v>25369</v>
      </c>
      <c r="H984" s="12">
        <f>(PrincipalesVariables[[#This Row],[Base monetaria]]-C983)/C983</f>
        <v>4.7813582919219938E-3</v>
      </c>
      <c r="I984" s="12">
        <f>(PrincipalesVariables[[#This Row],[Dólar  mayorista]]-E983)/E983</f>
        <v>7.434944237918322E-3</v>
      </c>
      <c r="J984" s="12">
        <f>(PrincipalesVariables[[#This Row],[Reservas internacionales]]-F983)/F983</f>
        <v>-6.9286776794801538E-3</v>
      </c>
    </row>
    <row r="985" spans="1:10" ht="15.75" thickBot="1" x14ac:dyDescent="0.3">
      <c r="A985" s="14">
        <v>42391</v>
      </c>
      <c r="B985" s="15">
        <v>42391</v>
      </c>
      <c r="C985" s="16">
        <v>593175</v>
      </c>
      <c r="D985" s="10">
        <f>PrincipalesVariables[[#This Row],[Base monetaria]]/1000000</f>
        <v>0.59317500000000001</v>
      </c>
      <c r="E985" s="10">
        <v>13.72</v>
      </c>
      <c r="F985" s="11">
        <v>25375</v>
      </c>
      <c r="H985" s="12">
        <f>(PrincipalesVariables[[#This Row],[Base monetaria]]-C984)/C984</f>
        <v>-1.1125326806474941E-4</v>
      </c>
      <c r="I985" s="12">
        <f>(PrincipalesVariables[[#This Row],[Dólar  mayorista]]-E984)/E984</f>
        <v>1.2546125461254607E-2</v>
      </c>
      <c r="J985" s="12">
        <f>(PrincipalesVariables[[#This Row],[Reservas internacionales]]-F984)/F984</f>
        <v>2.3650912531041822E-4</v>
      </c>
    </row>
    <row r="986" spans="1:10" ht="15.75" thickBot="1" x14ac:dyDescent="0.3">
      <c r="A986" s="14">
        <v>42394</v>
      </c>
      <c r="B986" s="15">
        <v>42394</v>
      </c>
      <c r="C986" s="16">
        <v>592091</v>
      </c>
      <c r="D986" s="10">
        <f>PrincipalesVariables[[#This Row],[Base monetaria]]/1000000</f>
        <v>0.59209100000000003</v>
      </c>
      <c r="E986" s="10">
        <v>13.78</v>
      </c>
      <c r="F986" s="11">
        <v>25389</v>
      </c>
      <c r="H986" s="12">
        <f>(PrincipalesVariables[[#This Row],[Base monetaria]]-C985)/C985</f>
        <v>-1.8274539554094492E-3</v>
      </c>
      <c r="I986" s="12">
        <f>(PrincipalesVariables[[#This Row],[Dólar  mayorista]]-E985)/E985</f>
        <v>4.3731778425655041E-3</v>
      </c>
      <c r="J986" s="12">
        <f>(PrincipalesVariables[[#This Row],[Reservas internacionales]]-F985)/F985</f>
        <v>5.5172413793103451E-4</v>
      </c>
    </row>
    <row r="987" spans="1:10" ht="15.75" thickBot="1" x14ac:dyDescent="0.3">
      <c r="A987" s="14">
        <v>42395</v>
      </c>
      <c r="B987" s="15">
        <v>42395</v>
      </c>
      <c r="C987" s="16">
        <v>597693</v>
      </c>
      <c r="D987" s="10">
        <f>PrincipalesVariables[[#This Row],[Base monetaria]]/1000000</f>
        <v>0.59769300000000003</v>
      </c>
      <c r="E987" s="10">
        <v>13.84</v>
      </c>
      <c r="F987" s="11">
        <v>25414</v>
      </c>
      <c r="H987" s="12">
        <f>(PrincipalesVariables[[#This Row],[Base monetaria]]-C986)/C986</f>
        <v>9.4613834697706949E-3</v>
      </c>
      <c r="I987" s="12">
        <f>(PrincipalesVariables[[#This Row],[Dólar  mayorista]]-E986)/E986</f>
        <v>4.3541364296081639E-3</v>
      </c>
      <c r="J987" s="12">
        <f>(PrincipalesVariables[[#This Row],[Reservas internacionales]]-F986)/F986</f>
        <v>9.8467840403324274E-4</v>
      </c>
    </row>
    <row r="988" spans="1:10" ht="15.75" thickBot="1" x14ac:dyDescent="0.3">
      <c r="A988" s="14">
        <v>42396</v>
      </c>
      <c r="B988" s="15">
        <v>42396</v>
      </c>
      <c r="C988" s="16">
        <v>590720</v>
      </c>
      <c r="D988" s="10">
        <f>PrincipalesVariables[[#This Row],[Base monetaria]]/1000000</f>
        <v>0.59072000000000002</v>
      </c>
      <c r="E988" s="10">
        <v>13.89</v>
      </c>
      <c r="F988" s="11">
        <v>25322</v>
      </c>
      <c r="H988" s="12">
        <f>(PrincipalesVariables[[#This Row],[Base monetaria]]-C987)/C987</f>
        <v>-1.166652445318918E-2</v>
      </c>
      <c r="I988" s="12">
        <f>(PrincipalesVariables[[#This Row],[Dólar  mayorista]]-E987)/E987</f>
        <v>3.6127167630058319E-3</v>
      </c>
      <c r="J988" s="12">
        <f>(PrincipalesVariables[[#This Row],[Reservas internacionales]]-F987)/F987</f>
        <v>-3.6200519398756591E-3</v>
      </c>
    </row>
    <row r="989" spans="1:10" ht="15.75" thickBot="1" x14ac:dyDescent="0.3">
      <c r="A989" s="14">
        <v>42397</v>
      </c>
      <c r="B989" s="15">
        <v>42397</v>
      </c>
      <c r="C989" s="16">
        <v>590941</v>
      </c>
      <c r="D989" s="10">
        <f>PrincipalesVariables[[#This Row],[Base monetaria]]/1000000</f>
        <v>0.59094100000000005</v>
      </c>
      <c r="E989" s="10">
        <v>13.89</v>
      </c>
      <c r="F989" s="11">
        <v>25243</v>
      </c>
      <c r="H989" s="12">
        <f>(PrincipalesVariables[[#This Row],[Base monetaria]]-C988)/C988</f>
        <v>3.7411971830985914E-4</v>
      </c>
      <c r="I989" s="12">
        <f>(PrincipalesVariables[[#This Row],[Dólar  mayorista]]-E988)/E988</f>
        <v>0</v>
      </c>
      <c r="J989" s="12">
        <f>(PrincipalesVariables[[#This Row],[Reservas internacionales]]-F988)/F988</f>
        <v>-3.1198167601295314E-3</v>
      </c>
    </row>
    <row r="990" spans="1:10" ht="15.75" thickBot="1" x14ac:dyDescent="0.3">
      <c r="A990" s="14">
        <v>42398</v>
      </c>
      <c r="B990" s="15">
        <v>42398</v>
      </c>
      <c r="C990" s="16">
        <v>588333</v>
      </c>
      <c r="D990" s="10">
        <f>PrincipalesVariables[[#This Row],[Base monetaria]]/1000000</f>
        <v>0.58833299999999999</v>
      </c>
      <c r="E990" s="10">
        <v>13.9</v>
      </c>
      <c r="F990" s="11">
        <v>30074</v>
      </c>
      <c r="H990" s="12">
        <f>(PrincipalesVariables[[#This Row],[Base monetaria]]-C989)/C989</f>
        <v>-4.4133001433307216E-3</v>
      </c>
      <c r="I990" s="12">
        <f>(PrincipalesVariables[[#This Row],[Dólar  mayorista]]-E989)/E989</f>
        <v>7.1994240460761597E-4</v>
      </c>
      <c r="J990" s="12">
        <f>(PrincipalesVariables[[#This Row],[Reservas internacionales]]-F989)/F989</f>
        <v>0.19137978845620568</v>
      </c>
    </row>
    <row r="991" spans="1:10" ht="15.75" thickBot="1" x14ac:dyDescent="0.3">
      <c r="A991" s="14">
        <v>42401</v>
      </c>
      <c r="B991" s="15">
        <v>42401</v>
      </c>
      <c r="C991" s="16">
        <v>587033</v>
      </c>
      <c r="D991" s="10">
        <f>PrincipalesVariables[[#This Row],[Base monetaria]]/1000000</f>
        <v>0.58703300000000003</v>
      </c>
      <c r="E991" s="10">
        <v>14.09</v>
      </c>
      <c r="F991" s="11">
        <v>29985</v>
      </c>
      <c r="H991" s="12">
        <f>(PrincipalesVariables[[#This Row],[Base monetaria]]-C990)/C990</f>
        <v>-2.2096329799620282E-3</v>
      </c>
      <c r="I991" s="12">
        <f>(PrincipalesVariables[[#This Row],[Dólar  mayorista]]-E990)/E990</f>
        <v>1.3669064748201403E-2</v>
      </c>
      <c r="J991" s="12">
        <f>(PrincipalesVariables[[#This Row],[Reservas internacionales]]-F990)/F990</f>
        <v>-2.9593668949923521E-3</v>
      </c>
    </row>
    <row r="992" spans="1:10" ht="15.75" thickBot="1" x14ac:dyDescent="0.3">
      <c r="A992" s="14">
        <v>42402</v>
      </c>
      <c r="B992" s="15">
        <v>42402</v>
      </c>
      <c r="C992" s="16">
        <v>587138</v>
      </c>
      <c r="D992" s="10">
        <f>PrincipalesVariables[[#This Row],[Base monetaria]]/1000000</f>
        <v>0.58713800000000005</v>
      </c>
      <c r="E992" s="10">
        <v>14.14</v>
      </c>
      <c r="F992" s="11">
        <v>29928</v>
      </c>
      <c r="H992" s="12">
        <f>(PrincipalesVariables[[#This Row],[Base monetaria]]-C991)/C991</f>
        <v>1.7886558336584145E-4</v>
      </c>
      <c r="I992" s="12">
        <f>(PrincipalesVariables[[#This Row],[Dólar  mayorista]]-E991)/E991</f>
        <v>3.5486160397445502E-3</v>
      </c>
      <c r="J992" s="12">
        <f>(PrincipalesVariables[[#This Row],[Reservas internacionales]]-F991)/F991</f>
        <v>-1.9009504752376188E-3</v>
      </c>
    </row>
    <row r="993" spans="1:10" ht="15.75" thickBot="1" x14ac:dyDescent="0.3">
      <c r="A993" s="14">
        <v>42403</v>
      </c>
      <c r="B993" s="15">
        <v>42403</v>
      </c>
      <c r="C993" s="16">
        <v>582437</v>
      </c>
      <c r="D993" s="10">
        <f>PrincipalesVariables[[#This Row],[Base monetaria]]/1000000</f>
        <v>0.58243699999999998</v>
      </c>
      <c r="E993" s="10">
        <v>14.14</v>
      </c>
      <c r="F993" s="11">
        <v>29892</v>
      </c>
      <c r="H993" s="12">
        <f>(PrincipalesVariables[[#This Row],[Base monetaria]]-C992)/C992</f>
        <v>-8.0066355780072148E-3</v>
      </c>
      <c r="I993" s="12">
        <f>(PrincipalesVariables[[#This Row],[Dólar  mayorista]]-E992)/E992</f>
        <v>0</v>
      </c>
      <c r="J993" s="12">
        <f>(PrincipalesVariables[[#This Row],[Reservas internacionales]]-F992)/F992</f>
        <v>-1.2028869286287089E-3</v>
      </c>
    </row>
    <row r="994" spans="1:10" ht="15.75" thickBot="1" x14ac:dyDescent="0.3">
      <c r="A994" s="14">
        <v>42404</v>
      </c>
      <c r="B994" s="15">
        <v>42404</v>
      </c>
      <c r="C994" s="16">
        <v>574931</v>
      </c>
      <c r="D994" s="10">
        <f>PrincipalesVariables[[#This Row],[Base monetaria]]/1000000</f>
        <v>0.57493099999999997</v>
      </c>
      <c r="E994" s="10">
        <v>14.19</v>
      </c>
      <c r="F994" s="11">
        <v>29835</v>
      </c>
      <c r="H994" s="12">
        <f>(PrincipalesVariables[[#This Row],[Base monetaria]]-C993)/C993</f>
        <v>-1.2887230721949326E-2</v>
      </c>
      <c r="I994" s="12">
        <f>(PrincipalesVariables[[#This Row],[Dólar  mayorista]]-E993)/E993</f>
        <v>3.5360678925034604E-3</v>
      </c>
      <c r="J994" s="12">
        <f>(PrincipalesVariables[[#This Row],[Reservas internacionales]]-F993)/F993</f>
        <v>-1.9068647129666801E-3</v>
      </c>
    </row>
    <row r="995" spans="1:10" ht="15.75" thickBot="1" x14ac:dyDescent="0.3">
      <c r="A995" s="14">
        <v>42405</v>
      </c>
      <c r="B995" s="15">
        <v>42405</v>
      </c>
      <c r="C995" s="16">
        <v>569553</v>
      </c>
      <c r="D995" s="10">
        <f>PrincipalesVariables[[#This Row],[Base monetaria]]/1000000</f>
        <v>0.56955299999999998</v>
      </c>
      <c r="E995" s="10">
        <v>14.31</v>
      </c>
      <c r="F995" s="11">
        <v>29674</v>
      </c>
      <c r="H995" s="12">
        <f>(PrincipalesVariables[[#This Row],[Base monetaria]]-C994)/C994</f>
        <v>-9.3541659781782513E-3</v>
      </c>
      <c r="I995" s="12">
        <f>(PrincipalesVariables[[#This Row],[Dólar  mayorista]]-E994)/E994</f>
        <v>8.4566596194503869E-3</v>
      </c>
      <c r="J995" s="12">
        <f>(PrincipalesVariables[[#This Row],[Reservas internacionales]]-F994)/F994</f>
        <v>-5.3963465728171607E-3</v>
      </c>
    </row>
    <row r="996" spans="1:10" ht="15.75" thickBot="1" x14ac:dyDescent="0.3">
      <c r="A996" s="14">
        <v>42410</v>
      </c>
      <c r="B996" s="15">
        <v>42410</v>
      </c>
      <c r="C996" s="16">
        <v>563700</v>
      </c>
      <c r="D996" s="10">
        <f>PrincipalesVariables[[#This Row],[Base monetaria]]/1000000</f>
        <v>0.56369999999999998</v>
      </c>
      <c r="E996" s="10">
        <v>14.47</v>
      </c>
      <c r="F996" s="11">
        <v>29732</v>
      </c>
      <c r="H996" s="12">
        <f>(PrincipalesVariables[[#This Row],[Base monetaria]]-C995)/C995</f>
        <v>-1.0276479976402547E-2</v>
      </c>
      <c r="I996" s="12">
        <f>(PrincipalesVariables[[#This Row],[Dólar  mayorista]]-E995)/E995</f>
        <v>1.1180992313067795E-2</v>
      </c>
      <c r="J996" s="12">
        <f>(PrincipalesVariables[[#This Row],[Reservas internacionales]]-F995)/F995</f>
        <v>1.9545730268922287E-3</v>
      </c>
    </row>
    <row r="997" spans="1:10" ht="15.75" thickBot="1" x14ac:dyDescent="0.3">
      <c r="A997" s="14">
        <v>42411</v>
      </c>
      <c r="B997" s="15">
        <v>42411</v>
      </c>
      <c r="C997" s="16">
        <v>572531</v>
      </c>
      <c r="D997" s="10">
        <f>PrincipalesVariables[[#This Row],[Base monetaria]]/1000000</f>
        <v>0.57253100000000001</v>
      </c>
      <c r="E997" s="10">
        <v>14.56</v>
      </c>
      <c r="F997" s="11">
        <v>29833</v>
      </c>
      <c r="H997" s="12">
        <f>(PrincipalesVariables[[#This Row],[Base monetaria]]-C996)/C996</f>
        <v>1.566613446868902E-2</v>
      </c>
      <c r="I997" s="12">
        <f>(PrincipalesVariables[[#This Row],[Dólar  mayorista]]-E996)/E996</f>
        <v>6.2197650310988149E-3</v>
      </c>
      <c r="J997" s="12">
        <f>(PrincipalesVariables[[#This Row],[Reservas internacionales]]-F996)/F996</f>
        <v>3.3970133189829142E-3</v>
      </c>
    </row>
    <row r="998" spans="1:10" ht="15.75" thickBot="1" x14ac:dyDescent="0.3">
      <c r="A998" s="14">
        <v>42412</v>
      </c>
      <c r="B998" s="15">
        <v>42412</v>
      </c>
      <c r="C998" s="16">
        <v>573092</v>
      </c>
      <c r="D998" s="10">
        <f>PrincipalesVariables[[#This Row],[Base monetaria]]/1000000</f>
        <v>0.57309200000000005</v>
      </c>
      <c r="E998" s="10">
        <v>14.73</v>
      </c>
      <c r="F998" s="11">
        <v>29656</v>
      </c>
      <c r="H998" s="12">
        <f>(PrincipalesVariables[[#This Row],[Base monetaria]]-C997)/C997</f>
        <v>9.7985960585540341E-4</v>
      </c>
      <c r="I998" s="12">
        <f>(PrincipalesVariables[[#This Row],[Dólar  mayorista]]-E997)/E997</f>
        <v>1.1675824175824171E-2</v>
      </c>
      <c r="J998" s="12">
        <f>(PrincipalesVariables[[#This Row],[Reservas internacionales]]-F997)/F997</f>
        <v>-5.9330271846612815E-3</v>
      </c>
    </row>
    <row r="999" spans="1:10" ht="15.75" thickBot="1" x14ac:dyDescent="0.3">
      <c r="A999" s="14">
        <v>42415</v>
      </c>
      <c r="B999" s="15">
        <v>42415</v>
      </c>
      <c r="C999" s="16">
        <v>574740</v>
      </c>
      <c r="D999" s="10">
        <f>PrincipalesVariables[[#This Row],[Base monetaria]]/1000000</f>
        <v>0.57474000000000003</v>
      </c>
      <c r="E999" s="10">
        <v>14.77</v>
      </c>
      <c r="F999" s="11">
        <v>29676</v>
      </c>
      <c r="H999" s="12">
        <f>(PrincipalesVariables[[#This Row],[Base monetaria]]-C998)/C998</f>
        <v>2.875629043853343E-3</v>
      </c>
      <c r="I999" s="12">
        <f>(PrincipalesVariables[[#This Row],[Dólar  mayorista]]-E998)/E998</f>
        <v>2.7155465037338187E-3</v>
      </c>
      <c r="J999" s="12">
        <f>(PrincipalesVariables[[#This Row],[Reservas internacionales]]-F998)/F998</f>
        <v>6.7439978419206903E-4</v>
      </c>
    </row>
    <row r="1000" spans="1:10" ht="15.75" thickBot="1" x14ac:dyDescent="0.3">
      <c r="A1000" s="14">
        <v>42416</v>
      </c>
      <c r="B1000" s="15">
        <v>42416</v>
      </c>
      <c r="C1000" s="16">
        <v>561919</v>
      </c>
      <c r="D1000" s="10">
        <f>PrincipalesVariables[[#This Row],[Base monetaria]]/1000000</f>
        <v>0.56191899999999995</v>
      </c>
      <c r="E1000" s="10">
        <v>14.85</v>
      </c>
      <c r="F1000" s="11">
        <v>29437</v>
      </c>
      <c r="H1000" s="12">
        <f>(PrincipalesVariables[[#This Row],[Base monetaria]]-C999)/C999</f>
        <v>-2.2307478164039392E-2</v>
      </c>
      <c r="I1000" s="12">
        <f>(PrincipalesVariables[[#This Row],[Dólar  mayorista]]-E999)/E999</f>
        <v>5.4163845633039996E-3</v>
      </c>
      <c r="J1000" s="12">
        <f>(PrincipalesVariables[[#This Row],[Reservas internacionales]]-F999)/F999</f>
        <v>-8.053646043941232E-3</v>
      </c>
    </row>
    <row r="1001" spans="1:10" ht="15.75" thickBot="1" x14ac:dyDescent="0.3">
      <c r="A1001" s="14">
        <v>42417</v>
      </c>
      <c r="B1001" s="15">
        <v>42417</v>
      </c>
      <c r="C1001" s="16">
        <v>552244</v>
      </c>
      <c r="D1001" s="10">
        <f>PrincipalesVariables[[#This Row],[Base monetaria]]/1000000</f>
        <v>0.55224399999999996</v>
      </c>
      <c r="E1001" s="10">
        <v>14.91</v>
      </c>
      <c r="F1001" s="11">
        <v>29317</v>
      </c>
      <c r="H1001" s="12">
        <f>(PrincipalesVariables[[#This Row],[Base monetaria]]-C1000)/C1000</f>
        <v>-1.7217784057844635E-2</v>
      </c>
      <c r="I1001" s="12">
        <f>(PrincipalesVariables[[#This Row],[Dólar  mayorista]]-E1000)/E1000</f>
        <v>4.0404040404040742E-3</v>
      </c>
      <c r="J1001" s="12">
        <f>(PrincipalesVariables[[#This Row],[Reservas internacionales]]-F1000)/F1000</f>
        <v>-4.0765023609742844E-3</v>
      </c>
    </row>
    <row r="1002" spans="1:10" ht="15.75" thickBot="1" x14ac:dyDescent="0.3">
      <c r="A1002" s="14">
        <v>42418</v>
      </c>
      <c r="B1002" s="15">
        <v>42418</v>
      </c>
      <c r="C1002" s="16">
        <v>550150</v>
      </c>
      <c r="D1002" s="10">
        <f>PrincipalesVariables[[#This Row],[Base monetaria]]/1000000</f>
        <v>0.55015000000000003</v>
      </c>
      <c r="E1002" s="10">
        <v>15.03</v>
      </c>
      <c r="F1002" s="11">
        <v>29273</v>
      </c>
      <c r="H1002" s="12">
        <f>(PrincipalesVariables[[#This Row],[Base monetaria]]-C1001)/C1001</f>
        <v>-3.7918021744011705E-3</v>
      </c>
      <c r="I1002" s="12">
        <f>(PrincipalesVariables[[#This Row],[Dólar  mayorista]]-E1001)/E1001</f>
        <v>8.0482897384305304E-3</v>
      </c>
      <c r="J1002" s="12">
        <f>(PrincipalesVariables[[#This Row],[Reservas internacionales]]-F1001)/F1001</f>
        <v>-1.5008356926015623E-3</v>
      </c>
    </row>
    <row r="1003" spans="1:10" ht="15.75" thickBot="1" x14ac:dyDescent="0.3">
      <c r="A1003" s="14">
        <v>42419</v>
      </c>
      <c r="B1003" s="15">
        <v>42419</v>
      </c>
      <c r="C1003" s="16">
        <v>550280</v>
      </c>
      <c r="D1003" s="10">
        <f>PrincipalesVariables[[#This Row],[Base monetaria]]/1000000</f>
        <v>0.55027999999999999</v>
      </c>
      <c r="E1003" s="10">
        <v>15.03</v>
      </c>
      <c r="F1003" s="11">
        <v>29178</v>
      </c>
      <c r="H1003" s="12">
        <f>(PrincipalesVariables[[#This Row],[Base monetaria]]-C1002)/C1002</f>
        <v>2.3629919112969189E-4</v>
      </c>
      <c r="I1003" s="12">
        <f>(PrincipalesVariables[[#This Row],[Dólar  mayorista]]-E1002)/E1002</f>
        <v>0</v>
      </c>
      <c r="J1003" s="12">
        <f>(PrincipalesVariables[[#This Row],[Reservas internacionales]]-F1002)/F1002</f>
        <v>-3.2453113790865303E-3</v>
      </c>
    </row>
    <row r="1004" spans="1:10" ht="15.75" thickBot="1" x14ac:dyDescent="0.3">
      <c r="A1004" s="14">
        <v>42422</v>
      </c>
      <c r="B1004" s="15">
        <v>42422</v>
      </c>
      <c r="C1004" s="16">
        <v>547444</v>
      </c>
      <c r="D1004" s="10">
        <f>PrincipalesVariables[[#This Row],[Base monetaria]]/1000000</f>
        <v>0.54744400000000004</v>
      </c>
      <c r="E1004" s="10">
        <v>15.09</v>
      </c>
      <c r="F1004" s="11">
        <v>29068</v>
      </c>
      <c r="H1004" s="12">
        <f>(PrincipalesVariables[[#This Row],[Base monetaria]]-C1003)/C1003</f>
        <v>-5.1537399142254853E-3</v>
      </c>
      <c r="I1004" s="12">
        <f>(PrincipalesVariables[[#This Row],[Dólar  mayorista]]-E1003)/E1003</f>
        <v>3.9920159680639057E-3</v>
      </c>
      <c r="J1004" s="12">
        <f>(PrincipalesVariables[[#This Row],[Reservas internacionales]]-F1003)/F1003</f>
        <v>-3.7699636712591679E-3</v>
      </c>
    </row>
    <row r="1005" spans="1:10" ht="15.75" thickBot="1" x14ac:dyDescent="0.3">
      <c r="A1005" s="14">
        <v>42423</v>
      </c>
      <c r="B1005" s="15">
        <v>42423</v>
      </c>
      <c r="C1005" s="16">
        <v>550207</v>
      </c>
      <c r="D1005" s="10">
        <f>PrincipalesVariables[[#This Row],[Base monetaria]]/1000000</f>
        <v>0.550207</v>
      </c>
      <c r="E1005" s="10">
        <v>15.42</v>
      </c>
      <c r="F1005" s="11">
        <v>28890</v>
      </c>
      <c r="H1005" s="12">
        <f>(PrincipalesVariables[[#This Row],[Base monetaria]]-C1004)/C1004</f>
        <v>5.0470915746633448E-3</v>
      </c>
      <c r="I1005" s="12">
        <f>(PrincipalesVariables[[#This Row],[Dólar  mayorista]]-E1004)/E1004</f>
        <v>2.1868787276341953E-2</v>
      </c>
      <c r="J1005" s="12">
        <f>(PrincipalesVariables[[#This Row],[Reservas internacionales]]-F1004)/F1004</f>
        <v>-6.1235723131966421E-3</v>
      </c>
    </row>
    <row r="1006" spans="1:10" ht="15.75" thickBot="1" x14ac:dyDescent="0.3">
      <c r="A1006" s="14">
        <v>42424</v>
      </c>
      <c r="B1006" s="15">
        <v>42424</v>
      </c>
      <c r="C1006" s="16">
        <v>552511</v>
      </c>
      <c r="D1006" s="10">
        <f>PrincipalesVariables[[#This Row],[Base monetaria]]/1000000</f>
        <v>0.55251099999999997</v>
      </c>
      <c r="E1006" s="10">
        <v>15.35</v>
      </c>
      <c r="F1006" s="11">
        <v>28860</v>
      </c>
      <c r="H1006" s="12">
        <f>(PrincipalesVariables[[#This Row],[Base monetaria]]-C1005)/C1005</f>
        <v>4.1875148807630587E-3</v>
      </c>
      <c r="I1006" s="12">
        <f>(PrincipalesVariables[[#This Row],[Dólar  mayorista]]-E1005)/E1005</f>
        <v>-4.539559014267204E-3</v>
      </c>
      <c r="J1006" s="12">
        <f>(PrincipalesVariables[[#This Row],[Reservas internacionales]]-F1005)/F1005</f>
        <v>-1.0384215991692627E-3</v>
      </c>
    </row>
    <row r="1007" spans="1:10" ht="15.75" thickBot="1" x14ac:dyDescent="0.3">
      <c r="A1007" s="14">
        <v>42425</v>
      </c>
      <c r="B1007" s="15">
        <v>42425</v>
      </c>
      <c r="C1007" s="16">
        <v>552589</v>
      </c>
      <c r="D1007" s="10">
        <f>PrincipalesVariables[[#This Row],[Base monetaria]]/1000000</f>
        <v>0.552589</v>
      </c>
      <c r="E1007" s="10">
        <v>15.37</v>
      </c>
      <c r="F1007" s="11">
        <v>28767</v>
      </c>
      <c r="H1007" s="12">
        <f>(PrincipalesVariables[[#This Row],[Base monetaria]]-C1006)/C1006</f>
        <v>1.4117365989093429E-4</v>
      </c>
      <c r="I1007" s="12">
        <f>(PrincipalesVariables[[#This Row],[Dólar  mayorista]]-E1006)/E1006</f>
        <v>1.3029315960911775E-3</v>
      </c>
      <c r="J1007" s="12">
        <f>(PrincipalesVariables[[#This Row],[Reservas internacionales]]-F1006)/F1006</f>
        <v>-3.2224532224532226E-3</v>
      </c>
    </row>
    <row r="1008" spans="1:10" ht="15.75" thickBot="1" x14ac:dyDescent="0.3">
      <c r="A1008" s="14">
        <v>42426</v>
      </c>
      <c r="B1008" s="15">
        <v>42426</v>
      </c>
      <c r="C1008" s="16">
        <v>551246</v>
      </c>
      <c r="D1008" s="10">
        <f>PrincipalesVariables[[#This Row],[Base monetaria]]/1000000</f>
        <v>0.55124600000000001</v>
      </c>
      <c r="E1008" s="10">
        <v>15.44</v>
      </c>
      <c r="F1008" s="11">
        <v>28551</v>
      </c>
      <c r="H1008" s="12">
        <f>(PrincipalesVariables[[#This Row],[Base monetaria]]-C1007)/C1007</f>
        <v>-2.4303777310080367E-3</v>
      </c>
      <c r="I1008" s="12">
        <f>(PrincipalesVariables[[#This Row],[Dólar  mayorista]]-E1007)/E1007</f>
        <v>4.5543266102797842E-3</v>
      </c>
      <c r="J1008" s="12">
        <f>(PrincipalesVariables[[#This Row],[Reservas internacionales]]-F1007)/F1007</f>
        <v>-7.5086036083011785E-3</v>
      </c>
    </row>
    <row r="1009" spans="1:10" ht="15.75" thickBot="1" x14ac:dyDescent="0.3">
      <c r="A1009" s="14">
        <v>42429</v>
      </c>
      <c r="B1009" s="15">
        <v>42429</v>
      </c>
      <c r="C1009" s="16">
        <v>559138</v>
      </c>
      <c r="D1009" s="10">
        <f>PrincipalesVariables[[#This Row],[Base monetaria]]/1000000</f>
        <v>0.55913800000000002</v>
      </c>
      <c r="E1009" s="10">
        <v>15.58</v>
      </c>
      <c r="F1009" s="11">
        <v>28399</v>
      </c>
      <c r="H1009" s="12">
        <f>(PrincipalesVariables[[#This Row],[Base monetaria]]-C1008)/C1008</f>
        <v>1.431665717302257E-2</v>
      </c>
      <c r="I1009" s="12">
        <f>(PrincipalesVariables[[#This Row],[Dólar  mayorista]]-E1008)/E1008</f>
        <v>9.0673575129534053E-3</v>
      </c>
      <c r="J1009" s="12">
        <f>(PrincipalesVariables[[#This Row],[Reservas internacionales]]-F1008)/F1008</f>
        <v>-5.3238065216629892E-3</v>
      </c>
    </row>
    <row r="1010" spans="1:10" ht="15.75" thickBot="1" x14ac:dyDescent="0.3">
      <c r="A1010" s="14">
        <v>42430</v>
      </c>
      <c r="B1010" s="15">
        <v>42430</v>
      </c>
      <c r="C1010" s="16">
        <v>579175</v>
      </c>
      <c r="D1010" s="10">
        <f>PrincipalesVariables[[#This Row],[Base monetaria]]/1000000</f>
        <v>0.579175</v>
      </c>
      <c r="E1010" s="10">
        <v>15.92</v>
      </c>
      <c r="F1010" s="11">
        <v>28195</v>
      </c>
      <c r="H1010" s="12">
        <f>(PrincipalesVariables[[#This Row],[Base monetaria]]-C1009)/C1009</f>
        <v>3.5835518244154395E-2</v>
      </c>
      <c r="I1010" s="12">
        <f>(PrincipalesVariables[[#This Row],[Dólar  mayorista]]-E1009)/E1009</f>
        <v>2.1822849807445435E-2</v>
      </c>
      <c r="J1010" s="12">
        <f>(PrincipalesVariables[[#This Row],[Reservas internacionales]]-F1009)/F1009</f>
        <v>-7.1833515264621995E-3</v>
      </c>
    </row>
    <row r="1011" spans="1:10" ht="15.75" thickBot="1" x14ac:dyDescent="0.3">
      <c r="A1011" s="14">
        <v>42431</v>
      </c>
      <c r="B1011" s="15">
        <v>42431</v>
      </c>
      <c r="C1011" s="16">
        <v>589728</v>
      </c>
      <c r="D1011" s="10">
        <f>PrincipalesVariables[[#This Row],[Base monetaria]]/1000000</f>
        <v>0.58972800000000003</v>
      </c>
      <c r="E1011" s="10">
        <v>15.69</v>
      </c>
      <c r="F1011" s="11">
        <v>28124</v>
      </c>
      <c r="H1011" s="12">
        <f>(PrincipalesVariables[[#This Row],[Base monetaria]]-C1010)/C1010</f>
        <v>1.8220745025251436E-2</v>
      </c>
      <c r="I1011" s="12">
        <f>(PrincipalesVariables[[#This Row],[Dólar  mayorista]]-E1010)/E1010</f>
        <v>-1.4447236180904549E-2</v>
      </c>
      <c r="J1011" s="12">
        <f>(PrincipalesVariables[[#This Row],[Reservas internacionales]]-F1010)/F1010</f>
        <v>-2.5181769817343501E-3</v>
      </c>
    </row>
    <row r="1012" spans="1:10" ht="15.75" thickBot="1" x14ac:dyDescent="0.3">
      <c r="A1012" s="14">
        <v>42432</v>
      </c>
      <c r="B1012" s="15">
        <v>42432</v>
      </c>
      <c r="C1012" s="16">
        <v>597517</v>
      </c>
      <c r="D1012" s="10">
        <f>PrincipalesVariables[[#This Row],[Base monetaria]]/1000000</f>
        <v>0.59751699999999996</v>
      </c>
      <c r="E1012" s="10">
        <v>15.45</v>
      </c>
      <c r="F1012" s="11">
        <v>28121</v>
      </c>
      <c r="H1012" s="12">
        <f>(PrincipalesVariables[[#This Row],[Base monetaria]]-C1011)/C1011</f>
        <v>1.3207783927505563E-2</v>
      </c>
      <c r="I1012" s="12">
        <f>(PrincipalesVariables[[#This Row],[Dólar  mayorista]]-E1011)/E1011</f>
        <v>-1.5296367112810721E-2</v>
      </c>
      <c r="J1012" s="12">
        <f>(PrincipalesVariables[[#This Row],[Reservas internacionales]]-F1011)/F1011</f>
        <v>-1.0667045939411179E-4</v>
      </c>
    </row>
    <row r="1013" spans="1:10" ht="15.75" thickBot="1" x14ac:dyDescent="0.3">
      <c r="A1013" s="14">
        <v>42433</v>
      </c>
      <c r="B1013" s="15">
        <v>42433</v>
      </c>
      <c r="C1013" s="16">
        <v>593553</v>
      </c>
      <c r="D1013" s="10">
        <f>PrincipalesVariables[[#This Row],[Base monetaria]]/1000000</f>
        <v>0.593553</v>
      </c>
      <c r="E1013" s="10">
        <v>15.2</v>
      </c>
      <c r="F1013" s="11">
        <v>28215</v>
      </c>
      <c r="H1013" s="12">
        <f>(PrincipalesVariables[[#This Row],[Base monetaria]]-C1012)/C1012</f>
        <v>-6.6341208702011822E-3</v>
      </c>
      <c r="I1013" s="12">
        <f>(PrincipalesVariables[[#This Row],[Dólar  mayorista]]-E1012)/E1012</f>
        <v>-1.6181229773462785E-2</v>
      </c>
      <c r="J1013" s="12">
        <f>(PrincipalesVariables[[#This Row],[Reservas internacionales]]-F1012)/F1012</f>
        <v>3.3426976281071084E-3</v>
      </c>
    </row>
    <row r="1014" spans="1:10" ht="15.75" thickBot="1" x14ac:dyDescent="0.3">
      <c r="A1014" s="14">
        <v>42436</v>
      </c>
      <c r="B1014" s="15">
        <v>42436</v>
      </c>
      <c r="C1014" s="16">
        <v>593431</v>
      </c>
      <c r="D1014" s="10">
        <f>PrincipalesVariables[[#This Row],[Base monetaria]]/1000000</f>
        <v>0.59343100000000004</v>
      </c>
      <c r="E1014" s="10">
        <v>15.34</v>
      </c>
      <c r="F1014" s="11">
        <v>28167</v>
      </c>
      <c r="H1014" s="12">
        <f>(PrincipalesVariables[[#This Row],[Base monetaria]]-C1013)/C1013</f>
        <v>-2.0554188084299127E-4</v>
      </c>
      <c r="I1014" s="12">
        <f>(PrincipalesVariables[[#This Row],[Dólar  mayorista]]-E1013)/E1013</f>
        <v>9.210526315789511E-3</v>
      </c>
      <c r="J1014" s="12">
        <f>(PrincipalesVariables[[#This Row],[Reservas internacionales]]-F1013)/F1013</f>
        <v>-1.7012227538543328E-3</v>
      </c>
    </row>
    <row r="1015" spans="1:10" ht="15.75" thickBot="1" x14ac:dyDescent="0.3">
      <c r="A1015" s="14">
        <v>42437</v>
      </c>
      <c r="B1015" s="15">
        <v>42437</v>
      </c>
      <c r="C1015" s="16">
        <v>591155</v>
      </c>
      <c r="D1015" s="10">
        <f>PrincipalesVariables[[#This Row],[Base monetaria]]/1000000</f>
        <v>0.59115499999999999</v>
      </c>
      <c r="E1015" s="10">
        <v>15.44</v>
      </c>
      <c r="F1015" s="11">
        <v>28164</v>
      </c>
      <c r="H1015" s="12">
        <f>(PrincipalesVariables[[#This Row],[Base monetaria]]-C1014)/C1014</f>
        <v>-3.8353237360367084E-3</v>
      </c>
      <c r="I1015" s="12">
        <f>(PrincipalesVariables[[#This Row],[Dólar  mayorista]]-E1014)/E1014</f>
        <v>6.5189048239895466E-3</v>
      </c>
      <c r="J1015" s="12">
        <f>(PrincipalesVariables[[#This Row],[Reservas internacionales]]-F1014)/F1014</f>
        <v>-1.0650761529449355E-4</v>
      </c>
    </row>
    <row r="1016" spans="1:10" ht="15.75" thickBot="1" x14ac:dyDescent="0.3">
      <c r="A1016" s="14">
        <v>42438</v>
      </c>
      <c r="B1016" s="15">
        <v>42438</v>
      </c>
      <c r="C1016" s="16">
        <v>589894</v>
      </c>
      <c r="D1016" s="10">
        <f>PrincipalesVariables[[#This Row],[Base monetaria]]/1000000</f>
        <v>0.58989400000000003</v>
      </c>
      <c r="E1016" s="10">
        <v>15.36</v>
      </c>
      <c r="F1016" s="11">
        <v>28113</v>
      </c>
      <c r="H1016" s="12">
        <f>(PrincipalesVariables[[#This Row],[Base monetaria]]-C1015)/C1015</f>
        <v>-2.1331122971132784E-3</v>
      </c>
      <c r="I1016" s="12">
        <f>(PrincipalesVariables[[#This Row],[Dólar  mayorista]]-E1015)/E1015</f>
        <v>-5.1813471502590719E-3</v>
      </c>
      <c r="J1016" s="12">
        <f>(PrincipalesVariables[[#This Row],[Reservas internacionales]]-F1015)/F1015</f>
        <v>-1.8108223263740945E-3</v>
      </c>
    </row>
    <row r="1017" spans="1:10" ht="15.75" thickBot="1" x14ac:dyDescent="0.3">
      <c r="A1017" s="14">
        <v>42439</v>
      </c>
      <c r="B1017" s="15">
        <v>42439</v>
      </c>
      <c r="C1017" s="16">
        <v>588177</v>
      </c>
      <c r="D1017" s="10">
        <f>PrincipalesVariables[[#This Row],[Base monetaria]]/1000000</f>
        <v>0.58817699999999995</v>
      </c>
      <c r="E1017" s="10">
        <v>15.34</v>
      </c>
      <c r="F1017" s="11">
        <v>28130</v>
      </c>
      <c r="H1017" s="12">
        <f>(PrincipalesVariables[[#This Row],[Base monetaria]]-C1016)/C1016</f>
        <v>-2.9106924294873314E-3</v>
      </c>
      <c r="I1017" s="12">
        <f>(PrincipalesVariables[[#This Row],[Dólar  mayorista]]-E1016)/E1016</f>
        <v>-1.3020833333333057E-3</v>
      </c>
      <c r="J1017" s="12">
        <f>(PrincipalesVariables[[#This Row],[Reservas internacionales]]-F1016)/F1016</f>
        <v>6.0470245082346248E-4</v>
      </c>
    </row>
    <row r="1018" spans="1:10" ht="15.75" thickBot="1" x14ac:dyDescent="0.3">
      <c r="A1018" s="14">
        <v>42440</v>
      </c>
      <c r="B1018" s="15">
        <v>42440</v>
      </c>
      <c r="C1018" s="16">
        <v>583729</v>
      </c>
      <c r="D1018" s="10">
        <f>PrincipalesVariables[[#This Row],[Base monetaria]]/1000000</f>
        <v>0.58372900000000005</v>
      </c>
      <c r="E1018" s="10">
        <v>15.12</v>
      </c>
      <c r="F1018" s="11">
        <v>28145</v>
      </c>
      <c r="H1018" s="12">
        <f>(PrincipalesVariables[[#This Row],[Base monetaria]]-C1017)/C1017</f>
        <v>-7.5623494288283967E-3</v>
      </c>
      <c r="I1018" s="12">
        <f>(PrincipalesVariables[[#This Row],[Dólar  mayorista]]-E1017)/E1017</f>
        <v>-1.4341590612777096E-2</v>
      </c>
      <c r="J1018" s="12">
        <f>(PrincipalesVariables[[#This Row],[Reservas internacionales]]-F1017)/F1017</f>
        <v>5.3323853537148955E-4</v>
      </c>
    </row>
    <row r="1019" spans="1:10" ht="15.75" thickBot="1" x14ac:dyDescent="0.3">
      <c r="A1019" s="14">
        <v>42443</v>
      </c>
      <c r="B1019" s="15">
        <v>42443</v>
      </c>
      <c r="C1019" s="16">
        <v>574749</v>
      </c>
      <c r="D1019" s="10">
        <f>PrincipalesVariables[[#This Row],[Base monetaria]]/1000000</f>
        <v>0.57474899999999995</v>
      </c>
      <c r="E1019" s="10">
        <v>14.8</v>
      </c>
      <c r="F1019" s="11">
        <v>28029</v>
      </c>
      <c r="H1019" s="12">
        <f>(PrincipalesVariables[[#This Row],[Base monetaria]]-C1018)/C1018</f>
        <v>-1.5383851067875676E-2</v>
      </c>
      <c r="I1019" s="12">
        <f>(PrincipalesVariables[[#This Row],[Dólar  mayorista]]-E1018)/E1018</f>
        <v>-2.1164021164021066E-2</v>
      </c>
      <c r="J1019" s="12">
        <f>(PrincipalesVariables[[#This Row],[Reservas internacionales]]-F1018)/F1018</f>
        <v>-4.1215135903357614E-3</v>
      </c>
    </row>
    <row r="1020" spans="1:10" ht="15.75" thickBot="1" x14ac:dyDescent="0.3">
      <c r="A1020" s="14">
        <v>42444</v>
      </c>
      <c r="B1020" s="15">
        <v>42444</v>
      </c>
      <c r="C1020" s="16">
        <v>573033</v>
      </c>
      <c r="D1020" s="10">
        <f>PrincipalesVariables[[#This Row],[Base monetaria]]/1000000</f>
        <v>0.57303300000000001</v>
      </c>
      <c r="E1020" s="10">
        <v>14.61</v>
      </c>
      <c r="F1020" s="11">
        <v>27849</v>
      </c>
      <c r="H1020" s="12">
        <f>(PrincipalesVariables[[#This Row],[Base monetaria]]-C1019)/C1019</f>
        <v>-2.9856511277096612E-3</v>
      </c>
      <c r="I1020" s="12">
        <f>(PrincipalesVariables[[#This Row],[Dólar  mayorista]]-E1019)/E1019</f>
        <v>-1.2837837837837924E-2</v>
      </c>
      <c r="J1020" s="12">
        <f>(PrincipalesVariables[[#This Row],[Reservas internacionales]]-F1019)/F1019</f>
        <v>-6.4219201541260837E-3</v>
      </c>
    </row>
    <row r="1021" spans="1:10" ht="15.75" thickBot="1" x14ac:dyDescent="0.3">
      <c r="A1021" s="14">
        <v>42445</v>
      </c>
      <c r="B1021" s="15">
        <v>42445</v>
      </c>
      <c r="C1021" s="16">
        <v>580701</v>
      </c>
      <c r="D1021" s="10">
        <f>PrincipalesVariables[[#This Row],[Base monetaria]]/1000000</f>
        <v>0.58070100000000002</v>
      </c>
      <c r="E1021" s="10">
        <v>14.51</v>
      </c>
      <c r="F1021" s="11">
        <v>29080</v>
      </c>
      <c r="H1021" s="12">
        <f>(PrincipalesVariables[[#This Row],[Base monetaria]]-C1020)/C1020</f>
        <v>1.338142829470554E-2</v>
      </c>
      <c r="I1021" s="12">
        <f>(PrincipalesVariables[[#This Row],[Dólar  mayorista]]-E1020)/E1020</f>
        <v>-6.8446269678302295E-3</v>
      </c>
      <c r="J1021" s="12">
        <f>(PrincipalesVariables[[#This Row],[Reservas internacionales]]-F1020)/F1020</f>
        <v>4.4202664368559012E-2</v>
      </c>
    </row>
    <row r="1022" spans="1:10" ht="15.75" thickBot="1" x14ac:dyDescent="0.3">
      <c r="A1022" s="14">
        <v>42446</v>
      </c>
      <c r="B1022" s="15">
        <v>42446</v>
      </c>
      <c r="C1022" s="16">
        <v>588153</v>
      </c>
      <c r="D1022" s="10">
        <f>PrincipalesVariables[[#This Row],[Base monetaria]]/1000000</f>
        <v>0.58815300000000004</v>
      </c>
      <c r="E1022" s="10">
        <v>14.63</v>
      </c>
      <c r="F1022" s="11">
        <v>29238</v>
      </c>
      <c r="H1022" s="12">
        <f>(PrincipalesVariables[[#This Row],[Base monetaria]]-C1021)/C1021</f>
        <v>1.2832765915677776E-2</v>
      </c>
      <c r="I1022" s="12">
        <f>(PrincipalesVariables[[#This Row],[Dólar  mayorista]]-E1021)/E1021</f>
        <v>8.2701585113715368E-3</v>
      </c>
      <c r="J1022" s="12">
        <f>(PrincipalesVariables[[#This Row],[Reservas internacionales]]-F1021)/F1021</f>
        <v>5.4332874828060523E-3</v>
      </c>
    </row>
    <row r="1023" spans="1:10" ht="15.75" thickBot="1" x14ac:dyDescent="0.3">
      <c r="A1023" s="14">
        <v>42447</v>
      </c>
      <c r="B1023" s="15">
        <v>42447</v>
      </c>
      <c r="C1023" s="16">
        <v>589099</v>
      </c>
      <c r="D1023" s="10">
        <f>PrincipalesVariables[[#This Row],[Base monetaria]]/1000000</f>
        <v>0.58909900000000004</v>
      </c>
      <c r="E1023" s="10">
        <v>14.82</v>
      </c>
      <c r="F1023" s="11">
        <v>29195</v>
      </c>
      <c r="H1023" s="12">
        <f>(PrincipalesVariables[[#This Row],[Base monetaria]]-C1022)/C1022</f>
        <v>1.6084250186601105E-3</v>
      </c>
      <c r="I1023" s="12">
        <f>(PrincipalesVariables[[#This Row],[Dólar  mayorista]]-E1022)/E1022</f>
        <v>1.2987012987012953E-2</v>
      </c>
      <c r="J1023" s="12">
        <f>(PrincipalesVariables[[#This Row],[Reservas internacionales]]-F1022)/F1022</f>
        <v>-1.4706888296053082E-3</v>
      </c>
    </row>
    <row r="1024" spans="1:10" ht="15.75" thickBot="1" x14ac:dyDescent="0.3">
      <c r="A1024" s="14">
        <v>42450</v>
      </c>
      <c r="B1024" s="15">
        <v>42450</v>
      </c>
      <c r="C1024" s="16">
        <v>591208</v>
      </c>
      <c r="D1024" s="10">
        <f>PrincipalesVariables[[#This Row],[Base monetaria]]/1000000</f>
        <v>0.59120799999999996</v>
      </c>
      <c r="E1024" s="10">
        <v>14.58</v>
      </c>
      <c r="F1024" s="11">
        <v>29149</v>
      </c>
      <c r="H1024" s="12">
        <f>(PrincipalesVariables[[#This Row],[Base monetaria]]-C1023)/C1023</f>
        <v>3.5800434222431204E-3</v>
      </c>
      <c r="I1024" s="12">
        <f>(PrincipalesVariables[[#This Row],[Dólar  mayorista]]-E1023)/E1023</f>
        <v>-1.6194331983805682E-2</v>
      </c>
      <c r="J1024" s="12">
        <f>(PrincipalesVariables[[#This Row],[Reservas internacionales]]-F1023)/F1023</f>
        <v>-1.5756122623736941E-3</v>
      </c>
    </row>
    <row r="1025" spans="1:10" ht="15.75" thickBot="1" x14ac:dyDescent="0.3">
      <c r="A1025" s="14">
        <v>42451</v>
      </c>
      <c r="B1025" s="15">
        <v>42451</v>
      </c>
      <c r="C1025" s="16">
        <v>582785</v>
      </c>
      <c r="D1025" s="10">
        <f>PrincipalesVariables[[#This Row],[Base monetaria]]/1000000</f>
        <v>0.582785</v>
      </c>
      <c r="E1025" s="10">
        <v>14.25</v>
      </c>
      <c r="F1025" s="11">
        <v>29117</v>
      </c>
      <c r="H1025" s="12">
        <f>(PrincipalesVariables[[#This Row],[Base monetaria]]-C1024)/C1024</f>
        <v>-1.4247100851138686E-2</v>
      </c>
      <c r="I1025" s="12">
        <f>(PrincipalesVariables[[#This Row],[Dólar  mayorista]]-E1024)/E1024</f>
        <v>-2.2633744855967083E-2</v>
      </c>
      <c r="J1025" s="12">
        <f>(PrincipalesVariables[[#This Row],[Reservas internacionales]]-F1024)/F1024</f>
        <v>-1.0978078150193833E-3</v>
      </c>
    </row>
    <row r="1026" spans="1:10" ht="15.75" thickBot="1" x14ac:dyDescent="0.3">
      <c r="A1026" s="14">
        <v>42452</v>
      </c>
      <c r="B1026" s="15">
        <v>42452</v>
      </c>
      <c r="C1026" s="16">
        <v>594243</v>
      </c>
      <c r="D1026" s="10">
        <f>PrincipalesVariables[[#This Row],[Base monetaria]]/1000000</f>
        <v>0.59424299999999997</v>
      </c>
      <c r="E1026" s="10">
        <v>14.43</v>
      </c>
      <c r="F1026" s="11">
        <v>29886</v>
      </c>
      <c r="H1026" s="12">
        <f>(PrincipalesVariables[[#This Row],[Base monetaria]]-C1025)/C1025</f>
        <v>1.966076683511072E-2</v>
      </c>
      <c r="I1026" s="12">
        <f>(PrincipalesVariables[[#This Row],[Dólar  mayorista]]-E1025)/E1025</f>
        <v>1.2631578947368402E-2</v>
      </c>
      <c r="J1026" s="12">
        <f>(PrincipalesVariables[[#This Row],[Reservas internacionales]]-F1025)/F1025</f>
        <v>2.6410687914276882E-2</v>
      </c>
    </row>
    <row r="1027" spans="1:10" ht="15.75" thickBot="1" x14ac:dyDescent="0.3">
      <c r="A1027" s="14">
        <v>42457</v>
      </c>
      <c r="B1027" s="15">
        <v>42457</v>
      </c>
      <c r="C1027" s="16">
        <v>583947</v>
      </c>
      <c r="D1027" s="10">
        <f>PrincipalesVariables[[#This Row],[Base monetaria]]/1000000</f>
        <v>0.58394699999999999</v>
      </c>
      <c r="E1027" s="10">
        <v>14.64</v>
      </c>
      <c r="F1027" s="11">
        <v>29842</v>
      </c>
      <c r="H1027" s="12">
        <f>(PrincipalesVariables[[#This Row],[Base monetaria]]-C1026)/C1026</f>
        <v>-1.7326245323882654E-2</v>
      </c>
      <c r="I1027" s="12">
        <f>(PrincipalesVariables[[#This Row],[Dólar  mayorista]]-E1026)/E1026</f>
        <v>1.4553014553014613E-2</v>
      </c>
      <c r="J1027" s="12">
        <f>(PrincipalesVariables[[#This Row],[Reservas internacionales]]-F1026)/F1026</f>
        <v>-1.4722612594525865E-3</v>
      </c>
    </row>
    <row r="1028" spans="1:10" ht="15.75" thickBot="1" x14ac:dyDescent="0.3">
      <c r="A1028" s="14">
        <v>42458</v>
      </c>
      <c r="B1028" s="15">
        <v>42458</v>
      </c>
      <c r="C1028" s="16">
        <v>583286</v>
      </c>
      <c r="D1028" s="10">
        <f>PrincipalesVariables[[#This Row],[Base monetaria]]/1000000</f>
        <v>0.58328599999999997</v>
      </c>
      <c r="E1028" s="10">
        <v>14.88</v>
      </c>
      <c r="F1028" s="11">
        <v>29881</v>
      </c>
      <c r="H1028" s="12">
        <f>(PrincipalesVariables[[#This Row],[Base monetaria]]-C1027)/C1027</f>
        <v>-1.1319520435929974E-3</v>
      </c>
      <c r="I1028" s="12">
        <f>(PrincipalesVariables[[#This Row],[Dólar  mayorista]]-E1027)/E1027</f>
        <v>1.6393442622950834E-2</v>
      </c>
      <c r="J1028" s="12">
        <f>(PrincipalesVariables[[#This Row],[Reservas internacionales]]-F1027)/F1027</f>
        <v>1.3068829166945914E-3</v>
      </c>
    </row>
    <row r="1029" spans="1:10" ht="15.75" thickBot="1" x14ac:dyDescent="0.3">
      <c r="A1029" s="14">
        <v>42459</v>
      </c>
      <c r="B1029" s="15">
        <v>42459</v>
      </c>
      <c r="C1029" s="16">
        <v>562928</v>
      </c>
      <c r="D1029" s="10">
        <f>PrincipalesVariables[[#This Row],[Base monetaria]]/1000000</f>
        <v>0.56292799999999998</v>
      </c>
      <c r="E1029" s="10">
        <v>14.62</v>
      </c>
      <c r="F1029" s="11">
        <v>29852</v>
      </c>
      <c r="H1029" s="12">
        <f>(PrincipalesVariables[[#This Row],[Base monetaria]]-C1028)/C1028</f>
        <v>-3.4902260640577693E-2</v>
      </c>
      <c r="I1029" s="12">
        <f>(PrincipalesVariables[[#This Row],[Dólar  mayorista]]-E1028)/E1028</f>
        <v>-1.7473118279569995E-2</v>
      </c>
      <c r="J1029" s="12">
        <f>(PrincipalesVariables[[#This Row],[Reservas internacionales]]-F1028)/F1028</f>
        <v>-9.7051638164720054E-4</v>
      </c>
    </row>
    <row r="1030" spans="1:10" ht="15.75" thickBot="1" x14ac:dyDescent="0.3">
      <c r="A1030" s="14">
        <v>42460</v>
      </c>
      <c r="B1030" s="15">
        <v>42460</v>
      </c>
      <c r="C1030" s="16">
        <v>573019</v>
      </c>
      <c r="D1030" s="10">
        <f>PrincipalesVariables[[#This Row],[Base monetaria]]/1000000</f>
        <v>0.57301899999999995</v>
      </c>
      <c r="E1030" s="10">
        <v>14.58</v>
      </c>
      <c r="F1030" s="11">
        <v>29572</v>
      </c>
      <c r="H1030" s="12">
        <f>(PrincipalesVariables[[#This Row],[Base monetaria]]-C1029)/C1029</f>
        <v>1.7925915925304833E-2</v>
      </c>
      <c r="I1030" s="12">
        <f>(PrincipalesVariables[[#This Row],[Dólar  mayorista]]-E1029)/E1029</f>
        <v>-2.7359781121750444E-3</v>
      </c>
      <c r="J1030" s="12">
        <f>(PrincipalesVariables[[#This Row],[Reservas internacionales]]-F1029)/F1029</f>
        <v>-9.3796060565456245E-3</v>
      </c>
    </row>
    <row r="1031" spans="1:10" ht="15.75" thickBot="1" x14ac:dyDescent="0.3">
      <c r="A1031" s="14">
        <v>42461</v>
      </c>
      <c r="B1031" s="15">
        <v>42461</v>
      </c>
      <c r="C1031" s="16">
        <v>610010</v>
      </c>
      <c r="D1031" s="10">
        <f>PrincipalesVariables[[#This Row],[Base monetaria]]/1000000</f>
        <v>0.61001000000000005</v>
      </c>
      <c r="E1031" s="10">
        <v>14.7</v>
      </c>
      <c r="F1031" s="11">
        <v>29407</v>
      </c>
      <c r="H1031" s="12">
        <f>(PrincipalesVariables[[#This Row],[Base monetaria]]-C1030)/C1030</f>
        <v>6.4554578469474835E-2</v>
      </c>
      <c r="I1031" s="12">
        <f>(PrincipalesVariables[[#This Row],[Dólar  mayorista]]-E1030)/E1030</f>
        <v>8.2304526748970663E-3</v>
      </c>
      <c r="J1031" s="12">
        <f>(PrincipalesVariables[[#This Row],[Reservas internacionales]]-F1030)/F1030</f>
        <v>-5.5796023265250912E-3</v>
      </c>
    </row>
    <row r="1032" spans="1:10" ht="15.75" thickBot="1" x14ac:dyDescent="0.3">
      <c r="A1032" s="14">
        <v>42464</v>
      </c>
      <c r="B1032" s="15">
        <v>42464</v>
      </c>
      <c r="C1032" s="16">
        <v>604923</v>
      </c>
      <c r="D1032" s="10">
        <f>PrincipalesVariables[[#This Row],[Base monetaria]]/1000000</f>
        <v>0.60492299999999999</v>
      </c>
      <c r="E1032" s="10">
        <v>14.78</v>
      </c>
      <c r="F1032" s="11">
        <v>29421</v>
      </c>
      <c r="H1032" s="12">
        <f>(PrincipalesVariables[[#This Row],[Base monetaria]]-C1031)/C1031</f>
        <v>-8.3392075539745255E-3</v>
      </c>
      <c r="I1032" s="12">
        <f>(PrincipalesVariables[[#This Row],[Dólar  mayorista]]-E1031)/E1031</f>
        <v>5.4421768707483041E-3</v>
      </c>
      <c r="J1032" s="12">
        <f>(PrincipalesVariables[[#This Row],[Reservas internacionales]]-F1031)/F1031</f>
        <v>4.7607712449416806E-4</v>
      </c>
    </row>
    <row r="1033" spans="1:10" ht="15.75" thickBot="1" x14ac:dyDescent="0.3">
      <c r="A1033" s="14">
        <v>42465</v>
      </c>
      <c r="B1033" s="15">
        <v>42465</v>
      </c>
      <c r="C1033" s="16">
        <v>600988</v>
      </c>
      <c r="D1033" s="10">
        <f>PrincipalesVariables[[#This Row],[Base monetaria]]/1000000</f>
        <v>0.60098799999999997</v>
      </c>
      <c r="E1033" s="10">
        <v>14.68</v>
      </c>
      <c r="F1033" s="11">
        <v>29544</v>
      </c>
      <c r="H1033" s="12">
        <f>(PrincipalesVariables[[#This Row],[Base monetaria]]-C1032)/C1032</f>
        <v>-6.504960135422194E-3</v>
      </c>
      <c r="I1033" s="12">
        <f>(PrincipalesVariables[[#This Row],[Dólar  mayorista]]-E1032)/E1032</f>
        <v>-6.7658998646819794E-3</v>
      </c>
      <c r="J1033" s="12">
        <f>(PrincipalesVariables[[#This Row],[Reservas internacionales]]-F1032)/F1032</f>
        <v>4.1806872641990418E-3</v>
      </c>
    </row>
    <row r="1034" spans="1:10" ht="15.75" thickBot="1" x14ac:dyDescent="0.3">
      <c r="A1034" s="14">
        <v>42466</v>
      </c>
      <c r="B1034" s="15">
        <v>42466</v>
      </c>
      <c r="C1034" s="16">
        <v>588475</v>
      </c>
      <c r="D1034" s="10">
        <f>PrincipalesVariables[[#This Row],[Base monetaria]]/1000000</f>
        <v>0.58847499999999997</v>
      </c>
      <c r="E1034" s="10">
        <v>14.69</v>
      </c>
      <c r="F1034" s="11">
        <v>29462</v>
      </c>
      <c r="H1034" s="12">
        <f>(PrincipalesVariables[[#This Row],[Base monetaria]]-C1033)/C1033</f>
        <v>-2.0820715222267333E-2</v>
      </c>
      <c r="I1034" s="12">
        <f>(PrincipalesVariables[[#This Row],[Dólar  mayorista]]-E1033)/E1033</f>
        <v>6.8119891008172932E-4</v>
      </c>
      <c r="J1034" s="12">
        <f>(PrincipalesVariables[[#This Row],[Reservas internacionales]]-F1033)/F1033</f>
        <v>-2.775521256431086E-3</v>
      </c>
    </row>
    <row r="1035" spans="1:10" ht="15.75" thickBot="1" x14ac:dyDescent="0.3">
      <c r="A1035" s="14">
        <v>42467</v>
      </c>
      <c r="B1035" s="15">
        <v>42467</v>
      </c>
      <c r="C1035" s="16">
        <v>590235</v>
      </c>
      <c r="D1035" s="10">
        <f>PrincipalesVariables[[#This Row],[Base monetaria]]/1000000</f>
        <v>0.59023499999999995</v>
      </c>
      <c r="E1035" s="10">
        <v>14.53</v>
      </c>
      <c r="F1035" s="11">
        <v>29557</v>
      </c>
      <c r="H1035" s="12">
        <f>(PrincipalesVariables[[#This Row],[Base monetaria]]-C1034)/C1034</f>
        <v>2.9907812566379202E-3</v>
      </c>
      <c r="I1035" s="12">
        <f>(PrincipalesVariables[[#This Row],[Dólar  mayorista]]-E1034)/E1034</f>
        <v>-1.0891763104152494E-2</v>
      </c>
      <c r="J1035" s="12">
        <f>(PrincipalesVariables[[#This Row],[Reservas internacionales]]-F1034)/F1034</f>
        <v>3.2244925666960831E-3</v>
      </c>
    </row>
    <row r="1036" spans="1:10" ht="15.75" thickBot="1" x14ac:dyDescent="0.3">
      <c r="A1036" s="14">
        <v>42468</v>
      </c>
      <c r="B1036" s="15">
        <v>42468</v>
      </c>
      <c r="C1036" s="16">
        <v>583523</v>
      </c>
      <c r="D1036" s="10">
        <f>PrincipalesVariables[[#This Row],[Base monetaria]]/1000000</f>
        <v>0.58352300000000001</v>
      </c>
      <c r="E1036" s="10">
        <v>14.43</v>
      </c>
      <c r="F1036" s="11">
        <v>29512</v>
      </c>
      <c r="H1036" s="12">
        <f>(PrincipalesVariables[[#This Row],[Base monetaria]]-C1035)/C1035</f>
        <v>-1.1371741763873712E-2</v>
      </c>
      <c r="I1036" s="12">
        <f>(PrincipalesVariables[[#This Row],[Dólar  mayorista]]-E1035)/E1035</f>
        <v>-6.882312456985523E-3</v>
      </c>
      <c r="J1036" s="12">
        <f>(PrincipalesVariables[[#This Row],[Reservas internacionales]]-F1035)/F1035</f>
        <v>-1.5224819839631898E-3</v>
      </c>
    </row>
    <row r="1037" spans="1:10" ht="15.75" thickBot="1" x14ac:dyDescent="0.3">
      <c r="A1037" s="14">
        <v>42471</v>
      </c>
      <c r="B1037" s="15">
        <v>42471</v>
      </c>
      <c r="C1037" s="16">
        <v>583909</v>
      </c>
      <c r="D1037" s="10">
        <f>PrincipalesVariables[[#This Row],[Base monetaria]]/1000000</f>
        <v>0.58390900000000001</v>
      </c>
      <c r="E1037" s="10">
        <v>14.51</v>
      </c>
      <c r="F1037" s="11">
        <v>29524</v>
      </c>
      <c r="H1037" s="12">
        <f>(PrincipalesVariables[[#This Row],[Base monetaria]]-C1036)/C1036</f>
        <v>6.6149920397310822E-4</v>
      </c>
      <c r="I1037" s="12">
        <f>(PrincipalesVariables[[#This Row],[Dólar  mayorista]]-E1036)/E1036</f>
        <v>5.5440055440055492E-3</v>
      </c>
      <c r="J1037" s="12">
        <f>(PrincipalesVariables[[#This Row],[Reservas internacionales]]-F1036)/F1036</f>
        <v>4.0661425860666849E-4</v>
      </c>
    </row>
    <row r="1038" spans="1:10" ht="15.75" thickBot="1" x14ac:dyDescent="0.3">
      <c r="A1038" s="14">
        <v>42472</v>
      </c>
      <c r="B1038" s="15">
        <v>42472</v>
      </c>
      <c r="C1038" s="16">
        <v>586151</v>
      </c>
      <c r="D1038" s="10">
        <f>PrincipalesVariables[[#This Row],[Base monetaria]]/1000000</f>
        <v>0.58615099999999998</v>
      </c>
      <c r="E1038" s="10">
        <v>14.54</v>
      </c>
      <c r="F1038" s="11">
        <v>29528</v>
      </c>
      <c r="H1038" s="12">
        <f>(PrincipalesVariables[[#This Row],[Base monetaria]]-C1037)/C1037</f>
        <v>3.8396393958647665E-3</v>
      </c>
      <c r="I1038" s="12">
        <f>(PrincipalesVariables[[#This Row],[Dólar  mayorista]]-E1037)/E1037</f>
        <v>2.0675396278428231E-3</v>
      </c>
      <c r="J1038" s="12">
        <f>(PrincipalesVariables[[#This Row],[Reservas internacionales]]-F1037)/F1037</f>
        <v>1.3548299688389108E-4</v>
      </c>
    </row>
    <row r="1039" spans="1:10" ht="15.75" thickBot="1" x14ac:dyDescent="0.3">
      <c r="A1039" s="14">
        <v>42473</v>
      </c>
      <c r="B1039" s="15">
        <v>42473</v>
      </c>
      <c r="C1039" s="16">
        <v>586847</v>
      </c>
      <c r="D1039" s="10">
        <f>PrincipalesVariables[[#This Row],[Base monetaria]]/1000000</f>
        <v>0.58684700000000001</v>
      </c>
      <c r="E1039" s="10">
        <v>14.42</v>
      </c>
      <c r="F1039" s="11">
        <v>29442</v>
      </c>
      <c r="H1039" s="12">
        <f>(PrincipalesVariables[[#This Row],[Base monetaria]]-C1038)/C1038</f>
        <v>1.1874073404293433E-3</v>
      </c>
      <c r="I1039" s="12">
        <f>(PrincipalesVariables[[#This Row],[Dólar  mayorista]]-E1038)/E1038</f>
        <v>-8.253094910591419E-3</v>
      </c>
      <c r="J1039" s="12">
        <f>(PrincipalesVariables[[#This Row],[Reservas internacionales]]-F1038)/F1038</f>
        <v>-2.9124898401517202E-3</v>
      </c>
    </row>
    <row r="1040" spans="1:10" ht="15.75" thickBot="1" x14ac:dyDescent="0.3">
      <c r="A1040" s="14">
        <v>42474</v>
      </c>
      <c r="B1040" s="15">
        <v>42474</v>
      </c>
      <c r="C1040" s="16">
        <v>588046</v>
      </c>
      <c r="D1040" s="10">
        <f>PrincipalesVariables[[#This Row],[Base monetaria]]/1000000</f>
        <v>0.58804599999999996</v>
      </c>
      <c r="E1040" s="10">
        <v>14.37</v>
      </c>
      <c r="F1040" s="11">
        <v>29353</v>
      </c>
      <c r="H1040" s="12">
        <f>(PrincipalesVariables[[#This Row],[Base monetaria]]-C1039)/C1039</f>
        <v>2.0431219721665102E-3</v>
      </c>
      <c r="I1040" s="12">
        <f>(PrincipalesVariables[[#This Row],[Dólar  mayorista]]-E1039)/E1039</f>
        <v>-3.4674063800277885E-3</v>
      </c>
      <c r="J1040" s="12">
        <f>(PrincipalesVariables[[#This Row],[Reservas internacionales]]-F1039)/F1039</f>
        <v>-3.0228924665443922E-3</v>
      </c>
    </row>
    <row r="1041" spans="1:10" ht="15.75" thickBot="1" x14ac:dyDescent="0.3">
      <c r="A1041" s="14">
        <v>42475</v>
      </c>
      <c r="B1041" s="15">
        <v>42475</v>
      </c>
      <c r="C1041" s="16">
        <v>578466</v>
      </c>
      <c r="D1041" s="10">
        <f>PrincipalesVariables[[#This Row],[Base monetaria]]/1000000</f>
        <v>0.57846600000000004</v>
      </c>
      <c r="E1041" s="10">
        <v>14.3</v>
      </c>
      <c r="F1041" s="11">
        <v>29239</v>
      </c>
      <c r="H1041" s="12">
        <f>(PrincipalesVariables[[#This Row],[Base monetaria]]-C1040)/C1040</f>
        <v>-1.6291242521843528E-2</v>
      </c>
      <c r="I1041" s="12">
        <f>(PrincipalesVariables[[#This Row],[Dólar  mayorista]]-E1040)/E1040</f>
        <v>-4.8712595685454774E-3</v>
      </c>
      <c r="J1041" s="12">
        <f>(PrincipalesVariables[[#This Row],[Reservas internacionales]]-F1040)/F1040</f>
        <v>-3.8837597519844648E-3</v>
      </c>
    </row>
    <row r="1042" spans="1:10" ht="15.75" thickBot="1" x14ac:dyDescent="0.3">
      <c r="A1042" s="14">
        <v>42478</v>
      </c>
      <c r="B1042" s="15">
        <v>42478</v>
      </c>
      <c r="C1042" s="16">
        <v>572381</v>
      </c>
      <c r="D1042" s="10">
        <f>PrincipalesVariables[[#This Row],[Base monetaria]]/1000000</f>
        <v>0.57238100000000003</v>
      </c>
      <c r="E1042" s="10">
        <v>14.14</v>
      </c>
      <c r="F1042" s="11">
        <v>29224</v>
      </c>
      <c r="H1042" s="12">
        <f>(PrincipalesVariables[[#This Row],[Base monetaria]]-C1041)/C1041</f>
        <v>-1.0519200782759921E-2</v>
      </c>
      <c r="I1042" s="12">
        <f>(PrincipalesVariables[[#This Row],[Dólar  mayorista]]-E1041)/E1041</f>
        <v>-1.1188811188811197E-2</v>
      </c>
      <c r="J1042" s="12">
        <f>(PrincipalesVariables[[#This Row],[Reservas internacionales]]-F1041)/F1041</f>
        <v>-5.1301344095215293E-4</v>
      </c>
    </row>
    <row r="1043" spans="1:10" ht="15.75" thickBot="1" x14ac:dyDescent="0.3">
      <c r="A1043" s="14">
        <v>42479</v>
      </c>
      <c r="B1043" s="15">
        <v>42479</v>
      </c>
      <c r="C1043" s="16">
        <v>580944</v>
      </c>
      <c r="D1043" s="10">
        <f>PrincipalesVariables[[#This Row],[Base monetaria]]/1000000</f>
        <v>0.58094400000000002</v>
      </c>
      <c r="E1043" s="10">
        <v>14.14</v>
      </c>
      <c r="F1043" s="11">
        <v>29295</v>
      </c>
      <c r="H1043" s="12">
        <f>(PrincipalesVariables[[#This Row],[Base monetaria]]-C1042)/C1042</f>
        <v>1.4960314895148511E-2</v>
      </c>
      <c r="I1043" s="12">
        <f>(PrincipalesVariables[[#This Row],[Dólar  mayorista]]-E1042)/E1042</f>
        <v>0</v>
      </c>
      <c r="J1043" s="12">
        <f>(PrincipalesVariables[[#This Row],[Reservas internacionales]]-F1042)/F1042</f>
        <v>2.429509991787572E-3</v>
      </c>
    </row>
    <row r="1044" spans="1:10" ht="15.75" thickBot="1" x14ac:dyDescent="0.3">
      <c r="A1044" s="14">
        <v>42480</v>
      </c>
      <c r="B1044" s="15">
        <v>42480</v>
      </c>
      <c r="C1044" s="16">
        <v>579752</v>
      </c>
      <c r="D1044" s="10">
        <f>PrincipalesVariables[[#This Row],[Base monetaria]]/1000000</f>
        <v>0.57975200000000005</v>
      </c>
      <c r="E1044" s="10">
        <v>14.24</v>
      </c>
      <c r="F1044" s="11">
        <v>29254</v>
      </c>
      <c r="H1044" s="12">
        <f>(PrincipalesVariables[[#This Row],[Base monetaria]]-C1043)/C1043</f>
        <v>-2.0518328789005482E-3</v>
      </c>
      <c r="I1044" s="12">
        <f>(PrincipalesVariables[[#This Row],[Dólar  mayorista]]-E1043)/E1043</f>
        <v>7.0721357850070466E-3</v>
      </c>
      <c r="J1044" s="12">
        <f>(PrincipalesVariables[[#This Row],[Reservas internacionales]]-F1043)/F1043</f>
        <v>-1.3995562382659156E-3</v>
      </c>
    </row>
    <row r="1045" spans="1:10" ht="15.75" thickBot="1" x14ac:dyDescent="0.3">
      <c r="A1045" s="14">
        <v>42481</v>
      </c>
      <c r="B1045" s="15">
        <v>42481</v>
      </c>
      <c r="C1045" s="16">
        <v>565974</v>
      </c>
      <c r="D1045" s="10">
        <f>PrincipalesVariables[[#This Row],[Base monetaria]]/1000000</f>
        <v>0.56597399999999998</v>
      </c>
      <c r="E1045" s="10">
        <v>14.36</v>
      </c>
      <c r="F1045" s="11">
        <v>29186</v>
      </c>
      <c r="H1045" s="12">
        <f>(PrincipalesVariables[[#This Row],[Base monetaria]]-C1044)/C1044</f>
        <v>-2.3765334142874885E-2</v>
      </c>
      <c r="I1045" s="12">
        <f>(PrincipalesVariables[[#This Row],[Dólar  mayorista]]-E1044)/E1044</f>
        <v>8.4269662921347757E-3</v>
      </c>
      <c r="J1045" s="12">
        <f>(PrincipalesVariables[[#This Row],[Reservas internacionales]]-F1044)/F1044</f>
        <v>-2.3244684487591441E-3</v>
      </c>
    </row>
    <row r="1046" spans="1:10" ht="15.75" thickBot="1" x14ac:dyDescent="0.3">
      <c r="A1046" s="14">
        <v>42482</v>
      </c>
      <c r="B1046" s="15">
        <v>42482</v>
      </c>
      <c r="C1046" s="16">
        <v>565377</v>
      </c>
      <c r="D1046" s="10">
        <f>PrincipalesVariables[[#This Row],[Base monetaria]]/1000000</f>
        <v>0.56537700000000002</v>
      </c>
      <c r="E1046" s="10">
        <v>14.46</v>
      </c>
      <c r="F1046" s="11">
        <v>35043</v>
      </c>
      <c r="H1046" s="12">
        <f>(PrincipalesVariables[[#This Row],[Base monetaria]]-C1045)/C1045</f>
        <v>-1.054818772593794E-3</v>
      </c>
      <c r="I1046" s="12">
        <f>(PrincipalesVariables[[#This Row],[Dólar  mayorista]]-E1045)/E1045</f>
        <v>6.9637883008357541E-3</v>
      </c>
      <c r="J1046" s="12">
        <f>(PrincipalesVariables[[#This Row],[Reservas internacionales]]-F1045)/F1045</f>
        <v>0.2006784074556294</v>
      </c>
    </row>
    <row r="1047" spans="1:10" ht="15.75" thickBot="1" x14ac:dyDescent="0.3">
      <c r="A1047" s="14">
        <v>42485</v>
      </c>
      <c r="B1047" s="15">
        <v>42485</v>
      </c>
      <c r="C1047" s="16">
        <v>564569</v>
      </c>
      <c r="D1047" s="10">
        <f>PrincipalesVariables[[#This Row],[Base monetaria]]/1000000</f>
        <v>0.56456899999999999</v>
      </c>
      <c r="E1047" s="10">
        <v>14.33</v>
      </c>
      <c r="F1047" s="11">
        <v>35009</v>
      </c>
      <c r="H1047" s="12">
        <f>(PrincipalesVariables[[#This Row],[Base monetaria]]-C1046)/C1046</f>
        <v>-1.4291348958305698E-3</v>
      </c>
      <c r="I1047" s="12">
        <f>(PrincipalesVariables[[#This Row],[Dólar  mayorista]]-E1046)/E1046</f>
        <v>-8.9903181189488774E-3</v>
      </c>
      <c r="J1047" s="12">
        <f>(PrincipalesVariables[[#This Row],[Reservas internacionales]]-F1046)/F1046</f>
        <v>-9.7023656650400936E-4</v>
      </c>
    </row>
    <row r="1048" spans="1:10" ht="15.75" thickBot="1" x14ac:dyDescent="0.3">
      <c r="A1048" s="14">
        <v>42486</v>
      </c>
      <c r="B1048" s="15">
        <v>42486</v>
      </c>
      <c r="C1048" s="16">
        <v>570000</v>
      </c>
      <c r="D1048" s="10">
        <f>PrincipalesVariables[[#This Row],[Base monetaria]]/1000000</f>
        <v>0.56999999999999995</v>
      </c>
      <c r="E1048" s="10">
        <v>14.31</v>
      </c>
      <c r="F1048" s="11">
        <v>34906</v>
      </c>
      <c r="H1048" s="12">
        <f>(PrincipalesVariables[[#This Row],[Base monetaria]]-C1047)/C1047</f>
        <v>9.6197276152250651E-3</v>
      </c>
      <c r="I1048" s="12">
        <f>(PrincipalesVariables[[#This Row],[Dólar  mayorista]]-E1047)/E1047</f>
        <v>-1.3956734124214636E-3</v>
      </c>
      <c r="J1048" s="12">
        <f>(PrincipalesVariables[[#This Row],[Reservas internacionales]]-F1047)/F1047</f>
        <v>-2.9421006027021625E-3</v>
      </c>
    </row>
    <row r="1049" spans="1:10" ht="15.75" thickBot="1" x14ac:dyDescent="0.3">
      <c r="A1049" s="14">
        <v>42487</v>
      </c>
      <c r="B1049" s="15">
        <v>42487</v>
      </c>
      <c r="C1049" s="16">
        <v>576339</v>
      </c>
      <c r="D1049" s="10">
        <f>PrincipalesVariables[[#This Row],[Base monetaria]]/1000000</f>
        <v>0.57633900000000005</v>
      </c>
      <c r="E1049" s="10">
        <v>14.24</v>
      </c>
      <c r="F1049" s="11">
        <v>34741</v>
      </c>
      <c r="H1049" s="12">
        <f>(PrincipalesVariables[[#This Row],[Base monetaria]]-C1048)/C1048</f>
        <v>1.1121052631578948E-2</v>
      </c>
      <c r="I1049" s="12">
        <f>(PrincipalesVariables[[#This Row],[Dólar  mayorista]]-E1048)/E1048</f>
        <v>-4.8916841369671758E-3</v>
      </c>
      <c r="J1049" s="12">
        <f>(PrincipalesVariables[[#This Row],[Reservas internacionales]]-F1048)/F1048</f>
        <v>-4.7269810347791213E-3</v>
      </c>
    </row>
    <row r="1050" spans="1:10" ht="15.75" thickBot="1" x14ac:dyDescent="0.3">
      <c r="A1050" s="14">
        <v>42488</v>
      </c>
      <c r="B1050" s="15">
        <v>42488</v>
      </c>
      <c r="C1050" s="16">
        <v>572872</v>
      </c>
      <c r="D1050" s="10">
        <f>PrincipalesVariables[[#This Row],[Base monetaria]]/1000000</f>
        <v>0.57287200000000005</v>
      </c>
      <c r="E1050" s="10">
        <v>14.17</v>
      </c>
      <c r="F1050" s="11">
        <v>34655</v>
      </c>
      <c r="H1050" s="12">
        <f>(PrincipalesVariables[[#This Row],[Base monetaria]]-C1049)/C1049</f>
        <v>-6.0155568163875774E-3</v>
      </c>
      <c r="I1050" s="12">
        <f>(PrincipalesVariables[[#This Row],[Dólar  mayorista]]-E1049)/E1049</f>
        <v>-4.9157303370786715E-3</v>
      </c>
      <c r="J1050" s="12">
        <f>(PrincipalesVariables[[#This Row],[Reservas internacionales]]-F1049)/F1049</f>
        <v>-2.4754612705448894E-3</v>
      </c>
    </row>
    <row r="1051" spans="1:10" ht="15.75" thickBot="1" x14ac:dyDescent="0.3">
      <c r="A1051" s="14">
        <v>42489</v>
      </c>
      <c r="B1051" s="15">
        <v>42489</v>
      </c>
      <c r="C1051" s="16">
        <v>572568</v>
      </c>
      <c r="D1051" s="10">
        <f>PrincipalesVariables[[#This Row],[Base monetaria]]/1000000</f>
        <v>0.57256799999999997</v>
      </c>
      <c r="E1051" s="10">
        <v>14.26</v>
      </c>
      <c r="F1051" s="11">
        <v>34380</v>
      </c>
      <c r="H1051" s="12">
        <f>(PrincipalesVariables[[#This Row],[Base monetaria]]-C1050)/C1050</f>
        <v>-5.306595539666802E-4</v>
      </c>
      <c r="I1051" s="12">
        <f>(PrincipalesVariables[[#This Row],[Dólar  mayorista]]-E1050)/E1050</f>
        <v>6.3514467184191854E-3</v>
      </c>
      <c r="J1051" s="12">
        <f>(PrincipalesVariables[[#This Row],[Reservas internacionales]]-F1050)/F1050</f>
        <v>-7.935362862501804E-3</v>
      </c>
    </row>
    <row r="1052" spans="1:10" ht="15.75" thickBot="1" x14ac:dyDescent="0.3">
      <c r="A1052" s="14">
        <v>42492</v>
      </c>
      <c r="B1052" s="15">
        <v>42492</v>
      </c>
      <c r="C1052" s="16">
        <v>598835</v>
      </c>
      <c r="D1052" s="10">
        <f>PrincipalesVariables[[#This Row],[Base monetaria]]/1000000</f>
        <v>0.59883500000000001</v>
      </c>
      <c r="E1052" s="10">
        <v>14.26</v>
      </c>
      <c r="F1052" s="11">
        <v>34314</v>
      </c>
      <c r="H1052" s="12">
        <f>(PrincipalesVariables[[#This Row],[Base monetaria]]-C1051)/C1051</f>
        <v>4.5875773707227785E-2</v>
      </c>
      <c r="I1052" s="12">
        <f>(PrincipalesVariables[[#This Row],[Dólar  mayorista]]-E1051)/E1051</f>
        <v>0</v>
      </c>
      <c r="J1052" s="12">
        <f>(PrincipalesVariables[[#This Row],[Reservas internacionales]]-F1051)/F1051</f>
        <v>-1.9197207678883072E-3</v>
      </c>
    </row>
    <row r="1053" spans="1:10" ht="15.75" thickBot="1" x14ac:dyDescent="0.3">
      <c r="A1053" s="14">
        <v>42493</v>
      </c>
      <c r="B1053" s="15">
        <v>42493</v>
      </c>
      <c r="C1053" s="16">
        <v>596967</v>
      </c>
      <c r="D1053" s="10">
        <f>PrincipalesVariables[[#This Row],[Base monetaria]]/1000000</f>
        <v>0.59696700000000003</v>
      </c>
      <c r="E1053" s="10">
        <v>14.21</v>
      </c>
      <c r="F1053" s="11">
        <v>34220</v>
      </c>
      <c r="H1053" s="12">
        <f>(PrincipalesVariables[[#This Row],[Base monetaria]]-C1052)/C1052</f>
        <v>-3.1193901492063757E-3</v>
      </c>
      <c r="I1053" s="12">
        <f>(PrincipalesVariables[[#This Row],[Dólar  mayorista]]-E1052)/E1052</f>
        <v>-3.5063113604487332E-3</v>
      </c>
      <c r="J1053" s="12">
        <f>(PrincipalesVariables[[#This Row],[Reservas internacionales]]-F1052)/F1052</f>
        <v>-2.7394066561753222E-3</v>
      </c>
    </row>
    <row r="1054" spans="1:10" ht="15.75" thickBot="1" x14ac:dyDescent="0.3">
      <c r="A1054" s="14">
        <v>42494</v>
      </c>
      <c r="B1054" s="15">
        <v>42494</v>
      </c>
      <c r="C1054" s="16">
        <v>599080</v>
      </c>
      <c r="D1054" s="10">
        <f>PrincipalesVariables[[#This Row],[Base monetaria]]/1000000</f>
        <v>0.59907999999999995</v>
      </c>
      <c r="E1054" s="10">
        <v>14.21</v>
      </c>
      <c r="F1054" s="11">
        <v>31518</v>
      </c>
      <c r="H1054" s="12">
        <f>(PrincipalesVariables[[#This Row],[Base monetaria]]-C1053)/C1053</f>
        <v>3.5395591381098116E-3</v>
      </c>
      <c r="I1054" s="12">
        <f>(PrincipalesVariables[[#This Row],[Dólar  mayorista]]-E1053)/E1053</f>
        <v>0</v>
      </c>
      <c r="J1054" s="12">
        <f>(PrincipalesVariables[[#This Row],[Reservas internacionales]]-F1053)/F1053</f>
        <v>-7.8959672706019876E-2</v>
      </c>
    </row>
    <row r="1055" spans="1:10" ht="15.75" thickBot="1" x14ac:dyDescent="0.3">
      <c r="A1055" s="14">
        <v>42495</v>
      </c>
      <c r="B1055" s="15">
        <v>42495</v>
      </c>
      <c r="C1055" s="16">
        <v>599384</v>
      </c>
      <c r="D1055" s="10">
        <f>PrincipalesVariables[[#This Row],[Base monetaria]]/1000000</f>
        <v>0.59938400000000003</v>
      </c>
      <c r="E1055" s="10">
        <v>14.25</v>
      </c>
      <c r="F1055" s="11">
        <v>31392</v>
      </c>
      <c r="H1055" s="12">
        <f>(PrincipalesVariables[[#This Row],[Base monetaria]]-C1054)/C1054</f>
        <v>5.0744474861454233E-4</v>
      </c>
      <c r="I1055" s="12">
        <f>(PrincipalesVariables[[#This Row],[Dólar  mayorista]]-E1054)/E1054</f>
        <v>2.8149190710766462E-3</v>
      </c>
      <c r="J1055" s="12">
        <f>(PrincipalesVariables[[#This Row],[Reservas internacionales]]-F1054)/F1054</f>
        <v>-3.9977155910908054E-3</v>
      </c>
    </row>
    <row r="1056" spans="1:10" ht="15.75" thickBot="1" x14ac:dyDescent="0.3">
      <c r="A1056" s="14">
        <v>42496</v>
      </c>
      <c r="B1056" s="15">
        <v>42496</v>
      </c>
      <c r="C1056" s="16">
        <v>592367</v>
      </c>
      <c r="D1056" s="10">
        <f>PrincipalesVariables[[#This Row],[Base monetaria]]/1000000</f>
        <v>0.59236699999999998</v>
      </c>
      <c r="E1056" s="10">
        <v>14.24</v>
      </c>
      <c r="F1056" s="11">
        <v>31311</v>
      </c>
      <c r="H1056" s="12">
        <f>(PrincipalesVariables[[#This Row],[Base monetaria]]-C1055)/C1055</f>
        <v>-1.1707019206385222E-2</v>
      </c>
      <c r="I1056" s="12">
        <f>(PrincipalesVariables[[#This Row],[Dólar  mayorista]]-E1055)/E1055</f>
        <v>-7.0175438596489738E-4</v>
      </c>
      <c r="J1056" s="12">
        <f>(PrincipalesVariables[[#This Row],[Reservas internacionales]]-F1055)/F1055</f>
        <v>-2.5802752293577983E-3</v>
      </c>
    </row>
    <row r="1057" spans="1:10" ht="15.75" thickBot="1" x14ac:dyDescent="0.3">
      <c r="A1057" s="14">
        <v>42499</v>
      </c>
      <c r="B1057" s="15">
        <v>42499</v>
      </c>
      <c r="C1057" s="16">
        <v>599227</v>
      </c>
      <c r="D1057" s="10">
        <f>PrincipalesVariables[[#This Row],[Base monetaria]]/1000000</f>
        <v>0.59922699999999995</v>
      </c>
      <c r="E1057" s="10">
        <v>14.22</v>
      </c>
      <c r="F1057" s="11">
        <v>30986</v>
      </c>
      <c r="H1057" s="12">
        <f>(PrincipalesVariables[[#This Row],[Base monetaria]]-C1056)/C1056</f>
        <v>1.1580658611975346E-2</v>
      </c>
      <c r="I1057" s="12">
        <f>(PrincipalesVariables[[#This Row],[Dólar  mayorista]]-E1056)/E1056</f>
        <v>-1.4044943820224419E-3</v>
      </c>
      <c r="J1057" s="12">
        <f>(PrincipalesVariables[[#This Row],[Reservas internacionales]]-F1056)/F1056</f>
        <v>-1.0379738749960078E-2</v>
      </c>
    </row>
    <row r="1058" spans="1:10" ht="15.75" thickBot="1" x14ac:dyDescent="0.3">
      <c r="A1058" s="14">
        <v>42500</v>
      </c>
      <c r="B1058" s="15">
        <v>42500</v>
      </c>
      <c r="C1058" s="16">
        <v>589246</v>
      </c>
      <c r="D1058" s="10">
        <f>PrincipalesVariables[[#This Row],[Base monetaria]]/1000000</f>
        <v>0.58924600000000005</v>
      </c>
      <c r="E1058" s="10">
        <v>14.23</v>
      </c>
      <c r="F1058" s="11">
        <v>31077</v>
      </c>
      <c r="H1058" s="12">
        <f>(PrincipalesVariables[[#This Row],[Base monetaria]]-C1057)/C1057</f>
        <v>-1.6656459071437035E-2</v>
      </c>
      <c r="I1058" s="12">
        <f>(PrincipalesVariables[[#This Row],[Dólar  mayorista]]-E1057)/E1057</f>
        <v>7.0323488045005527E-4</v>
      </c>
      <c r="J1058" s="12">
        <f>(PrincipalesVariables[[#This Row],[Reservas internacionales]]-F1057)/F1057</f>
        <v>2.9368101723358936E-3</v>
      </c>
    </row>
    <row r="1059" spans="1:10" ht="15.75" thickBot="1" x14ac:dyDescent="0.3">
      <c r="A1059" s="14">
        <v>42501</v>
      </c>
      <c r="B1059" s="15">
        <v>42501</v>
      </c>
      <c r="C1059" s="16">
        <v>589942</v>
      </c>
      <c r="D1059" s="10">
        <f>PrincipalesVariables[[#This Row],[Base monetaria]]/1000000</f>
        <v>0.58994199999999997</v>
      </c>
      <c r="E1059" s="10">
        <v>14.22</v>
      </c>
      <c r="F1059" s="11">
        <v>31176</v>
      </c>
      <c r="H1059" s="12">
        <f>(PrincipalesVariables[[#This Row],[Base monetaria]]-C1058)/C1058</f>
        <v>1.1811705128248642E-3</v>
      </c>
      <c r="I1059" s="12">
        <f>(PrincipalesVariables[[#This Row],[Dólar  mayorista]]-E1058)/E1058</f>
        <v>-7.0274068868585995E-4</v>
      </c>
      <c r="J1059" s="12">
        <f>(PrincipalesVariables[[#This Row],[Reservas internacionales]]-F1058)/F1058</f>
        <v>3.1856356791196061E-3</v>
      </c>
    </row>
    <row r="1060" spans="1:10" ht="15.75" thickBot="1" x14ac:dyDescent="0.3">
      <c r="A1060" s="14">
        <v>42502</v>
      </c>
      <c r="B1060" s="15">
        <v>42502</v>
      </c>
      <c r="C1060" s="16">
        <v>580502</v>
      </c>
      <c r="D1060" s="10">
        <f>PrincipalesVariables[[#This Row],[Base monetaria]]/1000000</f>
        <v>0.58050199999999996</v>
      </c>
      <c r="E1060" s="10">
        <v>14.2</v>
      </c>
      <c r="F1060" s="11">
        <v>31079</v>
      </c>
      <c r="H1060" s="12">
        <f>(PrincipalesVariables[[#This Row],[Base monetaria]]-C1059)/C1059</f>
        <v>-1.600157303599337E-2</v>
      </c>
      <c r="I1060" s="12">
        <f>(PrincipalesVariables[[#This Row],[Dólar  mayorista]]-E1059)/E1059</f>
        <v>-1.4064697609002354E-3</v>
      </c>
      <c r="J1060" s="12">
        <f>(PrincipalesVariables[[#This Row],[Reservas internacionales]]-F1059)/F1059</f>
        <v>-3.1113677187580191E-3</v>
      </c>
    </row>
    <row r="1061" spans="1:10" ht="15.75" thickBot="1" x14ac:dyDescent="0.3">
      <c r="A1061" s="14">
        <v>42503</v>
      </c>
      <c r="B1061" s="15">
        <v>42503</v>
      </c>
      <c r="C1061" s="16">
        <v>583883</v>
      </c>
      <c r="D1061" s="10">
        <f>PrincipalesVariables[[#This Row],[Base monetaria]]/1000000</f>
        <v>0.58388300000000004</v>
      </c>
      <c r="E1061" s="10">
        <v>14.16</v>
      </c>
      <c r="F1061" s="11">
        <v>31348</v>
      </c>
      <c r="H1061" s="12">
        <f>(PrincipalesVariables[[#This Row],[Base monetaria]]-C1060)/C1060</f>
        <v>5.8242693392959888E-3</v>
      </c>
      <c r="I1061" s="12">
        <f>(PrincipalesVariables[[#This Row],[Dólar  mayorista]]-E1060)/E1060</f>
        <v>-2.8169014084506445E-3</v>
      </c>
      <c r="J1061" s="12">
        <f>(PrincipalesVariables[[#This Row],[Reservas internacionales]]-F1060)/F1060</f>
        <v>8.6553621416390492E-3</v>
      </c>
    </row>
    <row r="1062" spans="1:10" ht="15.75" thickBot="1" x14ac:dyDescent="0.3">
      <c r="A1062" s="14">
        <v>42506</v>
      </c>
      <c r="B1062" s="15">
        <v>42506</v>
      </c>
      <c r="C1062" s="16">
        <v>582949</v>
      </c>
      <c r="D1062" s="10">
        <f>PrincipalesVariables[[#This Row],[Base monetaria]]/1000000</f>
        <v>0.58294900000000005</v>
      </c>
      <c r="E1062" s="10">
        <v>14.15</v>
      </c>
      <c r="F1062" s="11">
        <v>31356</v>
      </c>
      <c r="H1062" s="12">
        <f>(PrincipalesVariables[[#This Row],[Base monetaria]]-C1061)/C1061</f>
        <v>-1.5996355434222268E-3</v>
      </c>
      <c r="I1062" s="12">
        <f>(PrincipalesVariables[[#This Row],[Dólar  mayorista]]-E1061)/E1061</f>
        <v>-7.0621468926552165E-4</v>
      </c>
      <c r="J1062" s="12">
        <f>(PrincipalesVariables[[#This Row],[Reservas internacionales]]-F1061)/F1061</f>
        <v>2.5519969376036747E-4</v>
      </c>
    </row>
    <row r="1063" spans="1:10" ht="15.75" thickBot="1" x14ac:dyDescent="0.3">
      <c r="A1063" s="14">
        <v>42507</v>
      </c>
      <c r="B1063" s="15">
        <v>42507</v>
      </c>
      <c r="C1063" s="16">
        <v>588529</v>
      </c>
      <c r="D1063" s="10">
        <f>PrincipalesVariables[[#This Row],[Base monetaria]]/1000000</f>
        <v>0.58852899999999997</v>
      </c>
      <c r="E1063" s="10">
        <v>14.13</v>
      </c>
      <c r="F1063" s="11">
        <v>31632</v>
      </c>
      <c r="H1063" s="12">
        <f>(PrincipalesVariables[[#This Row],[Base monetaria]]-C1062)/C1062</f>
        <v>9.5720208800426799E-3</v>
      </c>
      <c r="I1063" s="12">
        <f>(PrincipalesVariables[[#This Row],[Dólar  mayorista]]-E1062)/E1062</f>
        <v>-1.4134275618374256E-3</v>
      </c>
      <c r="J1063" s="12">
        <f>(PrincipalesVariables[[#This Row],[Reservas internacionales]]-F1062)/F1062</f>
        <v>8.802143130501339E-3</v>
      </c>
    </row>
    <row r="1064" spans="1:10" ht="15.75" thickBot="1" x14ac:dyDescent="0.3">
      <c r="A1064" s="14">
        <v>42508</v>
      </c>
      <c r="B1064" s="15">
        <v>42508</v>
      </c>
      <c r="C1064" s="16">
        <v>581677</v>
      </c>
      <c r="D1064" s="10">
        <f>PrincipalesVariables[[#This Row],[Base monetaria]]/1000000</f>
        <v>0.581677</v>
      </c>
      <c r="E1064" s="10">
        <v>14.11</v>
      </c>
      <c r="F1064" s="11">
        <v>31645</v>
      </c>
      <c r="H1064" s="12">
        <f>(PrincipalesVariables[[#This Row],[Base monetaria]]-C1063)/C1063</f>
        <v>-1.1642586856382609E-2</v>
      </c>
      <c r="I1064" s="12">
        <f>(PrincipalesVariables[[#This Row],[Dólar  mayorista]]-E1063)/E1063</f>
        <v>-1.4154281670206192E-3</v>
      </c>
      <c r="J1064" s="12">
        <f>(PrincipalesVariables[[#This Row],[Reservas internacionales]]-F1063)/F1063</f>
        <v>4.1097622660596865E-4</v>
      </c>
    </row>
    <row r="1065" spans="1:10" ht="15.75" thickBot="1" x14ac:dyDescent="0.3">
      <c r="A1065" s="14">
        <v>42509</v>
      </c>
      <c r="B1065" s="15">
        <v>42509</v>
      </c>
      <c r="C1065" s="16">
        <v>576594</v>
      </c>
      <c r="D1065" s="10">
        <f>PrincipalesVariables[[#This Row],[Base monetaria]]/1000000</f>
        <v>0.57659400000000005</v>
      </c>
      <c r="E1065" s="10">
        <v>14.12</v>
      </c>
      <c r="F1065" s="11">
        <v>32088</v>
      </c>
      <c r="H1065" s="12">
        <f>(PrincipalesVariables[[#This Row],[Base monetaria]]-C1064)/C1064</f>
        <v>-8.738526708121518E-3</v>
      </c>
      <c r="I1065" s="12">
        <f>(PrincipalesVariables[[#This Row],[Dólar  mayorista]]-E1064)/E1064</f>
        <v>7.0871722182847539E-4</v>
      </c>
      <c r="J1065" s="12">
        <f>(PrincipalesVariables[[#This Row],[Reservas internacionales]]-F1064)/F1064</f>
        <v>1.3999051982935693E-2</v>
      </c>
    </row>
    <row r="1066" spans="1:10" ht="15.75" thickBot="1" x14ac:dyDescent="0.3">
      <c r="A1066" s="14">
        <v>42510</v>
      </c>
      <c r="B1066" s="15">
        <v>42510</v>
      </c>
      <c r="C1066" s="16">
        <v>582521</v>
      </c>
      <c r="D1066" s="10">
        <f>PrincipalesVariables[[#This Row],[Base monetaria]]/1000000</f>
        <v>0.58252099999999996</v>
      </c>
      <c r="E1066" s="10">
        <v>14.08</v>
      </c>
      <c r="F1066" s="11">
        <v>32033</v>
      </c>
      <c r="H1066" s="12">
        <f>(PrincipalesVariables[[#This Row],[Base monetaria]]-C1065)/C1065</f>
        <v>1.0279329996496668E-2</v>
      </c>
      <c r="I1066" s="12">
        <f>(PrincipalesVariables[[#This Row],[Dólar  mayorista]]-E1065)/E1065</f>
        <v>-2.8328611898016396E-3</v>
      </c>
      <c r="J1066" s="12">
        <f>(PrincipalesVariables[[#This Row],[Reservas internacionales]]-F1065)/F1065</f>
        <v>-1.7140363999002743E-3</v>
      </c>
    </row>
    <row r="1067" spans="1:10" ht="15.75" thickBot="1" x14ac:dyDescent="0.3">
      <c r="A1067" s="14">
        <v>42513</v>
      </c>
      <c r="B1067" s="15">
        <v>42513</v>
      </c>
      <c r="C1067" s="16">
        <v>580783</v>
      </c>
      <c r="D1067" s="10">
        <f>PrincipalesVariables[[#This Row],[Base monetaria]]/1000000</f>
        <v>0.58078300000000005</v>
      </c>
      <c r="E1067" s="10">
        <v>14.01</v>
      </c>
      <c r="F1067" s="11">
        <v>32268</v>
      </c>
      <c r="H1067" s="12">
        <f>(PrincipalesVariables[[#This Row],[Base monetaria]]-C1066)/C1066</f>
        <v>-2.983583424460234E-3</v>
      </c>
      <c r="I1067" s="12">
        <f>(PrincipalesVariables[[#This Row],[Dólar  mayorista]]-E1066)/E1066</f>
        <v>-4.971590909090929E-3</v>
      </c>
      <c r="J1067" s="12">
        <f>(PrincipalesVariables[[#This Row],[Reservas internacionales]]-F1066)/F1066</f>
        <v>7.3361845596728375E-3</v>
      </c>
    </row>
    <row r="1068" spans="1:10" ht="15.75" thickBot="1" x14ac:dyDescent="0.3">
      <c r="A1068" s="14">
        <v>42514</v>
      </c>
      <c r="B1068" s="15">
        <v>42514</v>
      </c>
      <c r="C1068" s="16">
        <v>579973</v>
      </c>
      <c r="D1068" s="10">
        <f>PrincipalesVariables[[#This Row],[Base monetaria]]/1000000</f>
        <v>0.57997299999999996</v>
      </c>
      <c r="E1068" s="10">
        <v>14.02</v>
      </c>
      <c r="F1068" s="11">
        <v>31643</v>
      </c>
      <c r="H1068" s="12">
        <f>(PrincipalesVariables[[#This Row],[Base monetaria]]-C1067)/C1067</f>
        <v>-1.3946689210944535E-3</v>
      </c>
      <c r="I1068" s="12">
        <f>(PrincipalesVariables[[#This Row],[Dólar  mayorista]]-E1067)/E1067</f>
        <v>7.1377587437543093E-4</v>
      </c>
      <c r="J1068" s="12">
        <f>(PrincipalesVariables[[#This Row],[Reservas internacionales]]-F1067)/F1067</f>
        <v>-1.9369034337424075E-2</v>
      </c>
    </row>
    <row r="1069" spans="1:10" ht="15.75" thickBot="1" x14ac:dyDescent="0.3">
      <c r="A1069" s="14">
        <v>42516</v>
      </c>
      <c r="B1069" s="15">
        <v>42516</v>
      </c>
      <c r="C1069" s="16">
        <v>570735</v>
      </c>
      <c r="D1069" s="10">
        <f>PrincipalesVariables[[#This Row],[Base monetaria]]/1000000</f>
        <v>0.57073499999999999</v>
      </c>
      <c r="E1069" s="10">
        <v>14.09</v>
      </c>
      <c r="F1069" s="11">
        <v>30829</v>
      </c>
      <c r="H1069" s="12">
        <f>(PrincipalesVariables[[#This Row],[Base monetaria]]-C1068)/C1068</f>
        <v>-1.5928327698013528E-2</v>
      </c>
      <c r="I1069" s="12">
        <f>(PrincipalesVariables[[#This Row],[Dólar  mayorista]]-E1068)/E1068</f>
        <v>4.9928673323823315E-3</v>
      </c>
      <c r="J1069" s="12">
        <f>(PrincipalesVariables[[#This Row],[Reservas internacionales]]-F1068)/F1068</f>
        <v>-2.5724488828492875E-2</v>
      </c>
    </row>
    <row r="1070" spans="1:10" ht="15.75" thickBot="1" x14ac:dyDescent="0.3">
      <c r="A1070" s="14">
        <v>42517</v>
      </c>
      <c r="B1070" s="15">
        <v>42517</v>
      </c>
      <c r="C1070" s="16">
        <v>572089</v>
      </c>
      <c r="D1070" s="10">
        <f>PrincipalesVariables[[#This Row],[Base monetaria]]/1000000</f>
        <v>0.57208899999999996</v>
      </c>
      <c r="E1070" s="10">
        <v>13.99</v>
      </c>
      <c r="F1070" s="11">
        <v>30391</v>
      </c>
      <c r="H1070" s="12">
        <f>(PrincipalesVariables[[#This Row],[Base monetaria]]-C1069)/C1069</f>
        <v>2.3723794755884956E-3</v>
      </c>
      <c r="I1070" s="12">
        <f>(PrincipalesVariables[[#This Row],[Dólar  mayorista]]-E1069)/E1069</f>
        <v>-7.0972320794889738E-3</v>
      </c>
      <c r="J1070" s="12">
        <f>(PrincipalesVariables[[#This Row],[Reservas internacionales]]-F1069)/F1069</f>
        <v>-1.420740212137922E-2</v>
      </c>
    </row>
    <row r="1071" spans="1:10" ht="15.75" thickBot="1" x14ac:dyDescent="0.3">
      <c r="A1071" s="14">
        <v>42520</v>
      </c>
      <c r="B1071" s="15">
        <v>42520</v>
      </c>
      <c r="C1071" s="16">
        <v>573646</v>
      </c>
      <c r="D1071" s="10">
        <f>PrincipalesVariables[[#This Row],[Base monetaria]]/1000000</f>
        <v>0.57364599999999999</v>
      </c>
      <c r="E1071" s="10">
        <v>13.96</v>
      </c>
      <c r="F1071" s="11">
        <v>30348</v>
      </c>
      <c r="H1071" s="12">
        <f>(PrincipalesVariables[[#This Row],[Base monetaria]]-C1070)/C1070</f>
        <v>2.7216045055926614E-3</v>
      </c>
      <c r="I1071" s="12">
        <f>(PrincipalesVariables[[#This Row],[Dólar  mayorista]]-E1070)/E1070</f>
        <v>-2.1443888491779386E-3</v>
      </c>
      <c r="J1071" s="12">
        <f>(PrincipalesVariables[[#This Row],[Reservas internacionales]]-F1070)/F1070</f>
        <v>-1.414892566878352E-3</v>
      </c>
    </row>
    <row r="1072" spans="1:10" ht="15.75" thickBot="1" x14ac:dyDescent="0.3">
      <c r="A1072" s="14">
        <v>42521</v>
      </c>
      <c r="B1072" s="15">
        <v>42521</v>
      </c>
      <c r="C1072" s="16">
        <v>576156</v>
      </c>
      <c r="D1072" s="10">
        <f>PrincipalesVariables[[#This Row],[Base monetaria]]/1000000</f>
        <v>0.576156</v>
      </c>
      <c r="E1072" s="10">
        <v>14.01</v>
      </c>
      <c r="F1072" s="11">
        <v>30171</v>
      </c>
      <c r="H1072" s="12">
        <f>(PrincipalesVariables[[#This Row],[Base monetaria]]-C1071)/C1071</f>
        <v>4.3755207915683195E-3</v>
      </c>
      <c r="I1072" s="12">
        <f>(PrincipalesVariables[[#This Row],[Dólar  mayorista]]-E1071)/E1071</f>
        <v>3.581661891117402E-3</v>
      </c>
      <c r="J1072" s="12">
        <f>(PrincipalesVariables[[#This Row],[Reservas internacionales]]-F1071)/F1071</f>
        <v>-5.8323448003163303E-3</v>
      </c>
    </row>
    <row r="1073" spans="1:10" ht="15.75" thickBot="1" x14ac:dyDescent="0.3">
      <c r="A1073" s="14">
        <v>42522</v>
      </c>
      <c r="B1073" s="15">
        <v>42522</v>
      </c>
      <c r="C1073" s="16">
        <v>612292</v>
      </c>
      <c r="D1073" s="10">
        <f>PrincipalesVariables[[#This Row],[Base monetaria]]/1000000</f>
        <v>0.61229199999999995</v>
      </c>
      <c r="E1073" s="10">
        <v>13.95</v>
      </c>
      <c r="F1073" s="11">
        <v>30742</v>
      </c>
      <c r="H1073" s="12">
        <f>(PrincipalesVariables[[#This Row],[Base monetaria]]-C1072)/C1072</f>
        <v>6.2719124681509864E-2</v>
      </c>
      <c r="I1073" s="12">
        <f>(PrincipalesVariables[[#This Row],[Dólar  mayorista]]-E1072)/E1072</f>
        <v>-4.2826552462527125E-3</v>
      </c>
      <c r="J1073" s="12">
        <f>(PrincipalesVariables[[#This Row],[Reservas internacionales]]-F1072)/F1072</f>
        <v>1.8925458221470948E-2</v>
      </c>
    </row>
    <row r="1074" spans="1:10" ht="15.75" thickBot="1" x14ac:dyDescent="0.3">
      <c r="A1074" s="14">
        <v>42523</v>
      </c>
      <c r="B1074" s="15">
        <v>42523</v>
      </c>
      <c r="C1074" s="16">
        <v>609610</v>
      </c>
      <c r="D1074" s="10">
        <f>PrincipalesVariables[[#This Row],[Base monetaria]]/1000000</f>
        <v>0.60960999999999999</v>
      </c>
      <c r="E1074" s="10">
        <v>13.93</v>
      </c>
      <c r="F1074" s="11">
        <v>30757</v>
      </c>
      <c r="H1074" s="12">
        <f>(PrincipalesVariables[[#This Row],[Base monetaria]]-C1073)/C1073</f>
        <v>-4.3802630117656281E-3</v>
      </c>
      <c r="I1074" s="12">
        <f>(PrincipalesVariables[[#This Row],[Dólar  mayorista]]-E1073)/E1073</f>
        <v>-1.4336917562723709E-3</v>
      </c>
      <c r="J1074" s="12">
        <f>(PrincipalesVariables[[#This Row],[Reservas internacionales]]-F1073)/F1073</f>
        <v>4.8793181966039944E-4</v>
      </c>
    </row>
    <row r="1075" spans="1:10" ht="15.75" thickBot="1" x14ac:dyDescent="0.3">
      <c r="A1075" s="14">
        <v>42524</v>
      </c>
      <c r="B1075" s="15">
        <v>42524</v>
      </c>
      <c r="C1075" s="16">
        <v>611370</v>
      </c>
      <c r="D1075" s="10">
        <f>PrincipalesVariables[[#This Row],[Base monetaria]]/1000000</f>
        <v>0.61136999999999997</v>
      </c>
      <c r="E1075" s="10">
        <v>13.88</v>
      </c>
      <c r="F1075" s="11">
        <v>31033</v>
      </c>
      <c r="H1075" s="12">
        <f>(PrincipalesVariables[[#This Row],[Base monetaria]]-C1074)/C1074</f>
        <v>2.8870917471826248E-3</v>
      </c>
      <c r="I1075" s="12">
        <f>(PrincipalesVariables[[#This Row],[Dólar  mayorista]]-E1074)/E1074</f>
        <v>-3.5893754486718546E-3</v>
      </c>
      <c r="J1075" s="12">
        <f>(PrincipalesVariables[[#This Row],[Reservas internacionales]]-F1074)/F1074</f>
        <v>8.9735669928796696E-3</v>
      </c>
    </row>
    <row r="1076" spans="1:10" ht="15.75" thickBot="1" x14ac:dyDescent="0.3">
      <c r="A1076" s="14">
        <v>42527</v>
      </c>
      <c r="B1076" s="15">
        <v>42527</v>
      </c>
      <c r="C1076" s="16">
        <v>611881</v>
      </c>
      <c r="D1076" s="10">
        <f>PrincipalesVariables[[#This Row],[Base monetaria]]/1000000</f>
        <v>0.61188100000000001</v>
      </c>
      <c r="E1076" s="10">
        <v>13.78</v>
      </c>
      <c r="F1076" s="11">
        <v>30936</v>
      </c>
      <c r="H1076" s="12">
        <f>(PrincipalesVariables[[#This Row],[Base monetaria]]-C1075)/C1075</f>
        <v>8.3582773116116268E-4</v>
      </c>
      <c r="I1076" s="12">
        <f>(PrincipalesVariables[[#This Row],[Dólar  mayorista]]-E1075)/E1075</f>
        <v>-7.2046109510087476E-3</v>
      </c>
      <c r="J1076" s="12">
        <f>(PrincipalesVariables[[#This Row],[Reservas internacionales]]-F1075)/F1075</f>
        <v>-3.1257048947894179E-3</v>
      </c>
    </row>
    <row r="1077" spans="1:10" ht="15.75" thickBot="1" x14ac:dyDescent="0.3">
      <c r="A1077" s="14">
        <v>42528</v>
      </c>
      <c r="B1077" s="15">
        <v>42528</v>
      </c>
      <c r="C1077" s="16">
        <v>609767</v>
      </c>
      <c r="D1077" s="10">
        <f>PrincipalesVariables[[#This Row],[Base monetaria]]/1000000</f>
        <v>0.60976699999999995</v>
      </c>
      <c r="E1077" s="10">
        <v>13.8</v>
      </c>
      <c r="F1077" s="11">
        <v>30849</v>
      </c>
      <c r="H1077" s="12">
        <f>(PrincipalesVariables[[#This Row],[Base monetaria]]-C1076)/C1076</f>
        <v>-3.4549201560434136E-3</v>
      </c>
      <c r="I1077" s="12">
        <f>(PrincipalesVariables[[#This Row],[Dólar  mayorista]]-E1076)/E1076</f>
        <v>1.4513788098694739E-3</v>
      </c>
      <c r="J1077" s="12">
        <f>(PrincipalesVariables[[#This Row],[Reservas internacionales]]-F1076)/F1076</f>
        <v>-2.8122575640031032E-3</v>
      </c>
    </row>
    <row r="1078" spans="1:10" ht="15.75" thickBot="1" x14ac:dyDescent="0.3">
      <c r="A1078" s="14">
        <v>42529</v>
      </c>
      <c r="B1078" s="15">
        <v>42529</v>
      </c>
      <c r="C1078" s="16">
        <v>622173</v>
      </c>
      <c r="D1078" s="10">
        <f>PrincipalesVariables[[#This Row],[Base monetaria]]/1000000</f>
        <v>0.62217299999999998</v>
      </c>
      <c r="E1078" s="10">
        <v>13.84</v>
      </c>
      <c r="F1078" s="11">
        <v>30987</v>
      </c>
      <c r="H1078" s="12">
        <f>(PrincipalesVariables[[#This Row],[Base monetaria]]-C1077)/C1077</f>
        <v>2.0345476222885135E-2</v>
      </c>
      <c r="I1078" s="12">
        <f>(PrincipalesVariables[[#This Row],[Dólar  mayorista]]-E1077)/E1077</f>
        <v>2.8985507246376192E-3</v>
      </c>
      <c r="J1078" s="12">
        <f>(PrincipalesVariables[[#This Row],[Reservas internacionales]]-F1077)/F1077</f>
        <v>4.4734027034911989E-3</v>
      </c>
    </row>
    <row r="1079" spans="1:10" ht="15.75" thickBot="1" x14ac:dyDescent="0.3">
      <c r="A1079" s="14">
        <v>42530</v>
      </c>
      <c r="B1079" s="15">
        <v>42530</v>
      </c>
      <c r="C1079" s="16">
        <v>620708</v>
      </c>
      <c r="D1079" s="10">
        <f>PrincipalesVariables[[#This Row],[Base monetaria]]/1000000</f>
        <v>0.62070800000000004</v>
      </c>
      <c r="E1079" s="10">
        <v>13.85</v>
      </c>
      <c r="F1079" s="11">
        <v>30981</v>
      </c>
      <c r="H1079" s="12">
        <f>(PrincipalesVariables[[#This Row],[Base monetaria]]-C1078)/C1078</f>
        <v>-2.3546505553921496E-3</v>
      </c>
      <c r="I1079" s="12">
        <f>(PrincipalesVariables[[#This Row],[Dólar  mayorista]]-E1078)/E1078</f>
        <v>7.2254335260114064E-4</v>
      </c>
      <c r="J1079" s="12">
        <f>(PrincipalesVariables[[#This Row],[Reservas internacionales]]-F1078)/F1078</f>
        <v>-1.9362958660083262E-4</v>
      </c>
    </row>
    <row r="1080" spans="1:10" ht="15.75" thickBot="1" x14ac:dyDescent="0.3">
      <c r="A1080" s="14">
        <v>42531</v>
      </c>
      <c r="B1080" s="15">
        <v>42531</v>
      </c>
      <c r="C1080" s="16">
        <v>622070</v>
      </c>
      <c r="D1080" s="10">
        <f>PrincipalesVariables[[#This Row],[Base monetaria]]/1000000</f>
        <v>0.62207000000000001</v>
      </c>
      <c r="E1080" s="10">
        <v>13.82</v>
      </c>
      <c r="F1080" s="11">
        <v>31354</v>
      </c>
      <c r="H1080" s="12">
        <f>(PrincipalesVariables[[#This Row],[Base monetaria]]-C1079)/C1079</f>
        <v>2.1942684805093537E-3</v>
      </c>
      <c r="I1080" s="12">
        <f>(PrincipalesVariables[[#This Row],[Dólar  mayorista]]-E1079)/E1079</f>
        <v>-2.1660649819494125E-3</v>
      </c>
      <c r="J1080" s="12">
        <f>(PrincipalesVariables[[#This Row],[Reservas internacionales]]-F1079)/F1079</f>
        <v>1.2039637196991705E-2</v>
      </c>
    </row>
    <row r="1081" spans="1:10" ht="15.75" thickBot="1" x14ac:dyDescent="0.3">
      <c r="A1081" s="14">
        <v>42534</v>
      </c>
      <c r="B1081" s="15">
        <v>42534</v>
      </c>
      <c r="C1081" s="16">
        <v>618412</v>
      </c>
      <c r="D1081" s="10">
        <f>PrincipalesVariables[[#This Row],[Base monetaria]]/1000000</f>
        <v>0.61841199999999996</v>
      </c>
      <c r="E1081" s="10">
        <v>13.8</v>
      </c>
      <c r="F1081" s="11">
        <v>31263</v>
      </c>
      <c r="H1081" s="12">
        <f>(PrincipalesVariables[[#This Row],[Base monetaria]]-C1080)/C1080</f>
        <v>-5.8803671612519494E-3</v>
      </c>
      <c r="I1081" s="12">
        <f>(PrincipalesVariables[[#This Row],[Dólar  mayorista]]-E1080)/E1080</f>
        <v>-1.4471780028943251E-3</v>
      </c>
      <c r="J1081" s="12">
        <f>(PrincipalesVariables[[#This Row],[Reservas internacionales]]-F1080)/F1080</f>
        <v>-2.9023410091216432E-3</v>
      </c>
    </row>
    <row r="1082" spans="1:10" ht="15.75" thickBot="1" x14ac:dyDescent="0.3">
      <c r="A1082" s="14">
        <v>42535</v>
      </c>
      <c r="B1082" s="15">
        <v>42535</v>
      </c>
      <c r="C1082" s="16">
        <v>612542</v>
      </c>
      <c r="D1082" s="10">
        <f>PrincipalesVariables[[#This Row],[Base monetaria]]/1000000</f>
        <v>0.61254200000000003</v>
      </c>
      <c r="E1082" s="10">
        <v>13.77</v>
      </c>
      <c r="F1082" s="11">
        <v>31219</v>
      </c>
      <c r="H1082" s="12">
        <f>(PrincipalesVariables[[#This Row],[Base monetaria]]-C1081)/C1081</f>
        <v>-9.4920538411285681E-3</v>
      </c>
      <c r="I1082" s="12">
        <f>(PrincipalesVariables[[#This Row],[Dólar  mayorista]]-E1081)/E1081</f>
        <v>-2.1739130434783433E-3</v>
      </c>
      <c r="J1082" s="12">
        <f>(PrincipalesVariables[[#This Row],[Reservas internacionales]]-F1081)/F1081</f>
        <v>-1.4074145155615265E-3</v>
      </c>
    </row>
    <row r="1083" spans="1:10" ht="15.75" thickBot="1" x14ac:dyDescent="0.3">
      <c r="A1083" s="14">
        <v>42536</v>
      </c>
      <c r="B1083" s="15">
        <v>42536</v>
      </c>
      <c r="C1083" s="16">
        <v>626544</v>
      </c>
      <c r="D1083" s="10">
        <f>PrincipalesVariables[[#This Row],[Base monetaria]]/1000000</f>
        <v>0.62654399999999999</v>
      </c>
      <c r="E1083" s="10">
        <v>13.76</v>
      </c>
      <c r="F1083" s="11">
        <v>32190</v>
      </c>
      <c r="H1083" s="12">
        <f>(PrincipalesVariables[[#This Row],[Base monetaria]]-C1082)/C1082</f>
        <v>2.2858840699903026E-2</v>
      </c>
      <c r="I1083" s="12">
        <f>(PrincipalesVariables[[#This Row],[Dólar  mayorista]]-E1082)/E1082</f>
        <v>-7.2621641249090679E-4</v>
      </c>
      <c r="J1083" s="12">
        <f>(PrincipalesVariables[[#This Row],[Reservas internacionales]]-F1082)/F1082</f>
        <v>3.1102854031198949E-2</v>
      </c>
    </row>
    <row r="1084" spans="1:10" ht="15.75" thickBot="1" x14ac:dyDescent="0.3">
      <c r="A1084" s="14">
        <v>42537</v>
      </c>
      <c r="B1084" s="15">
        <v>42537</v>
      </c>
      <c r="C1084" s="16">
        <v>613872</v>
      </c>
      <c r="D1084" s="10">
        <f>PrincipalesVariables[[#This Row],[Base monetaria]]/1000000</f>
        <v>0.61387199999999997</v>
      </c>
      <c r="E1084" s="10">
        <v>13.79</v>
      </c>
      <c r="F1084" s="11">
        <v>32137</v>
      </c>
      <c r="H1084" s="12">
        <f>(PrincipalesVariables[[#This Row],[Base monetaria]]-C1083)/C1083</f>
        <v>-2.022523557802804E-2</v>
      </c>
      <c r="I1084" s="12">
        <f>(PrincipalesVariables[[#This Row],[Dólar  mayorista]]-E1083)/E1083</f>
        <v>2.1802325581394884E-3</v>
      </c>
      <c r="J1084" s="12">
        <f>(PrincipalesVariables[[#This Row],[Reservas internacionales]]-F1083)/F1083</f>
        <v>-1.6464740602671636E-3</v>
      </c>
    </row>
    <row r="1085" spans="1:10" ht="15.75" thickBot="1" x14ac:dyDescent="0.3">
      <c r="A1085" s="14">
        <v>42542</v>
      </c>
      <c r="B1085" s="15">
        <v>42542</v>
      </c>
      <c r="C1085" s="16">
        <v>620644</v>
      </c>
      <c r="D1085" s="10">
        <f>PrincipalesVariables[[#This Row],[Base monetaria]]/1000000</f>
        <v>0.62064399999999997</v>
      </c>
      <c r="E1085" s="10">
        <v>13.88</v>
      </c>
      <c r="F1085" s="11">
        <v>32095</v>
      </c>
      <c r="H1085" s="12">
        <f>(PrincipalesVariables[[#This Row],[Base monetaria]]-C1084)/C1084</f>
        <v>1.1031615711418667E-2</v>
      </c>
      <c r="I1085" s="12">
        <f>(PrincipalesVariables[[#This Row],[Dólar  mayorista]]-E1084)/E1084</f>
        <v>6.5264684554025842E-3</v>
      </c>
      <c r="J1085" s="12">
        <f>(PrincipalesVariables[[#This Row],[Reservas internacionales]]-F1084)/F1084</f>
        <v>-1.3069048137660641E-3</v>
      </c>
    </row>
    <row r="1086" spans="1:10" ht="15.75" thickBot="1" x14ac:dyDescent="0.3">
      <c r="A1086" s="14">
        <v>42543</v>
      </c>
      <c r="B1086" s="15">
        <v>42543</v>
      </c>
      <c r="C1086" s="16">
        <v>642135</v>
      </c>
      <c r="D1086" s="10">
        <f>PrincipalesVariables[[#This Row],[Base monetaria]]/1000000</f>
        <v>0.64213500000000001</v>
      </c>
      <c r="E1086" s="10">
        <v>14.03</v>
      </c>
      <c r="F1086" s="11">
        <v>32045</v>
      </c>
      <c r="H1086" s="12">
        <f>(PrincipalesVariables[[#This Row],[Base monetaria]]-C1085)/C1085</f>
        <v>3.4626935892395641E-2</v>
      </c>
      <c r="I1086" s="12">
        <f>(PrincipalesVariables[[#This Row],[Dólar  mayorista]]-E1085)/E1085</f>
        <v>1.0806916426512865E-2</v>
      </c>
      <c r="J1086" s="12">
        <f>(PrincipalesVariables[[#This Row],[Reservas internacionales]]-F1085)/F1085</f>
        <v>-1.5578750584203146E-3</v>
      </c>
    </row>
    <row r="1087" spans="1:10" ht="15.75" thickBot="1" x14ac:dyDescent="0.3">
      <c r="A1087" s="14">
        <v>42544</v>
      </c>
      <c r="B1087" s="15">
        <v>42544</v>
      </c>
      <c r="C1087" s="16">
        <v>629921</v>
      </c>
      <c r="D1087" s="10">
        <f>PrincipalesVariables[[#This Row],[Base monetaria]]/1000000</f>
        <v>0.62992099999999995</v>
      </c>
      <c r="E1087" s="10">
        <v>14.19</v>
      </c>
      <c r="F1087" s="11">
        <v>32024</v>
      </c>
      <c r="H1087" s="12">
        <f>(PrincipalesVariables[[#This Row],[Base monetaria]]-C1086)/C1086</f>
        <v>-1.9020922391708908E-2</v>
      </c>
      <c r="I1087" s="12">
        <f>(PrincipalesVariables[[#This Row],[Dólar  mayorista]]-E1086)/E1086</f>
        <v>1.1404133998574494E-2</v>
      </c>
      <c r="J1087" s="12">
        <f>(PrincipalesVariables[[#This Row],[Reservas internacionales]]-F1086)/F1086</f>
        <v>-6.5532844437509754E-4</v>
      </c>
    </row>
    <row r="1088" spans="1:10" ht="15.75" thickBot="1" x14ac:dyDescent="0.3">
      <c r="A1088" s="14">
        <v>42545</v>
      </c>
      <c r="B1088" s="15">
        <v>42545</v>
      </c>
      <c r="C1088" s="16">
        <v>620107</v>
      </c>
      <c r="D1088" s="10">
        <f>PrincipalesVariables[[#This Row],[Base monetaria]]/1000000</f>
        <v>0.62010699999999996</v>
      </c>
      <c r="E1088" s="10">
        <v>14.84</v>
      </c>
      <c r="F1088" s="11">
        <v>31858</v>
      </c>
      <c r="H1088" s="12">
        <f>(PrincipalesVariables[[#This Row],[Base monetaria]]-C1087)/C1087</f>
        <v>-1.5579731426639213E-2</v>
      </c>
      <c r="I1088" s="12">
        <f>(PrincipalesVariables[[#This Row],[Dólar  mayorista]]-E1087)/E1087</f>
        <v>4.5806906272022579E-2</v>
      </c>
      <c r="J1088" s="12">
        <f>(PrincipalesVariables[[#This Row],[Reservas internacionales]]-F1087)/F1087</f>
        <v>-5.1836122907819139E-3</v>
      </c>
    </row>
    <row r="1089" spans="1:10" ht="15.75" thickBot="1" x14ac:dyDescent="0.3">
      <c r="A1089" s="14">
        <v>42548</v>
      </c>
      <c r="B1089" s="15">
        <v>42548</v>
      </c>
      <c r="C1089" s="16">
        <v>614431</v>
      </c>
      <c r="D1089" s="10">
        <f>PrincipalesVariables[[#This Row],[Base monetaria]]/1000000</f>
        <v>0.61443099999999995</v>
      </c>
      <c r="E1089" s="10">
        <v>15.03</v>
      </c>
      <c r="F1089" s="11">
        <v>31708</v>
      </c>
      <c r="H1089" s="12">
        <f>(PrincipalesVariables[[#This Row],[Base monetaria]]-C1088)/C1088</f>
        <v>-9.1532590343279471E-3</v>
      </c>
      <c r="I1089" s="12">
        <f>(PrincipalesVariables[[#This Row],[Dólar  mayorista]]-E1088)/E1088</f>
        <v>1.2803234501347675E-2</v>
      </c>
      <c r="J1089" s="12">
        <f>(PrincipalesVariables[[#This Row],[Reservas internacionales]]-F1088)/F1088</f>
        <v>-4.7083934961391176E-3</v>
      </c>
    </row>
    <row r="1090" spans="1:10" ht="15.75" thickBot="1" x14ac:dyDescent="0.3">
      <c r="A1090" s="14">
        <v>42549</v>
      </c>
      <c r="B1090" s="15">
        <v>42549</v>
      </c>
      <c r="C1090" s="16">
        <v>611435</v>
      </c>
      <c r="D1090" s="10">
        <f>PrincipalesVariables[[#This Row],[Base monetaria]]/1000000</f>
        <v>0.61143499999999995</v>
      </c>
      <c r="E1090" s="10">
        <v>15.06</v>
      </c>
      <c r="F1090" s="11">
        <v>31707</v>
      </c>
      <c r="H1090" s="12">
        <f>(PrincipalesVariables[[#This Row],[Base monetaria]]-C1089)/C1089</f>
        <v>-4.8760560583694509E-3</v>
      </c>
      <c r="I1090" s="12">
        <f>(PrincipalesVariables[[#This Row],[Dólar  mayorista]]-E1089)/E1089</f>
        <v>1.9960079840320119E-3</v>
      </c>
      <c r="J1090" s="12">
        <f>(PrincipalesVariables[[#This Row],[Reservas internacionales]]-F1089)/F1089</f>
        <v>-3.1537782263151255E-5</v>
      </c>
    </row>
    <row r="1091" spans="1:10" ht="15.75" thickBot="1" x14ac:dyDescent="0.3">
      <c r="A1091" s="14">
        <v>42550</v>
      </c>
      <c r="B1091" s="15">
        <v>42550</v>
      </c>
      <c r="C1091" s="16">
        <v>624050</v>
      </c>
      <c r="D1091" s="10">
        <f>PrincipalesVariables[[#This Row],[Base monetaria]]/1000000</f>
        <v>0.62404999999999999</v>
      </c>
      <c r="E1091" s="10">
        <v>14.9</v>
      </c>
      <c r="F1091" s="11">
        <v>31112</v>
      </c>
      <c r="H1091" s="12">
        <f>(PrincipalesVariables[[#This Row],[Base monetaria]]-C1090)/C1090</f>
        <v>2.0631792422743218E-2</v>
      </c>
      <c r="I1091" s="12">
        <f>(PrincipalesVariables[[#This Row],[Dólar  mayorista]]-E1090)/E1090</f>
        <v>-1.0624169986719797E-2</v>
      </c>
      <c r="J1091" s="12">
        <f>(PrincipalesVariables[[#This Row],[Reservas internacionales]]-F1090)/F1090</f>
        <v>-1.8765572271107325E-2</v>
      </c>
    </row>
    <row r="1092" spans="1:10" ht="15.75" thickBot="1" x14ac:dyDescent="0.3">
      <c r="A1092" s="14">
        <v>42551</v>
      </c>
      <c r="B1092" s="15">
        <v>42551</v>
      </c>
      <c r="C1092" s="16">
        <v>631231</v>
      </c>
      <c r="D1092" s="10">
        <f>PrincipalesVariables[[#This Row],[Base monetaria]]/1000000</f>
        <v>0.63123099999999999</v>
      </c>
      <c r="E1092" s="10">
        <v>14.92</v>
      </c>
      <c r="F1092" s="11">
        <v>30507</v>
      </c>
      <c r="H1092" s="12">
        <f>(PrincipalesVariables[[#This Row],[Base monetaria]]-C1091)/C1091</f>
        <v>1.1507090777982534E-2</v>
      </c>
      <c r="I1092" s="12">
        <f>(PrincipalesVariables[[#This Row],[Dólar  mayorista]]-E1091)/E1091</f>
        <v>1.3422818791946022E-3</v>
      </c>
      <c r="J1092" s="12">
        <f>(PrincipalesVariables[[#This Row],[Reservas internacionales]]-F1091)/F1091</f>
        <v>-1.9445872975057857E-2</v>
      </c>
    </row>
    <row r="1093" spans="1:10" ht="15.75" thickBot="1" x14ac:dyDescent="0.3">
      <c r="A1093" s="14">
        <v>42552</v>
      </c>
      <c r="B1093" s="15">
        <v>42552</v>
      </c>
      <c r="C1093" s="16">
        <v>687519</v>
      </c>
      <c r="D1093" s="10">
        <f>PrincipalesVariables[[#This Row],[Base monetaria]]/1000000</f>
        <v>0.68751899999999999</v>
      </c>
      <c r="E1093" s="10">
        <v>15.12</v>
      </c>
      <c r="F1093" s="11">
        <v>30749</v>
      </c>
      <c r="H1093" s="12">
        <f>(PrincipalesVariables[[#This Row],[Base monetaria]]-C1092)/C1092</f>
        <v>8.9171792893568289E-2</v>
      </c>
      <c r="I1093" s="12">
        <f>(PrincipalesVariables[[#This Row],[Dólar  mayorista]]-E1092)/E1092</f>
        <v>1.3404825737265367E-2</v>
      </c>
      <c r="J1093" s="12">
        <f>(PrincipalesVariables[[#This Row],[Reservas internacionales]]-F1092)/F1092</f>
        <v>7.9326056314944111E-3</v>
      </c>
    </row>
    <row r="1094" spans="1:10" ht="15.75" thickBot="1" x14ac:dyDescent="0.3">
      <c r="A1094" s="14">
        <v>42555</v>
      </c>
      <c r="B1094" s="15">
        <v>42555</v>
      </c>
      <c r="C1094" s="16">
        <v>682619</v>
      </c>
      <c r="D1094" s="10">
        <f>PrincipalesVariables[[#This Row],[Base monetaria]]/1000000</f>
        <v>0.68261899999999998</v>
      </c>
      <c r="E1094" s="10">
        <v>15.07</v>
      </c>
      <c r="F1094" s="11">
        <v>30768</v>
      </c>
      <c r="H1094" s="12">
        <f>(PrincipalesVariables[[#This Row],[Base monetaria]]-C1093)/C1093</f>
        <v>-7.1270757608153379E-3</v>
      </c>
      <c r="I1094" s="12">
        <f>(PrincipalesVariables[[#This Row],[Dólar  mayorista]]-E1093)/E1093</f>
        <v>-3.3068783068782364E-3</v>
      </c>
      <c r="J1094" s="12">
        <f>(PrincipalesVariables[[#This Row],[Reservas internacionales]]-F1093)/F1093</f>
        <v>6.1790627337474395E-4</v>
      </c>
    </row>
    <row r="1095" spans="1:10" ht="15.75" thickBot="1" x14ac:dyDescent="0.3">
      <c r="A1095" s="14">
        <v>42556</v>
      </c>
      <c r="B1095" s="15">
        <v>42556</v>
      </c>
      <c r="C1095" s="16">
        <v>666568</v>
      </c>
      <c r="D1095" s="10">
        <f>PrincipalesVariables[[#This Row],[Base monetaria]]/1000000</f>
        <v>0.66656800000000005</v>
      </c>
      <c r="E1095" s="10">
        <v>15.02</v>
      </c>
      <c r="F1095" s="11">
        <v>30737</v>
      </c>
      <c r="H1095" s="12">
        <f>(PrincipalesVariables[[#This Row],[Base monetaria]]-C1094)/C1094</f>
        <v>-2.3513848867376969E-2</v>
      </c>
      <c r="I1095" s="12">
        <f>(PrincipalesVariables[[#This Row],[Dólar  mayorista]]-E1094)/E1094</f>
        <v>-3.3178500331785474E-3</v>
      </c>
      <c r="J1095" s="12">
        <f>(PrincipalesVariables[[#This Row],[Reservas internacionales]]-F1094)/F1094</f>
        <v>-1.0075403016120644E-3</v>
      </c>
    </row>
    <row r="1096" spans="1:10" ht="15.75" thickBot="1" x14ac:dyDescent="0.3">
      <c r="A1096" s="14">
        <v>42557</v>
      </c>
      <c r="B1096" s="15">
        <v>42557</v>
      </c>
      <c r="C1096" s="16">
        <v>679934</v>
      </c>
      <c r="D1096" s="10">
        <f>PrincipalesVariables[[#This Row],[Base monetaria]]/1000000</f>
        <v>0.67993400000000004</v>
      </c>
      <c r="E1096" s="10">
        <v>14.76</v>
      </c>
      <c r="F1096" s="11">
        <v>33425</v>
      </c>
      <c r="H1096" s="12">
        <f>(PrincipalesVariables[[#This Row],[Base monetaria]]-C1095)/C1095</f>
        <v>2.0051967691218302E-2</v>
      </c>
      <c r="I1096" s="12">
        <f>(PrincipalesVariables[[#This Row],[Dólar  mayorista]]-E1095)/E1095</f>
        <v>-1.7310252996005311E-2</v>
      </c>
      <c r="J1096" s="12">
        <f>(PrincipalesVariables[[#This Row],[Reservas internacionales]]-F1095)/F1095</f>
        <v>8.7451605556820772E-2</v>
      </c>
    </row>
    <row r="1097" spans="1:10" ht="15.75" thickBot="1" x14ac:dyDescent="0.3">
      <c r="A1097" s="14">
        <v>42558</v>
      </c>
      <c r="B1097" s="15">
        <v>42558</v>
      </c>
      <c r="C1097" s="16">
        <v>683152</v>
      </c>
      <c r="D1097" s="10">
        <f>PrincipalesVariables[[#This Row],[Base monetaria]]/1000000</f>
        <v>0.68315199999999998</v>
      </c>
      <c r="E1097" s="10">
        <v>14.69</v>
      </c>
      <c r="F1097" s="11">
        <v>33673</v>
      </c>
      <c r="H1097" s="12">
        <f>(PrincipalesVariables[[#This Row],[Base monetaria]]-C1096)/C1096</f>
        <v>4.7328123023705239E-3</v>
      </c>
      <c r="I1097" s="12">
        <f>(PrincipalesVariables[[#This Row],[Dólar  mayorista]]-E1096)/E1096</f>
        <v>-4.7425474254742745E-3</v>
      </c>
      <c r="J1097" s="12">
        <f>(PrincipalesVariables[[#This Row],[Reservas internacionales]]-F1096)/F1096</f>
        <v>7.4195961106955869E-3</v>
      </c>
    </row>
    <row r="1098" spans="1:10" ht="15.75" thickBot="1" x14ac:dyDescent="0.3">
      <c r="A1098" s="14">
        <v>42562</v>
      </c>
      <c r="B1098" s="15">
        <v>42562</v>
      </c>
      <c r="C1098" s="16">
        <v>681231</v>
      </c>
      <c r="D1098" s="10">
        <f>PrincipalesVariables[[#This Row],[Base monetaria]]/1000000</f>
        <v>0.68123100000000003</v>
      </c>
      <c r="E1098" s="10">
        <v>14.71</v>
      </c>
      <c r="F1098" s="11">
        <v>33647</v>
      </c>
      <c r="H1098" s="12">
        <f>(PrincipalesVariables[[#This Row],[Base monetaria]]-C1097)/C1097</f>
        <v>-2.8119657118767126E-3</v>
      </c>
      <c r="I1098" s="12">
        <f>(PrincipalesVariables[[#This Row],[Dólar  mayorista]]-E1097)/E1097</f>
        <v>1.3614703880191524E-3</v>
      </c>
      <c r="J1098" s="12">
        <f>(PrincipalesVariables[[#This Row],[Reservas internacionales]]-F1097)/F1097</f>
        <v>-7.7213197517298729E-4</v>
      </c>
    </row>
    <row r="1099" spans="1:10" ht="15.75" thickBot="1" x14ac:dyDescent="0.3">
      <c r="A1099" s="14">
        <v>42563</v>
      </c>
      <c r="B1099" s="15">
        <v>42563</v>
      </c>
      <c r="C1099" s="16">
        <v>672801</v>
      </c>
      <c r="D1099" s="10">
        <f>PrincipalesVariables[[#This Row],[Base monetaria]]/1000000</f>
        <v>0.67280099999999998</v>
      </c>
      <c r="E1099" s="10">
        <v>14.6</v>
      </c>
      <c r="F1099" s="11">
        <v>33886</v>
      </c>
      <c r="H1099" s="12">
        <f>(PrincipalesVariables[[#This Row],[Base monetaria]]-C1098)/C1098</f>
        <v>-1.237465705465547E-2</v>
      </c>
      <c r="I1099" s="12">
        <f>(PrincipalesVariables[[#This Row],[Dólar  mayorista]]-E1098)/E1098</f>
        <v>-7.4779061862679267E-3</v>
      </c>
      <c r="J1099" s="12">
        <f>(PrincipalesVariables[[#This Row],[Reservas internacionales]]-F1098)/F1098</f>
        <v>7.1031592712574674E-3</v>
      </c>
    </row>
    <row r="1100" spans="1:10" ht="15.75" thickBot="1" x14ac:dyDescent="0.3">
      <c r="A1100" s="14">
        <v>42564</v>
      </c>
      <c r="B1100" s="15">
        <v>42564</v>
      </c>
      <c r="C1100" s="16">
        <v>677321</v>
      </c>
      <c r="D1100" s="10">
        <f>PrincipalesVariables[[#This Row],[Base monetaria]]/1000000</f>
        <v>0.67732099999999995</v>
      </c>
      <c r="E1100" s="10">
        <v>14.57</v>
      </c>
      <c r="F1100" s="11">
        <v>33986</v>
      </c>
      <c r="H1100" s="12">
        <f>(PrincipalesVariables[[#This Row],[Base monetaria]]-C1099)/C1099</f>
        <v>6.7181826424158111E-3</v>
      </c>
      <c r="I1100" s="12">
        <f>(PrincipalesVariables[[#This Row],[Dólar  mayorista]]-E1099)/E1099</f>
        <v>-2.0547945205479016E-3</v>
      </c>
      <c r="J1100" s="12">
        <f>(PrincipalesVariables[[#This Row],[Reservas internacionales]]-F1099)/F1099</f>
        <v>2.9510712388597059E-3</v>
      </c>
    </row>
    <row r="1101" spans="1:10" ht="15.75" thickBot="1" x14ac:dyDescent="0.3">
      <c r="A1101" s="14">
        <v>42565</v>
      </c>
      <c r="B1101" s="15">
        <v>42565</v>
      </c>
      <c r="C1101" s="16">
        <v>679613</v>
      </c>
      <c r="D1101" s="10">
        <f>PrincipalesVariables[[#This Row],[Base monetaria]]/1000000</f>
        <v>0.67961300000000002</v>
      </c>
      <c r="E1101" s="10">
        <v>14.62</v>
      </c>
      <c r="F1101" s="11">
        <v>33977</v>
      </c>
      <c r="H1101" s="12">
        <f>(PrincipalesVariables[[#This Row],[Base monetaria]]-C1100)/C1100</f>
        <v>3.3839198843679734E-3</v>
      </c>
      <c r="I1101" s="12">
        <f>(PrincipalesVariables[[#This Row],[Dólar  mayorista]]-E1100)/E1100</f>
        <v>3.4317089910774834E-3</v>
      </c>
      <c r="J1101" s="12">
        <f>(PrincipalesVariables[[#This Row],[Reservas internacionales]]-F1100)/F1100</f>
        <v>-2.648149237921497E-4</v>
      </c>
    </row>
    <row r="1102" spans="1:10" ht="15.75" thickBot="1" x14ac:dyDescent="0.3">
      <c r="A1102" s="14">
        <v>42566</v>
      </c>
      <c r="B1102" s="15">
        <v>42566</v>
      </c>
      <c r="C1102" s="16">
        <v>669672</v>
      </c>
      <c r="D1102" s="10">
        <f>PrincipalesVariables[[#This Row],[Base monetaria]]/1000000</f>
        <v>0.66967200000000005</v>
      </c>
      <c r="E1102" s="10">
        <v>14.86</v>
      </c>
      <c r="F1102" s="11">
        <v>33927</v>
      </c>
      <c r="H1102" s="12">
        <f>(PrincipalesVariables[[#This Row],[Base monetaria]]-C1101)/C1101</f>
        <v>-1.4627442382650126E-2</v>
      </c>
      <c r="I1102" s="12">
        <f>(PrincipalesVariables[[#This Row],[Dólar  mayorista]]-E1101)/E1101</f>
        <v>1.6415868673050633E-2</v>
      </c>
      <c r="J1102" s="12">
        <f>(PrincipalesVariables[[#This Row],[Reservas internacionales]]-F1101)/F1101</f>
        <v>-1.4715837183977396E-3</v>
      </c>
    </row>
    <row r="1103" spans="1:10" ht="15.75" thickBot="1" x14ac:dyDescent="0.3">
      <c r="A1103" s="14">
        <v>42569</v>
      </c>
      <c r="B1103" s="15">
        <v>42569</v>
      </c>
      <c r="C1103" s="16">
        <v>664814</v>
      </c>
      <c r="D1103" s="10">
        <f>PrincipalesVariables[[#This Row],[Base monetaria]]/1000000</f>
        <v>0.66481400000000002</v>
      </c>
      <c r="E1103" s="10">
        <v>15.06</v>
      </c>
      <c r="F1103" s="11">
        <v>33845</v>
      </c>
      <c r="H1103" s="12">
        <f>(PrincipalesVariables[[#This Row],[Base monetaria]]-C1102)/C1102</f>
        <v>-7.254297626300637E-3</v>
      </c>
      <c r="I1103" s="12">
        <f>(PrincipalesVariables[[#This Row],[Dólar  mayorista]]-E1102)/E1102</f>
        <v>1.3458950201884326E-2</v>
      </c>
      <c r="J1103" s="12">
        <f>(PrincipalesVariables[[#This Row],[Reservas internacionales]]-F1102)/F1102</f>
        <v>-2.416954048398031E-3</v>
      </c>
    </row>
    <row r="1104" spans="1:10" ht="15.75" thickBot="1" x14ac:dyDescent="0.3">
      <c r="A1104" s="14">
        <v>42570</v>
      </c>
      <c r="B1104" s="15">
        <v>42570</v>
      </c>
      <c r="C1104" s="16">
        <v>660575</v>
      </c>
      <c r="D1104" s="10">
        <f>PrincipalesVariables[[#This Row],[Base monetaria]]/1000000</f>
        <v>0.66057500000000002</v>
      </c>
      <c r="E1104" s="10">
        <v>15.19</v>
      </c>
      <c r="F1104" s="11">
        <v>34039</v>
      </c>
      <c r="H1104" s="12">
        <f>(PrincipalesVariables[[#This Row],[Base monetaria]]-C1103)/C1103</f>
        <v>-6.3762195140294881E-3</v>
      </c>
      <c r="I1104" s="12">
        <f>(PrincipalesVariables[[#This Row],[Dólar  mayorista]]-E1103)/E1103</f>
        <v>8.6321381142097607E-3</v>
      </c>
      <c r="J1104" s="12">
        <f>(PrincipalesVariables[[#This Row],[Reservas internacionales]]-F1103)/F1103</f>
        <v>5.732013591372433E-3</v>
      </c>
    </row>
    <row r="1105" spans="1:10" ht="15.75" thickBot="1" x14ac:dyDescent="0.3">
      <c r="A1105" s="14">
        <v>42571</v>
      </c>
      <c r="B1105" s="15">
        <v>42571</v>
      </c>
      <c r="C1105" s="16">
        <v>660207</v>
      </c>
      <c r="D1105" s="10">
        <f>PrincipalesVariables[[#This Row],[Base monetaria]]/1000000</f>
        <v>0.66020699999999999</v>
      </c>
      <c r="E1105" s="10">
        <v>15</v>
      </c>
      <c r="F1105" s="11">
        <v>33900</v>
      </c>
      <c r="H1105" s="12">
        <f>(PrincipalesVariables[[#This Row],[Base monetaria]]-C1104)/C1104</f>
        <v>-5.5709041365477048E-4</v>
      </c>
      <c r="I1105" s="12">
        <f>(PrincipalesVariables[[#This Row],[Dólar  mayorista]]-E1104)/E1104</f>
        <v>-1.2508229098090818E-2</v>
      </c>
      <c r="J1105" s="12">
        <f>(PrincipalesVariables[[#This Row],[Reservas internacionales]]-F1104)/F1104</f>
        <v>-4.0835512206586566E-3</v>
      </c>
    </row>
    <row r="1106" spans="1:10" ht="15.75" thickBot="1" x14ac:dyDescent="0.3">
      <c r="A1106" s="14">
        <v>42572</v>
      </c>
      <c r="B1106" s="15">
        <v>42572</v>
      </c>
      <c r="C1106" s="16">
        <v>659004</v>
      </c>
      <c r="D1106" s="10">
        <f>PrincipalesVariables[[#This Row],[Base monetaria]]/1000000</f>
        <v>0.65900400000000003</v>
      </c>
      <c r="E1106" s="10">
        <v>15.04</v>
      </c>
      <c r="F1106" s="11">
        <v>33849</v>
      </c>
      <c r="H1106" s="12">
        <f>(PrincipalesVariables[[#This Row],[Base monetaria]]-C1105)/C1105</f>
        <v>-1.8221557784149516E-3</v>
      </c>
      <c r="I1106" s="12">
        <f>(PrincipalesVariables[[#This Row],[Dólar  mayorista]]-E1105)/E1105</f>
        <v>2.6666666666666098E-3</v>
      </c>
      <c r="J1106" s="12">
        <f>(PrincipalesVariables[[#This Row],[Reservas internacionales]]-F1105)/F1105</f>
        <v>-1.504424778761062E-3</v>
      </c>
    </row>
    <row r="1107" spans="1:10" ht="15.75" thickBot="1" x14ac:dyDescent="0.3">
      <c r="A1107" s="14">
        <v>42573</v>
      </c>
      <c r="B1107" s="15">
        <v>42573</v>
      </c>
      <c r="C1107" s="16">
        <v>658427</v>
      </c>
      <c r="D1107" s="10">
        <f>PrincipalesVariables[[#This Row],[Base monetaria]]/1000000</f>
        <v>0.65842699999999998</v>
      </c>
      <c r="E1107" s="10">
        <v>14.95</v>
      </c>
      <c r="F1107" s="11">
        <v>33784</v>
      </c>
      <c r="H1107" s="12">
        <f>(PrincipalesVariables[[#This Row],[Base monetaria]]-C1106)/C1106</f>
        <v>-8.7556372950695288E-4</v>
      </c>
      <c r="I1107" s="12">
        <f>(PrincipalesVariables[[#This Row],[Dólar  mayorista]]-E1106)/E1106</f>
        <v>-5.9840425531914807E-3</v>
      </c>
      <c r="J1107" s="12">
        <f>(PrincipalesVariables[[#This Row],[Reservas internacionales]]-F1106)/F1106</f>
        <v>-1.9202930662648823E-3</v>
      </c>
    </row>
    <row r="1108" spans="1:10" ht="15.75" thickBot="1" x14ac:dyDescent="0.3">
      <c r="A1108" s="14">
        <v>42576</v>
      </c>
      <c r="B1108" s="15">
        <v>42576</v>
      </c>
      <c r="C1108" s="16">
        <v>660826</v>
      </c>
      <c r="D1108" s="10">
        <f>PrincipalesVariables[[#This Row],[Base monetaria]]/1000000</f>
        <v>0.66082600000000002</v>
      </c>
      <c r="E1108" s="10">
        <v>14.93</v>
      </c>
      <c r="F1108" s="11">
        <v>33691</v>
      </c>
      <c r="H1108" s="12">
        <f>(PrincipalesVariables[[#This Row],[Base monetaria]]-C1107)/C1107</f>
        <v>3.6435322366792371E-3</v>
      </c>
      <c r="I1108" s="12">
        <f>(PrincipalesVariables[[#This Row],[Dólar  mayorista]]-E1107)/E1107</f>
        <v>-1.3377926421404398E-3</v>
      </c>
      <c r="J1108" s="12">
        <f>(PrincipalesVariables[[#This Row],[Reservas internacionales]]-F1107)/F1107</f>
        <v>-2.7527823821927541E-3</v>
      </c>
    </row>
    <row r="1109" spans="1:10" ht="15.75" thickBot="1" x14ac:dyDescent="0.3">
      <c r="A1109" s="14">
        <v>42577</v>
      </c>
      <c r="B1109" s="15">
        <v>42577</v>
      </c>
      <c r="C1109" s="16">
        <v>668844</v>
      </c>
      <c r="D1109" s="10">
        <f>PrincipalesVariables[[#This Row],[Base monetaria]]/1000000</f>
        <v>0.66884399999999999</v>
      </c>
      <c r="E1109" s="10">
        <v>14.96</v>
      </c>
      <c r="F1109" s="11">
        <v>34290</v>
      </c>
      <c r="H1109" s="12">
        <f>(PrincipalesVariables[[#This Row],[Base monetaria]]-C1108)/C1108</f>
        <v>1.2133299839897341E-2</v>
      </c>
      <c r="I1109" s="12">
        <f>(PrincipalesVariables[[#This Row],[Dólar  mayorista]]-E1108)/E1108</f>
        <v>2.0093770931012148E-3</v>
      </c>
      <c r="J1109" s="12">
        <f>(PrincipalesVariables[[#This Row],[Reservas internacionales]]-F1108)/F1108</f>
        <v>1.7779228874180049E-2</v>
      </c>
    </row>
    <row r="1110" spans="1:10" ht="15.75" thickBot="1" x14ac:dyDescent="0.3">
      <c r="A1110" s="14">
        <v>42578</v>
      </c>
      <c r="B1110" s="15">
        <v>42578</v>
      </c>
      <c r="C1110" s="16">
        <v>669432</v>
      </c>
      <c r="D1110" s="10">
        <f>PrincipalesVariables[[#This Row],[Base monetaria]]/1000000</f>
        <v>0.66943200000000003</v>
      </c>
      <c r="E1110" s="10">
        <v>14.98</v>
      </c>
      <c r="F1110" s="11">
        <v>34274</v>
      </c>
      <c r="H1110" s="12">
        <f>(PrincipalesVariables[[#This Row],[Base monetaria]]-C1109)/C1109</f>
        <v>8.7912876545203364E-4</v>
      </c>
      <c r="I1110" s="12">
        <f>(PrincipalesVariables[[#This Row],[Dólar  mayorista]]-E1109)/E1109</f>
        <v>1.3368983957218966E-3</v>
      </c>
      <c r="J1110" s="12">
        <f>(PrincipalesVariables[[#This Row],[Reservas internacionales]]-F1109)/F1109</f>
        <v>-4.6660834062408864E-4</v>
      </c>
    </row>
    <row r="1111" spans="1:10" ht="15.75" thickBot="1" x14ac:dyDescent="0.3">
      <c r="A1111" s="14">
        <v>42579</v>
      </c>
      <c r="B1111" s="15">
        <v>42579</v>
      </c>
      <c r="C1111" s="16">
        <v>668705</v>
      </c>
      <c r="D1111" s="10">
        <f>PrincipalesVariables[[#This Row],[Base monetaria]]/1000000</f>
        <v>0.66870499999999999</v>
      </c>
      <c r="E1111" s="10">
        <v>15.03</v>
      </c>
      <c r="F1111" s="11">
        <v>34244</v>
      </c>
      <c r="H1111" s="12">
        <f>(PrincipalesVariables[[#This Row],[Base monetaria]]-C1110)/C1110</f>
        <v>-1.0859952915307305E-3</v>
      </c>
      <c r="I1111" s="12">
        <f>(PrincipalesVariables[[#This Row],[Dólar  mayorista]]-E1110)/E1110</f>
        <v>3.3377837116154159E-3</v>
      </c>
      <c r="J1111" s="12">
        <f>(PrincipalesVariables[[#This Row],[Reservas internacionales]]-F1110)/F1110</f>
        <v>-8.7529906051234173E-4</v>
      </c>
    </row>
    <row r="1112" spans="1:10" ht="15.75" thickBot="1" x14ac:dyDescent="0.3">
      <c r="A1112" s="14">
        <v>42580</v>
      </c>
      <c r="B1112" s="15">
        <v>42580</v>
      </c>
      <c r="C1112" s="16">
        <v>661130</v>
      </c>
      <c r="D1112" s="10">
        <f>PrincipalesVariables[[#This Row],[Base monetaria]]/1000000</f>
        <v>0.66113</v>
      </c>
      <c r="E1112" s="10">
        <v>15.04</v>
      </c>
      <c r="F1112" s="11">
        <v>32511</v>
      </c>
      <c r="H1112" s="12">
        <f>(PrincipalesVariables[[#This Row],[Base monetaria]]-C1111)/C1111</f>
        <v>-1.1327865052601671E-2</v>
      </c>
      <c r="I1112" s="12">
        <f>(PrincipalesVariables[[#This Row],[Dólar  mayorista]]-E1111)/E1111</f>
        <v>6.6533599467729786E-4</v>
      </c>
      <c r="J1112" s="12">
        <f>(PrincipalesVariables[[#This Row],[Reservas internacionales]]-F1111)/F1111</f>
        <v>-5.0607405676906907E-2</v>
      </c>
    </row>
    <row r="1113" spans="1:10" ht="15.75" thickBot="1" x14ac:dyDescent="0.3">
      <c r="A1113" s="14">
        <v>42583</v>
      </c>
      <c r="B1113" s="15">
        <v>42583</v>
      </c>
      <c r="C1113" s="16">
        <v>687837</v>
      </c>
      <c r="D1113" s="10">
        <f>PrincipalesVariables[[#This Row],[Base monetaria]]/1000000</f>
        <v>0.68783700000000003</v>
      </c>
      <c r="E1113" s="10">
        <v>14.99</v>
      </c>
      <c r="F1113" s="11">
        <v>32628</v>
      </c>
      <c r="H1113" s="12">
        <f>(PrincipalesVariables[[#This Row],[Base monetaria]]-C1112)/C1112</f>
        <v>4.039598868603754E-2</v>
      </c>
      <c r="I1113" s="12">
        <f>(PrincipalesVariables[[#This Row],[Dólar  mayorista]]-E1112)/E1112</f>
        <v>-3.3244680851063123E-3</v>
      </c>
      <c r="J1113" s="12">
        <f>(PrincipalesVariables[[#This Row],[Reservas internacionales]]-F1112)/F1112</f>
        <v>3.59878195072437E-3</v>
      </c>
    </row>
    <row r="1114" spans="1:10" ht="15.75" thickBot="1" x14ac:dyDescent="0.3">
      <c r="A1114" s="14">
        <v>42584</v>
      </c>
      <c r="B1114" s="15">
        <v>42584</v>
      </c>
      <c r="C1114" s="16">
        <v>683838</v>
      </c>
      <c r="D1114" s="10">
        <f>PrincipalesVariables[[#This Row],[Base monetaria]]/1000000</f>
        <v>0.68383799999999995</v>
      </c>
      <c r="E1114" s="10">
        <v>14.85</v>
      </c>
      <c r="F1114" s="11">
        <v>32618</v>
      </c>
      <c r="H1114" s="12">
        <f>(PrincipalesVariables[[#This Row],[Base monetaria]]-C1113)/C1113</f>
        <v>-5.8138774157249461E-3</v>
      </c>
      <c r="I1114" s="12">
        <f>(PrincipalesVariables[[#This Row],[Dólar  mayorista]]-E1113)/E1113</f>
        <v>-9.3395597064710179E-3</v>
      </c>
      <c r="J1114" s="12">
        <f>(PrincipalesVariables[[#This Row],[Reservas internacionales]]-F1113)/F1113</f>
        <v>-3.0648522741203875E-4</v>
      </c>
    </row>
    <row r="1115" spans="1:10" ht="15.75" thickBot="1" x14ac:dyDescent="0.3">
      <c r="A1115" s="14">
        <v>42585</v>
      </c>
      <c r="B1115" s="15">
        <v>42585</v>
      </c>
      <c r="C1115" s="16">
        <v>671569</v>
      </c>
      <c r="D1115" s="10">
        <f>PrincipalesVariables[[#This Row],[Base monetaria]]/1000000</f>
        <v>0.67156899999999997</v>
      </c>
      <c r="E1115" s="10">
        <v>14.87</v>
      </c>
      <c r="F1115" s="11">
        <v>32497</v>
      </c>
      <c r="H1115" s="12">
        <f>(PrincipalesVariables[[#This Row],[Base monetaria]]-C1114)/C1114</f>
        <v>-1.7941383778029299E-2</v>
      </c>
      <c r="I1115" s="12">
        <f>(PrincipalesVariables[[#This Row],[Dólar  mayorista]]-E1114)/E1114</f>
        <v>1.346801346801318E-3</v>
      </c>
      <c r="J1115" s="12">
        <f>(PrincipalesVariables[[#This Row],[Reservas internacionales]]-F1114)/F1114</f>
        <v>-3.7096081917959408E-3</v>
      </c>
    </row>
    <row r="1116" spans="1:10" ht="15.75" thickBot="1" x14ac:dyDescent="0.3">
      <c r="A1116" s="14">
        <v>42586</v>
      </c>
      <c r="B1116" s="15">
        <v>42586</v>
      </c>
      <c r="C1116" s="16">
        <v>673429</v>
      </c>
      <c r="D1116" s="10">
        <f>PrincipalesVariables[[#This Row],[Base monetaria]]/1000000</f>
        <v>0.67342900000000006</v>
      </c>
      <c r="E1116" s="10">
        <v>14.88</v>
      </c>
      <c r="F1116" s="11">
        <v>32479</v>
      </c>
      <c r="H1116" s="12">
        <f>(PrincipalesVariables[[#This Row],[Base monetaria]]-C1115)/C1115</f>
        <v>2.7696335000573285E-3</v>
      </c>
      <c r="I1116" s="12">
        <f>(PrincipalesVariables[[#This Row],[Dólar  mayorista]]-E1115)/E1115</f>
        <v>6.72494956287933E-4</v>
      </c>
      <c r="J1116" s="12">
        <f>(PrincipalesVariables[[#This Row],[Reservas internacionales]]-F1115)/F1115</f>
        <v>-5.5389728282610707E-4</v>
      </c>
    </row>
    <row r="1117" spans="1:10" ht="15.75" thickBot="1" x14ac:dyDescent="0.3">
      <c r="A1117" s="14">
        <v>42587</v>
      </c>
      <c r="B1117" s="15">
        <v>42587</v>
      </c>
      <c r="C1117" s="16">
        <v>674486</v>
      </c>
      <c r="D1117" s="10">
        <f>PrincipalesVariables[[#This Row],[Base monetaria]]/1000000</f>
        <v>0.67448600000000003</v>
      </c>
      <c r="E1117" s="10">
        <v>14.85</v>
      </c>
      <c r="F1117" s="11">
        <v>32453</v>
      </c>
      <c r="H1117" s="12">
        <f>(PrincipalesVariables[[#This Row],[Base monetaria]]-C1116)/C1116</f>
        <v>1.5695789756603889E-3</v>
      </c>
      <c r="I1117" s="12">
        <f>(PrincipalesVariables[[#This Row],[Dólar  mayorista]]-E1116)/E1116</f>
        <v>-2.0161290322581408E-3</v>
      </c>
      <c r="J1117" s="12">
        <f>(PrincipalesVariables[[#This Row],[Reservas internacionales]]-F1116)/F1116</f>
        <v>-8.0051725730472E-4</v>
      </c>
    </row>
    <row r="1118" spans="1:10" ht="15.75" thickBot="1" x14ac:dyDescent="0.3">
      <c r="A1118" s="14">
        <v>42590</v>
      </c>
      <c r="B1118" s="15">
        <v>42590</v>
      </c>
      <c r="C1118" s="16">
        <v>685222</v>
      </c>
      <c r="D1118" s="10">
        <f>PrincipalesVariables[[#This Row],[Base monetaria]]/1000000</f>
        <v>0.685222</v>
      </c>
      <c r="E1118" s="10">
        <v>14.79</v>
      </c>
      <c r="F1118" s="11">
        <v>32488</v>
      </c>
      <c r="H1118" s="12">
        <f>(PrincipalesVariables[[#This Row],[Base monetaria]]-C1117)/C1117</f>
        <v>1.5917305918877488E-2</v>
      </c>
      <c r="I1118" s="12">
        <f>(PrincipalesVariables[[#This Row],[Dólar  mayorista]]-E1117)/E1117</f>
        <v>-4.0404040404040742E-3</v>
      </c>
      <c r="J1118" s="12">
        <f>(PrincipalesVariables[[#This Row],[Reservas internacionales]]-F1117)/F1117</f>
        <v>1.078482728869442E-3</v>
      </c>
    </row>
    <row r="1119" spans="1:10" ht="15.75" thickBot="1" x14ac:dyDescent="0.3">
      <c r="A1119" s="14">
        <v>42591</v>
      </c>
      <c r="B1119" s="15">
        <v>42591</v>
      </c>
      <c r="C1119" s="16">
        <v>681494</v>
      </c>
      <c r="D1119" s="10">
        <f>PrincipalesVariables[[#This Row],[Base monetaria]]/1000000</f>
        <v>0.68149400000000004</v>
      </c>
      <c r="E1119" s="10">
        <v>14.77</v>
      </c>
      <c r="F1119" s="11">
        <v>32535</v>
      </c>
      <c r="H1119" s="12">
        <f>(PrincipalesVariables[[#This Row],[Base monetaria]]-C1118)/C1118</f>
        <v>-5.4405725443724805E-3</v>
      </c>
      <c r="I1119" s="12">
        <f>(PrincipalesVariables[[#This Row],[Dólar  mayorista]]-E1118)/E1118</f>
        <v>-1.3522650439485853E-3</v>
      </c>
      <c r="J1119" s="12">
        <f>(PrincipalesVariables[[#This Row],[Reservas internacionales]]-F1118)/F1118</f>
        <v>1.4466880078798326E-3</v>
      </c>
    </row>
    <row r="1120" spans="1:10" ht="15.75" thickBot="1" x14ac:dyDescent="0.3">
      <c r="A1120" s="14">
        <v>42592</v>
      </c>
      <c r="B1120" s="15">
        <v>42592</v>
      </c>
      <c r="C1120" s="16">
        <v>689303</v>
      </c>
      <c r="D1120" s="10">
        <f>PrincipalesVariables[[#This Row],[Base monetaria]]/1000000</f>
        <v>0.689303</v>
      </c>
      <c r="E1120" s="10">
        <v>14.75</v>
      </c>
      <c r="F1120" s="11">
        <v>32566</v>
      </c>
      <c r="H1120" s="12">
        <f>(PrincipalesVariables[[#This Row],[Base monetaria]]-C1119)/C1119</f>
        <v>1.1458648205266665E-2</v>
      </c>
      <c r="I1120" s="12">
        <f>(PrincipalesVariables[[#This Row],[Dólar  mayorista]]-E1119)/E1119</f>
        <v>-1.3540961408259698E-3</v>
      </c>
      <c r="J1120" s="12">
        <f>(PrincipalesVariables[[#This Row],[Reservas internacionales]]-F1119)/F1119</f>
        <v>9.5282003995696943E-4</v>
      </c>
    </row>
    <row r="1121" spans="1:10" ht="15.75" thickBot="1" x14ac:dyDescent="0.3">
      <c r="A1121" s="14">
        <v>42593</v>
      </c>
      <c r="B1121" s="15">
        <v>42593</v>
      </c>
      <c r="C1121" s="16">
        <v>679265</v>
      </c>
      <c r="D1121" s="10">
        <f>PrincipalesVariables[[#This Row],[Base monetaria]]/1000000</f>
        <v>0.67926500000000001</v>
      </c>
      <c r="E1121" s="10">
        <v>14.66</v>
      </c>
      <c r="F1121" s="11">
        <v>32425</v>
      </c>
      <c r="H1121" s="12">
        <f>(PrincipalesVariables[[#This Row],[Base monetaria]]-C1120)/C1120</f>
        <v>-1.4562536359191821E-2</v>
      </c>
      <c r="I1121" s="12">
        <f>(PrincipalesVariables[[#This Row],[Dólar  mayorista]]-E1120)/E1120</f>
        <v>-6.1016949152542278E-3</v>
      </c>
      <c r="J1121" s="12">
        <f>(PrincipalesVariables[[#This Row],[Reservas internacionales]]-F1120)/F1120</f>
        <v>-4.3296689799177052E-3</v>
      </c>
    </row>
    <row r="1122" spans="1:10" ht="15.75" thickBot="1" x14ac:dyDescent="0.3">
      <c r="A1122" s="14">
        <v>42594</v>
      </c>
      <c r="B1122" s="15">
        <v>42594</v>
      </c>
      <c r="C1122" s="16">
        <v>673474</v>
      </c>
      <c r="D1122" s="10">
        <f>PrincipalesVariables[[#This Row],[Base monetaria]]/1000000</f>
        <v>0.67347400000000002</v>
      </c>
      <c r="E1122" s="10">
        <v>14.65</v>
      </c>
      <c r="F1122" s="11">
        <v>32251</v>
      </c>
      <c r="H1122" s="12">
        <f>(PrincipalesVariables[[#This Row],[Base monetaria]]-C1121)/C1121</f>
        <v>-8.5253914157214054E-3</v>
      </c>
      <c r="I1122" s="12">
        <f>(PrincipalesVariables[[#This Row],[Dólar  mayorista]]-E1121)/E1121</f>
        <v>-6.8212824010912599E-4</v>
      </c>
      <c r="J1122" s="12">
        <f>(PrincipalesVariables[[#This Row],[Reservas internacionales]]-F1121)/F1121</f>
        <v>-5.3662297609868926E-3</v>
      </c>
    </row>
    <row r="1123" spans="1:10" ht="15.75" thickBot="1" x14ac:dyDescent="0.3">
      <c r="A1123" s="14">
        <v>42598</v>
      </c>
      <c r="B1123" s="15">
        <v>42598</v>
      </c>
      <c r="C1123" s="16">
        <v>661733</v>
      </c>
      <c r="D1123" s="10">
        <f>PrincipalesVariables[[#This Row],[Base monetaria]]/1000000</f>
        <v>0.66173300000000002</v>
      </c>
      <c r="E1123" s="10">
        <v>14.67</v>
      </c>
      <c r="F1123" s="11">
        <v>32239</v>
      </c>
      <c r="H1123" s="12">
        <f>(PrincipalesVariables[[#This Row],[Base monetaria]]-C1122)/C1122</f>
        <v>-1.743348666763676E-2</v>
      </c>
      <c r="I1123" s="12">
        <f>(PrincipalesVariables[[#This Row],[Dólar  mayorista]]-E1122)/E1122</f>
        <v>1.3651877133105512E-3</v>
      </c>
      <c r="J1123" s="12">
        <f>(PrincipalesVariables[[#This Row],[Reservas internacionales]]-F1122)/F1122</f>
        <v>-3.7208148584540012E-4</v>
      </c>
    </row>
    <row r="1124" spans="1:10" ht="15.75" thickBot="1" x14ac:dyDescent="0.3">
      <c r="A1124" s="14">
        <v>42599</v>
      </c>
      <c r="B1124" s="15">
        <v>42599</v>
      </c>
      <c r="C1124" s="16">
        <v>676314</v>
      </c>
      <c r="D1124" s="10">
        <f>PrincipalesVariables[[#This Row],[Base monetaria]]/1000000</f>
        <v>0.67631399999999997</v>
      </c>
      <c r="E1124" s="10">
        <v>14.7</v>
      </c>
      <c r="F1124" s="11">
        <v>32087</v>
      </c>
      <c r="H1124" s="12">
        <f>(PrincipalesVariables[[#This Row],[Base monetaria]]-C1123)/C1123</f>
        <v>2.2034566811689912E-2</v>
      </c>
      <c r="I1124" s="12">
        <f>(PrincipalesVariables[[#This Row],[Dólar  mayorista]]-E1123)/E1123</f>
        <v>2.0449897750510811E-3</v>
      </c>
      <c r="J1124" s="12">
        <f>(PrincipalesVariables[[#This Row],[Reservas internacionales]]-F1123)/F1123</f>
        <v>-4.7147864387853218E-3</v>
      </c>
    </row>
    <row r="1125" spans="1:10" ht="15.75" thickBot="1" x14ac:dyDescent="0.3">
      <c r="A1125" s="14">
        <v>42600</v>
      </c>
      <c r="B1125" s="15">
        <v>42600</v>
      </c>
      <c r="C1125" s="16">
        <v>673734</v>
      </c>
      <c r="D1125" s="10">
        <f>PrincipalesVariables[[#This Row],[Base monetaria]]/1000000</f>
        <v>0.67373400000000006</v>
      </c>
      <c r="E1125" s="10">
        <v>14.85</v>
      </c>
      <c r="F1125" s="11">
        <v>32338</v>
      </c>
      <c r="H1125" s="12">
        <f>(PrincipalesVariables[[#This Row],[Base monetaria]]-C1124)/C1124</f>
        <v>-3.8147960858417834E-3</v>
      </c>
      <c r="I1125" s="12">
        <f>(PrincipalesVariables[[#This Row],[Dólar  mayorista]]-E1124)/E1124</f>
        <v>1.0204081632653086E-2</v>
      </c>
      <c r="J1125" s="12">
        <f>(PrincipalesVariables[[#This Row],[Reservas internacionales]]-F1124)/F1124</f>
        <v>7.8224826253622971E-3</v>
      </c>
    </row>
    <row r="1126" spans="1:10" ht="15.75" thickBot="1" x14ac:dyDescent="0.3">
      <c r="A1126" s="14">
        <v>42601</v>
      </c>
      <c r="B1126" s="15">
        <v>42601</v>
      </c>
      <c r="C1126" s="16">
        <v>673130</v>
      </c>
      <c r="D1126" s="10">
        <f>PrincipalesVariables[[#This Row],[Base monetaria]]/1000000</f>
        <v>0.67313000000000001</v>
      </c>
      <c r="E1126" s="10">
        <v>14.94</v>
      </c>
      <c r="F1126" s="11">
        <v>31963</v>
      </c>
      <c r="H1126" s="12">
        <f>(PrincipalesVariables[[#This Row],[Base monetaria]]-C1125)/C1125</f>
        <v>-8.9649624332451678E-4</v>
      </c>
      <c r="I1126" s="12">
        <f>(PrincipalesVariables[[#This Row],[Dólar  mayorista]]-E1125)/E1125</f>
        <v>6.0606060606060511E-3</v>
      </c>
      <c r="J1126" s="12">
        <f>(PrincipalesVariables[[#This Row],[Reservas internacionales]]-F1125)/F1125</f>
        <v>-1.1596264456676357E-2</v>
      </c>
    </row>
    <row r="1127" spans="1:10" ht="15.75" thickBot="1" x14ac:dyDescent="0.3">
      <c r="A1127" s="14">
        <v>42604</v>
      </c>
      <c r="B1127" s="15">
        <v>42604</v>
      </c>
      <c r="C1127" s="16">
        <v>673401</v>
      </c>
      <c r="D1127" s="10">
        <f>PrincipalesVariables[[#This Row],[Base monetaria]]/1000000</f>
        <v>0.67340100000000003</v>
      </c>
      <c r="E1127" s="10">
        <v>14.9</v>
      </c>
      <c r="F1127" s="11">
        <v>31965</v>
      </c>
      <c r="H1127" s="12">
        <f>(PrincipalesVariables[[#This Row],[Base monetaria]]-C1126)/C1126</f>
        <v>4.0259682379332372E-4</v>
      </c>
      <c r="I1127" s="12">
        <f>(PrincipalesVariables[[#This Row],[Dólar  mayorista]]-E1126)/E1126</f>
        <v>-2.6773761713520181E-3</v>
      </c>
      <c r="J1127" s="12">
        <f>(PrincipalesVariables[[#This Row],[Reservas internacionales]]-F1126)/F1126</f>
        <v>6.257234927885368E-5</v>
      </c>
    </row>
    <row r="1128" spans="1:10" ht="15.75" thickBot="1" x14ac:dyDescent="0.3">
      <c r="A1128" s="14">
        <v>42605</v>
      </c>
      <c r="B1128" s="15">
        <v>42605</v>
      </c>
      <c r="C1128" s="16">
        <v>670631</v>
      </c>
      <c r="D1128" s="10">
        <f>PrincipalesVariables[[#This Row],[Base monetaria]]/1000000</f>
        <v>0.67063099999999998</v>
      </c>
      <c r="E1128" s="10">
        <v>14.83</v>
      </c>
      <c r="F1128" s="11">
        <v>31931</v>
      </c>
      <c r="H1128" s="12">
        <f>(PrincipalesVariables[[#This Row],[Base monetaria]]-C1127)/C1127</f>
        <v>-4.1134480049777175E-3</v>
      </c>
      <c r="I1128" s="12">
        <f>(PrincipalesVariables[[#This Row],[Dólar  mayorista]]-E1127)/E1127</f>
        <v>-4.6979865771812268E-3</v>
      </c>
      <c r="J1128" s="12">
        <f>(PrincipalesVariables[[#This Row],[Reservas internacionales]]-F1127)/F1127</f>
        <v>-1.0636633818238699E-3</v>
      </c>
    </row>
    <row r="1129" spans="1:10" ht="15.75" thickBot="1" x14ac:dyDescent="0.3">
      <c r="A1129" s="14">
        <v>42606</v>
      </c>
      <c r="B1129" s="15">
        <v>42606</v>
      </c>
      <c r="C1129" s="16">
        <v>672905</v>
      </c>
      <c r="D1129" s="10">
        <f>PrincipalesVariables[[#This Row],[Base monetaria]]/1000000</f>
        <v>0.67290499999999998</v>
      </c>
      <c r="E1129" s="10">
        <v>14.87</v>
      </c>
      <c r="F1129" s="11">
        <v>31847</v>
      </c>
      <c r="H1129" s="12">
        <f>(PrincipalesVariables[[#This Row],[Base monetaria]]-C1128)/C1128</f>
        <v>3.3908363913985485E-3</v>
      </c>
      <c r="I1129" s="12">
        <f>(PrincipalesVariables[[#This Row],[Dólar  mayorista]]-E1128)/E1128</f>
        <v>2.6972353337828148E-3</v>
      </c>
      <c r="J1129" s="12">
        <f>(PrincipalesVariables[[#This Row],[Reservas internacionales]]-F1128)/F1128</f>
        <v>-2.6306723873351914E-3</v>
      </c>
    </row>
    <row r="1130" spans="1:10" ht="15.75" thickBot="1" x14ac:dyDescent="0.3">
      <c r="A1130" s="14">
        <v>42607</v>
      </c>
      <c r="B1130" s="15">
        <v>42607</v>
      </c>
      <c r="C1130" s="16">
        <v>669852</v>
      </c>
      <c r="D1130" s="10">
        <f>PrincipalesVariables[[#This Row],[Base monetaria]]/1000000</f>
        <v>0.669852</v>
      </c>
      <c r="E1130" s="10">
        <v>14.88</v>
      </c>
      <c r="F1130" s="11">
        <v>31924</v>
      </c>
      <c r="H1130" s="12">
        <f>(PrincipalesVariables[[#This Row],[Base monetaria]]-C1129)/C1129</f>
        <v>-4.5370446051077049E-3</v>
      </c>
      <c r="I1130" s="12">
        <f>(PrincipalesVariables[[#This Row],[Dólar  mayorista]]-E1129)/E1129</f>
        <v>6.72494956287933E-4</v>
      </c>
      <c r="J1130" s="12">
        <f>(PrincipalesVariables[[#This Row],[Reservas internacionales]]-F1129)/F1129</f>
        <v>2.4178101548026501E-3</v>
      </c>
    </row>
    <row r="1131" spans="1:10" ht="15.75" thickBot="1" x14ac:dyDescent="0.3">
      <c r="A1131" s="14">
        <v>42608</v>
      </c>
      <c r="B1131" s="15">
        <v>42608</v>
      </c>
      <c r="C1131" s="16">
        <v>668818</v>
      </c>
      <c r="D1131" s="10">
        <f>PrincipalesVariables[[#This Row],[Base monetaria]]/1000000</f>
        <v>0.66881800000000002</v>
      </c>
      <c r="E1131" s="10">
        <v>14.93</v>
      </c>
      <c r="F1131" s="11">
        <v>31809</v>
      </c>
      <c r="H1131" s="12">
        <f>(PrincipalesVariables[[#This Row],[Base monetaria]]-C1130)/C1130</f>
        <v>-1.5436245618435118E-3</v>
      </c>
      <c r="I1131" s="12">
        <f>(PrincipalesVariables[[#This Row],[Dólar  mayorista]]-E1130)/E1130</f>
        <v>3.3602150537633689E-3</v>
      </c>
      <c r="J1131" s="12">
        <f>(PrincipalesVariables[[#This Row],[Reservas internacionales]]-F1130)/F1130</f>
        <v>-3.6023054755043226E-3</v>
      </c>
    </row>
    <row r="1132" spans="1:10" ht="15.75" thickBot="1" x14ac:dyDescent="0.3">
      <c r="A1132" s="14">
        <v>42611</v>
      </c>
      <c r="B1132" s="15">
        <v>42611</v>
      </c>
      <c r="C1132" s="16">
        <v>681561</v>
      </c>
      <c r="D1132" s="10">
        <f>PrincipalesVariables[[#This Row],[Base monetaria]]/1000000</f>
        <v>0.68156099999999997</v>
      </c>
      <c r="E1132" s="10">
        <v>15.06</v>
      </c>
      <c r="F1132" s="11">
        <v>31557</v>
      </c>
      <c r="H1132" s="12">
        <f>(PrincipalesVariables[[#This Row],[Base monetaria]]-C1131)/C1131</f>
        <v>1.9053015917633795E-2</v>
      </c>
      <c r="I1132" s="12">
        <f>(PrincipalesVariables[[#This Row],[Dólar  mayorista]]-E1131)/E1131</f>
        <v>8.7073007367716535E-3</v>
      </c>
      <c r="J1132" s="12">
        <f>(PrincipalesVariables[[#This Row],[Reservas internacionales]]-F1131)/F1131</f>
        <v>-7.922286145430538E-3</v>
      </c>
    </row>
    <row r="1133" spans="1:10" ht="15.75" thickBot="1" x14ac:dyDescent="0.3">
      <c r="A1133" s="14">
        <v>42612</v>
      </c>
      <c r="B1133" s="15">
        <v>42612</v>
      </c>
      <c r="C1133" s="16">
        <v>684241</v>
      </c>
      <c r="D1133" s="10">
        <f>PrincipalesVariables[[#This Row],[Base monetaria]]/1000000</f>
        <v>0.68424099999999999</v>
      </c>
      <c r="E1133" s="10">
        <v>15.1</v>
      </c>
      <c r="F1133" s="11">
        <v>31432</v>
      </c>
      <c r="H1133" s="12">
        <f>(PrincipalesVariables[[#This Row],[Base monetaria]]-C1132)/C1132</f>
        <v>3.9321498735989885E-3</v>
      </c>
      <c r="I1133" s="12">
        <f>(PrincipalesVariables[[#This Row],[Dólar  mayorista]]-E1132)/E1132</f>
        <v>2.6560424966798903E-3</v>
      </c>
      <c r="J1133" s="12">
        <f>(PrincipalesVariables[[#This Row],[Reservas internacionales]]-F1132)/F1132</f>
        <v>-3.9610862883037046E-3</v>
      </c>
    </row>
    <row r="1134" spans="1:10" ht="15.75" thickBot="1" x14ac:dyDescent="0.3">
      <c r="A1134" s="14">
        <v>42613</v>
      </c>
      <c r="B1134" s="15">
        <v>42613</v>
      </c>
      <c r="C1134" s="16">
        <v>679730</v>
      </c>
      <c r="D1134" s="10">
        <f>PrincipalesVariables[[#This Row],[Base monetaria]]/1000000</f>
        <v>0.67972999999999995</v>
      </c>
      <c r="E1134" s="10">
        <v>14.9</v>
      </c>
      <c r="F1134" s="11">
        <v>31150</v>
      </c>
      <c r="H1134" s="12">
        <f>(PrincipalesVariables[[#This Row],[Base monetaria]]-C1133)/C1133</f>
        <v>-6.5927063710008605E-3</v>
      </c>
      <c r="I1134" s="12">
        <f>(PrincipalesVariables[[#This Row],[Dólar  mayorista]]-E1133)/E1133</f>
        <v>-1.3245033112582735E-2</v>
      </c>
      <c r="J1134" s="12">
        <f>(PrincipalesVariables[[#This Row],[Reservas internacionales]]-F1133)/F1133</f>
        <v>-8.9717485365232892E-3</v>
      </c>
    </row>
    <row r="1135" spans="1:10" ht="15.75" thickBot="1" x14ac:dyDescent="0.3">
      <c r="A1135" s="14">
        <v>42614</v>
      </c>
      <c r="B1135" s="15">
        <v>42614</v>
      </c>
      <c r="C1135" s="16">
        <v>705806</v>
      </c>
      <c r="D1135" s="10">
        <f>PrincipalesVariables[[#This Row],[Base monetaria]]/1000000</f>
        <v>0.70580600000000004</v>
      </c>
      <c r="E1135" s="10">
        <v>14.88</v>
      </c>
      <c r="F1135" s="11">
        <v>31102</v>
      </c>
      <c r="H1135" s="12">
        <f>(PrincipalesVariables[[#This Row],[Base monetaria]]-C1134)/C1134</f>
        <v>3.8362290909625882E-2</v>
      </c>
      <c r="I1135" s="12">
        <f>(PrincipalesVariables[[#This Row],[Dólar  mayorista]]-E1134)/E1134</f>
        <v>-1.3422818791946022E-3</v>
      </c>
      <c r="J1135" s="12">
        <f>(PrincipalesVariables[[#This Row],[Reservas internacionales]]-F1134)/F1134</f>
        <v>-1.5409309791332264E-3</v>
      </c>
    </row>
    <row r="1136" spans="1:10" ht="15.75" thickBot="1" x14ac:dyDescent="0.3">
      <c r="A1136" s="14">
        <v>42615</v>
      </c>
      <c r="B1136" s="15">
        <v>42615</v>
      </c>
      <c r="C1136" s="16">
        <v>692521</v>
      </c>
      <c r="D1136" s="10">
        <f>PrincipalesVariables[[#This Row],[Base monetaria]]/1000000</f>
        <v>0.69252100000000005</v>
      </c>
      <c r="E1136" s="10">
        <v>14.9</v>
      </c>
      <c r="F1136" s="11">
        <v>31070</v>
      </c>
      <c r="H1136" s="12">
        <f>(PrincipalesVariables[[#This Row],[Base monetaria]]-C1135)/C1135</f>
        <v>-1.8822452628625995E-2</v>
      </c>
      <c r="I1136" s="12">
        <f>(PrincipalesVariables[[#This Row],[Dólar  mayorista]]-E1135)/E1135</f>
        <v>1.3440860215053476E-3</v>
      </c>
      <c r="J1136" s="12">
        <f>(PrincipalesVariables[[#This Row],[Reservas internacionales]]-F1135)/F1135</f>
        <v>-1.0288727413028101E-3</v>
      </c>
    </row>
    <row r="1137" spans="1:10" ht="15.75" thickBot="1" x14ac:dyDescent="0.3">
      <c r="A1137" s="14">
        <v>42618</v>
      </c>
      <c r="B1137" s="15">
        <v>42618</v>
      </c>
      <c r="C1137" s="16">
        <v>693019</v>
      </c>
      <c r="D1137" s="10">
        <f>PrincipalesVariables[[#This Row],[Base monetaria]]/1000000</f>
        <v>0.69301900000000005</v>
      </c>
      <c r="E1137" s="10">
        <v>15</v>
      </c>
      <c r="F1137" s="11">
        <v>31126</v>
      </c>
      <c r="H1137" s="12">
        <f>(PrincipalesVariables[[#This Row],[Base monetaria]]-C1136)/C1136</f>
        <v>7.191117670077875E-4</v>
      </c>
      <c r="I1137" s="12">
        <f>(PrincipalesVariables[[#This Row],[Dólar  mayorista]]-E1136)/E1136</f>
        <v>6.7114093959731299E-3</v>
      </c>
      <c r="J1137" s="12">
        <f>(PrincipalesVariables[[#This Row],[Reservas internacionales]]-F1136)/F1136</f>
        <v>1.8023817186997102E-3</v>
      </c>
    </row>
    <row r="1138" spans="1:10" ht="15.75" thickBot="1" x14ac:dyDescent="0.3">
      <c r="A1138" s="14">
        <v>42619</v>
      </c>
      <c r="B1138" s="15">
        <v>42619</v>
      </c>
      <c r="C1138" s="16">
        <v>682648</v>
      </c>
      <c r="D1138" s="10">
        <f>PrincipalesVariables[[#This Row],[Base monetaria]]/1000000</f>
        <v>0.68264800000000003</v>
      </c>
      <c r="E1138" s="10">
        <v>15.01</v>
      </c>
      <c r="F1138" s="11">
        <v>31324</v>
      </c>
      <c r="H1138" s="12">
        <f>(PrincipalesVariables[[#This Row],[Base monetaria]]-C1137)/C1137</f>
        <v>-1.4964957670713213E-2</v>
      </c>
      <c r="I1138" s="12">
        <f>(PrincipalesVariables[[#This Row],[Dólar  mayorista]]-E1137)/E1137</f>
        <v>6.6666666666665244E-4</v>
      </c>
      <c r="J1138" s="12">
        <f>(PrincipalesVariables[[#This Row],[Reservas internacionales]]-F1137)/F1137</f>
        <v>6.3612414058986056E-3</v>
      </c>
    </row>
    <row r="1139" spans="1:10" ht="15.75" thickBot="1" x14ac:dyDescent="0.3">
      <c r="A1139" s="14">
        <v>42620</v>
      </c>
      <c r="B1139" s="15">
        <v>42620</v>
      </c>
      <c r="C1139" s="16">
        <v>695555</v>
      </c>
      <c r="D1139" s="10">
        <f>PrincipalesVariables[[#This Row],[Base monetaria]]/1000000</f>
        <v>0.69555500000000003</v>
      </c>
      <c r="E1139" s="10">
        <v>15.03</v>
      </c>
      <c r="F1139" s="11">
        <v>31330</v>
      </c>
      <c r="H1139" s="12">
        <f>(PrincipalesVariables[[#This Row],[Base monetaria]]-C1138)/C1138</f>
        <v>1.8907255276511468E-2</v>
      </c>
      <c r="I1139" s="12">
        <f>(PrincipalesVariables[[#This Row],[Dólar  mayorista]]-E1138)/E1138</f>
        <v>1.3324450366422101E-3</v>
      </c>
      <c r="J1139" s="12">
        <f>(PrincipalesVariables[[#This Row],[Reservas internacionales]]-F1138)/F1138</f>
        <v>1.9154641808198186E-4</v>
      </c>
    </row>
    <row r="1140" spans="1:10" ht="15.75" thickBot="1" x14ac:dyDescent="0.3">
      <c r="A1140" s="14">
        <v>42621</v>
      </c>
      <c r="B1140" s="15">
        <v>42621</v>
      </c>
      <c r="C1140" s="16">
        <v>700060</v>
      </c>
      <c r="D1140" s="10">
        <f>PrincipalesVariables[[#This Row],[Base monetaria]]/1000000</f>
        <v>0.70006000000000002</v>
      </c>
      <c r="E1140" s="10">
        <v>15.07</v>
      </c>
      <c r="F1140" s="11">
        <v>31265</v>
      </c>
      <c r="H1140" s="12">
        <f>(PrincipalesVariables[[#This Row],[Base monetaria]]-C1139)/C1139</f>
        <v>6.4768422338995482E-3</v>
      </c>
      <c r="I1140" s="12">
        <f>(PrincipalesVariables[[#This Row],[Dólar  mayorista]]-E1139)/E1139</f>
        <v>2.6613439787093098E-3</v>
      </c>
      <c r="J1140" s="12">
        <f>(PrincipalesVariables[[#This Row],[Reservas internacionales]]-F1139)/F1139</f>
        <v>-2.0746887966804979E-3</v>
      </c>
    </row>
    <row r="1141" spans="1:10" ht="15.75" thickBot="1" x14ac:dyDescent="0.3">
      <c r="A1141" s="14">
        <v>42622</v>
      </c>
      <c r="B1141" s="15">
        <v>42622</v>
      </c>
      <c r="C1141" s="16">
        <v>695192</v>
      </c>
      <c r="D1141" s="10">
        <f>PrincipalesVariables[[#This Row],[Base monetaria]]/1000000</f>
        <v>0.69519200000000003</v>
      </c>
      <c r="E1141" s="10">
        <v>15.06</v>
      </c>
      <c r="F1141" s="11">
        <v>31274</v>
      </c>
      <c r="H1141" s="12">
        <f>(PrincipalesVariables[[#This Row],[Base monetaria]]-C1140)/C1140</f>
        <v>-6.9536896837413932E-3</v>
      </c>
      <c r="I1141" s="12">
        <f>(PrincipalesVariables[[#This Row],[Dólar  mayorista]]-E1140)/E1140</f>
        <v>-6.6357000663568586E-4</v>
      </c>
      <c r="J1141" s="12">
        <f>(PrincipalesVariables[[#This Row],[Reservas internacionales]]-F1140)/F1140</f>
        <v>2.8786182632336481E-4</v>
      </c>
    </row>
    <row r="1142" spans="1:10" ht="15.75" thickBot="1" x14ac:dyDescent="0.3">
      <c r="A1142" s="14">
        <v>42625</v>
      </c>
      <c r="B1142" s="15">
        <v>42625</v>
      </c>
      <c r="C1142" s="16">
        <v>689625</v>
      </c>
      <c r="D1142" s="10">
        <f>PrincipalesVariables[[#This Row],[Base monetaria]]/1000000</f>
        <v>0.68962500000000004</v>
      </c>
      <c r="E1142" s="10">
        <v>14.99</v>
      </c>
      <c r="F1142" s="11">
        <v>31250</v>
      </c>
      <c r="H1142" s="12">
        <f>(PrincipalesVariables[[#This Row],[Base monetaria]]-C1141)/C1141</f>
        <v>-8.007859699191015E-3</v>
      </c>
      <c r="I1142" s="12">
        <f>(PrincipalesVariables[[#This Row],[Dólar  mayorista]]-E1141)/E1141</f>
        <v>-4.6480743691899255E-3</v>
      </c>
      <c r="J1142" s="12">
        <f>(PrincipalesVariables[[#This Row],[Reservas internacionales]]-F1141)/F1141</f>
        <v>-7.6741062863720658E-4</v>
      </c>
    </row>
    <row r="1143" spans="1:10" ht="15.75" thickBot="1" x14ac:dyDescent="0.3">
      <c r="A1143" s="14">
        <v>42626</v>
      </c>
      <c r="B1143" s="15">
        <v>42626</v>
      </c>
      <c r="C1143" s="16">
        <v>682007</v>
      </c>
      <c r="D1143" s="10">
        <f>PrincipalesVariables[[#This Row],[Base monetaria]]/1000000</f>
        <v>0.68200700000000003</v>
      </c>
      <c r="E1143" s="10">
        <v>14.91</v>
      </c>
      <c r="F1143" s="11">
        <v>31084</v>
      </c>
      <c r="H1143" s="12">
        <f>(PrincipalesVariables[[#This Row],[Base monetaria]]-C1142)/C1142</f>
        <v>-1.1046583288018851E-2</v>
      </c>
      <c r="I1143" s="12">
        <f>(PrincipalesVariables[[#This Row],[Dólar  mayorista]]-E1142)/E1142</f>
        <v>-5.3368912608405652E-3</v>
      </c>
      <c r="J1143" s="12">
        <f>(PrincipalesVariables[[#This Row],[Reservas internacionales]]-F1142)/F1142</f>
        <v>-5.3119999999999999E-3</v>
      </c>
    </row>
    <row r="1144" spans="1:10" ht="15.75" thickBot="1" x14ac:dyDescent="0.3">
      <c r="A1144" s="14">
        <v>42627</v>
      </c>
      <c r="B1144" s="15">
        <v>42627</v>
      </c>
      <c r="C1144" s="16">
        <v>688437</v>
      </c>
      <c r="D1144" s="10">
        <f>PrincipalesVariables[[#This Row],[Base monetaria]]/1000000</f>
        <v>0.68843699999999997</v>
      </c>
      <c r="E1144" s="10">
        <v>15.03</v>
      </c>
      <c r="F1144" s="11">
        <v>31028</v>
      </c>
      <c r="H1144" s="12">
        <f>(PrincipalesVariables[[#This Row],[Base monetaria]]-C1143)/C1143</f>
        <v>9.4280557237682305E-3</v>
      </c>
      <c r="I1144" s="12">
        <f>(PrincipalesVariables[[#This Row],[Dólar  mayorista]]-E1143)/E1143</f>
        <v>8.0482897384305304E-3</v>
      </c>
      <c r="J1144" s="12">
        <f>(PrincipalesVariables[[#This Row],[Reservas internacionales]]-F1143)/F1143</f>
        <v>-1.8015699395187235E-3</v>
      </c>
    </row>
    <row r="1145" spans="1:10" ht="15.75" thickBot="1" x14ac:dyDescent="0.3">
      <c r="A1145" s="14">
        <v>42628</v>
      </c>
      <c r="B1145" s="15">
        <v>42628</v>
      </c>
      <c r="C1145" s="16">
        <v>685174</v>
      </c>
      <c r="D1145" s="10">
        <f>PrincipalesVariables[[#This Row],[Base monetaria]]/1000000</f>
        <v>0.68517399999999995</v>
      </c>
      <c r="E1145" s="10">
        <v>15.04</v>
      </c>
      <c r="F1145" s="11">
        <v>30873</v>
      </c>
      <c r="H1145" s="12">
        <f>(PrincipalesVariables[[#This Row],[Base monetaria]]-C1144)/C1144</f>
        <v>-4.7397220079687758E-3</v>
      </c>
      <c r="I1145" s="12">
        <f>(PrincipalesVariables[[#This Row],[Dólar  mayorista]]-E1144)/E1144</f>
        <v>6.6533599467729786E-4</v>
      </c>
      <c r="J1145" s="12">
        <f>(PrincipalesVariables[[#This Row],[Reservas internacionales]]-F1144)/F1144</f>
        <v>-4.9954879463710196E-3</v>
      </c>
    </row>
    <row r="1146" spans="1:10" ht="15.75" thickBot="1" x14ac:dyDescent="0.3">
      <c r="A1146" s="14">
        <v>42629</v>
      </c>
      <c r="B1146" s="15">
        <v>42629</v>
      </c>
      <c r="C1146" s="16">
        <v>675817</v>
      </c>
      <c r="D1146" s="10">
        <f>PrincipalesVariables[[#This Row],[Base monetaria]]/1000000</f>
        <v>0.675817</v>
      </c>
      <c r="E1146" s="10">
        <v>15.09</v>
      </c>
      <c r="F1146" s="11">
        <v>30813</v>
      </c>
      <c r="H1146" s="12">
        <f>(PrincipalesVariables[[#This Row],[Base monetaria]]-C1145)/C1145</f>
        <v>-1.3656385093421526E-2</v>
      </c>
      <c r="I1146" s="12">
        <f>(PrincipalesVariables[[#This Row],[Dólar  mayorista]]-E1145)/E1145</f>
        <v>3.3244680851064303E-3</v>
      </c>
      <c r="J1146" s="12">
        <f>(PrincipalesVariables[[#This Row],[Reservas internacionales]]-F1145)/F1145</f>
        <v>-1.94344572927801E-3</v>
      </c>
    </row>
    <row r="1147" spans="1:10" ht="15.75" thickBot="1" x14ac:dyDescent="0.3">
      <c r="A1147" s="14">
        <v>42632</v>
      </c>
      <c r="B1147" s="15">
        <v>42632</v>
      </c>
      <c r="C1147" s="16">
        <v>679204</v>
      </c>
      <c r="D1147" s="10">
        <f>PrincipalesVariables[[#This Row],[Base monetaria]]/1000000</f>
        <v>0.67920400000000003</v>
      </c>
      <c r="E1147" s="10">
        <v>15.15</v>
      </c>
      <c r="F1147" s="11">
        <v>30743</v>
      </c>
      <c r="H1147" s="12">
        <f>(PrincipalesVariables[[#This Row],[Base monetaria]]-C1146)/C1146</f>
        <v>5.0117117503702922E-3</v>
      </c>
      <c r="I1147" s="12">
        <f>(PrincipalesVariables[[#This Row],[Dólar  mayorista]]-E1146)/E1146</f>
        <v>3.9761431411531149E-3</v>
      </c>
      <c r="J1147" s="12">
        <f>(PrincipalesVariables[[#This Row],[Reservas internacionales]]-F1146)/F1146</f>
        <v>-2.271768409437575E-3</v>
      </c>
    </row>
    <row r="1148" spans="1:10" ht="15.75" thickBot="1" x14ac:dyDescent="0.3">
      <c r="A1148" s="14">
        <v>42633</v>
      </c>
      <c r="B1148" s="15">
        <v>42633</v>
      </c>
      <c r="C1148" s="16">
        <v>672499</v>
      </c>
      <c r="D1148" s="10">
        <f>PrincipalesVariables[[#This Row],[Base monetaria]]/1000000</f>
        <v>0.67249899999999996</v>
      </c>
      <c r="E1148" s="10">
        <v>15.16</v>
      </c>
      <c r="F1148" s="11">
        <v>30697</v>
      </c>
      <c r="H1148" s="12">
        <f>(PrincipalesVariables[[#This Row],[Base monetaria]]-C1147)/C1147</f>
        <v>-9.8718499891048937E-3</v>
      </c>
      <c r="I1148" s="12">
        <f>(PrincipalesVariables[[#This Row],[Dólar  mayorista]]-E1147)/E1147</f>
        <v>6.6006600660064598E-4</v>
      </c>
      <c r="J1148" s="12">
        <f>(PrincipalesVariables[[#This Row],[Reservas internacionales]]-F1147)/F1147</f>
        <v>-1.4962755749276257E-3</v>
      </c>
    </row>
    <row r="1149" spans="1:10" ht="15.75" thickBot="1" x14ac:dyDescent="0.3">
      <c r="A1149" s="14">
        <v>42634</v>
      </c>
      <c r="B1149" s="15">
        <v>42634</v>
      </c>
      <c r="C1149" s="16">
        <v>675277</v>
      </c>
      <c r="D1149" s="10">
        <f>PrincipalesVariables[[#This Row],[Base monetaria]]/1000000</f>
        <v>0.67527700000000002</v>
      </c>
      <c r="E1149" s="10">
        <v>15.14</v>
      </c>
      <c r="F1149" s="11">
        <v>30710</v>
      </c>
      <c r="H1149" s="12">
        <f>(PrincipalesVariables[[#This Row],[Base monetaria]]-C1148)/C1148</f>
        <v>4.1308611611318383E-3</v>
      </c>
      <c r="I1149" s="12">
        <f>(PrincipalesVariables[[#This Row],[Dólar  mayorista]]-E1148)/E1148</f>
        <v>-1.3192612137202884E-3</v>
      </c>
      <c r="J1149" s="12">
        <f>(PrincipalesVariables[[#This Row],[Reservas internacionales]]-F1148)/F1148</f>
        <v>4.2349415252304786E-4</v>
      </c>
    </row>
    <row r="1150" spans="1:10" ht="15.75" thickBot="1" x14ac:dyDescent="0.3">
      <c r="A1150" s="14">
        <v>42635</v>
      </c>
      <c r="B1150" s="15">
        <v>42635</v>
      </c>
      <c r="C1150" s="16">
        <v>673798</v>
      </c>
      <c r="D1150" s="10">
        <f>PrincipalesVariables[[#This Row],[Base monetaria]]/1000000</f>
        <v>0.67379800000000001</v>
      </c>
      <c r="E1150" s="10">
        <v>15.17</v>
      </c>
      <c r="F1150" s="11">
        <v>30736</v>
      </c>
      <c r="H1150" s="12">
        <f>(PrincipalesVariables[[#This Row],[Base monetaria]]-C1149)/C1149</f>
        <v>-2.1902123128730877E-3</v>
      </c>
      <c r="I1150" s="12">
        <f>(PrincipalesVariables[[#This Row],[Dólar  mayorista]]-E1149)/E1149</f>
        <v>1.9815059445177914E-3</v>
      </c>
      <c r="J1150" s="12">
        <f>(PrincipalesVariables[[#This Row],[Reservas internacionales]]-F1149)/F1149</f>
        <v>8.466297622924129E-4</v>
      </c>
    </row>
    <row r="1151" spans="1:10" ht="15.75" thickBot="1" x14ac:dyDescent="0.3">
      <c r="A1151" s="14">
        <v>42636</v>
      </c>
      <c r="B1151" s="15">
        <v>42636</v>
      </c>
      <c r="C1151" s="16">
        <v>666684</v>
      </c>
      <c r="D1151" s="10">
        <f>PrincipalesVariables[[#This Row],[Base monetaria]]/1000000</f>
        <v>0.66668400000000005</v>
      </c>
      <c r="E1151" s="10">
        <v>15.16</v>
      </c>
      <c r="F1151" s="11">
        <v>30748</v>
      </c>
      <c r="H1151" s="12">
        <f>(PrincipalesVariables[[#This Row],[Base monetaria]]-C1150)/C1150</f>
        <v>-1.05580604276059E-2</v>
      </c>
      <c r="I1151" s="12">
        <f>(PrincipalesVariables[[#This Row],[Dólar  mayorista]]-E1150)/E1150</f>
        <v>-6.5919578114698662E-4</v>
      </c>
      <c r="J1151" s="12">
        <f>(PrincipalesVariables[[#This Row],[Reservas internacionales]]-F1150)/F1150</f>
        <v>3.9042165538781884E-4</v>
      </c>
    </row>
    <row r="1152" spans="1:10" ht="15.75" thickBot="1" x14ac:dyDescent="0.3">
      <c r="A1152" s="14">
        <v>42639</v>
      </c>
      <c r="B1152" s="15">
        <v>42639</v>
      </c>
      <c r="C1152" s="16">
        <v>665301</v>
      </c>
      <c r="D1152" s="10">
        <f>PrincipalesVariables[[#This Row],[Base monetaria]]/1000000</f>
        <v>0.66530100000000003</v>
      </c>
      <c r="E1152" s="10">
        <v>15.21</v>
      </c>
      <c r="F1152" s="11">
        <v>30708</v>
      </c>
      <c r="H1152" s="12">
        <f>(PrincipalesVariables[[#This Row],[Base monetaria]]-C1151)/C1151</f>
        <v>-2.0744460644023257E-3</v>
      </c>
      <c r="I1152" s="12">
        <f>(PrincipalesVariables[[#This Row],[Dólar  mayorista]]-E1151)/E1151</f>
        <v>3.2981530343008385E-3</v>
      </c>
      <c r="J1152" s="12">
        <f>(PrincipalesVariables[[#This Row],[Reservas internacionales]]-F1151)/F1151</f>
        <v>-1.3008976193573565E-3</v>
      </c>
    </row>
    <row r="1153" spans="1:10" ht="15.75" thickBot="1" x14ac:dyDescent="0.3">
      <c r="A1153" s="14">
        <v>42640</v>
      </c>
      <c r="B1153" s="15">
        <v>42640</v>
      </c>
      <c r="C1153" s="16">
        <v>662208</v>
      </c>
      <c r="D1153" s="10">
        <f>PrincipalesVariables[[#This Row],[Base monetaria]]/1000000</f>
        <v>0.66220800000000002</v>
      </c>
      <c r="E1153" s="10">
        <v>15.27</v>
      </c>
      <c r="F1153" s="11">
        <v>30596</v>
      </c>
      <c r="H1153" s="12">
        <f>(PrincipalesVariables[[#This Row],[Base monetaria]]-C1152)/C1152</f>
        <v>-4.649023524690328E-3</v>
      </c>
      <c r="I1153" s="12">
        <f>(PrincipalesVariables[[#This Row],[Dólar  mayorista]]-E1152)/E1152</f>
        <v>3.9447731755423224E-3</v>
      </c>
      <c r="J1153" s="12">
        <f>(PrincipalesVariables[[#This Row],[Reservas internacionales]]-F1152)/F1152</f>
        <v>-3.6472580435065781E-3</v>
      </c>
    </row>
    <row r="1154" spans="1:10" ht="15.75" thickBot="1" x14ac:dyDescent="0.3">
      <c r="A1154" s="14">
        <v>42641</v>
      </c>
      <c r="B1154" s="15">
        <v>42641</v>
      </c>
      <c r="C1154" s="16">
        <v>662070</v>
      </c>
      <c r="D1154" s="10">
        <f>PrincipalesVariables[[#This Row],[Base monetaria]]/1000000</f>
        <v>0.66207000000000005</v>
      </c>
      <c r="E1154" s="10">
        <v>15.31</v>
      </c>
      <c r="F1154" s="11">
        <v>30389</v>
      </c>
      <c r="H1154" s="12">
        <f>(PrincipalesVariables[[#This Row],[Base monetaria]]-C1153)/C1153</f>
        <v>-2.0839373731516381E-4</v>
      </c>
      <c r="I1154" s="12">
        <f>(PrincipalesVariables[[#This Row],[Dólar  mayorista]]-E1153)/E1153</f>
        <v>2.6195153896529746E-3</v>
      </c>
      <c r="J1154" s="12">
        <f>(PrincipalesVariables[[#This Row],[Reservas internacionales]]-F1153)/F1153</f>
        <v>-6.7655902732383314E-3</v>
      </c>
    </row>
    <row r="1155" spans="1:10" ht="15.75" thickBot="1" x14ac:dyDescent="0.3">
      <c r="A1155" s="14">
        <v>42642</v>
      </c>
      <c r="B1155" s="15">
        <v>42642</v>
      </c>
      <c r="C1155" s="16">
        <v>652682</v>
      </c>
      <c r="D1155" s="10">
        <f>PrincipalesVariables[[#This Row],[Base monetaria]]/1000000</f>
        <v>0.65268199999999998</v>
      </c>
      <c r="E1155" s="10">
        <v>15.4</v>
      </c>
      <c r="F1155" s="11">
        <v>30009</v>
      </c>
      <c r="H1155" s="12">
        <f>(PrincipalesVariables[[#This Row],[Base monetaria]]-C1154)/C1154</f>
        <v>-1.4179769510776806E-2</v>
      </c>
      <c r="I1155" s="12">
        <f>(PrincipalesVariables[[#This Row],[Dólar  mayorista]]-E1154)/E1154</f>
        <v>5.8785107772697485E-3</v>
      </c>
      <c r="J1155" s="12">
        <f>(PrincipalesVariables[[#This Row],[Reservas internacionales]]-F1154)/F1154</f>
        <v>-1.2504524663529566E-2</v>
      </c>
    </row>
    <row r="1156" spans="1:10" ht="15.75" thickBot="1" x14ac:dyDescent="0.3">
      <c r="A1156" s="14">
        <v>42643</v>
      </c>
      <c r="B1156" s="15">
        <v>42643</v>
      </c>
      <c r="C1156" s="16">
        <v>682655</v>
      </c>
      <c r="D1156" s="10">
        <f>PrincipalesVariables[[#This Row],[Base monetaria]]/1000000</f>
        <v>0.68265500000000001</v>
      </c>
      <c r="E1156" s="10">
        <v>15.26</v>
      </c>
      <c r="F1156" s="11">
        <v>29902</v>
      </c>
      <c r="H1156" s="12">
        <f>(PrincipalesVariables[[#This Row],[Base monetaria]]-C1155)/C1155</f>
        <v>4.5922823059315256E-2</v>
      </c>
      <c r="I1156" s="12">
        <f>(PrincipalesVariables[[#This Row],[Dólar  mayorista]]-E1155)/E1155</f>
        <v>-9.0909090909091269E-3</v>
      </c>
      <c r="J1156" s="12">
        <f>(PrincipalesVariables[[#This Row],[Reservas internacionales]]-F1155)/F1155</f>
        <v>-3.5655969875703956E-3</v>
      </c>
    </row>
    <row r="1157" spans="1:10" ht="15.75" thickBot="1" x14ac:dyDescent="0.3">
      <c r="A1157" s="14">
        <v>42646</v>
      </c>
      <c r="B1157" s="15">
        <v>42646</v>
      </c>
      <c r="C1157" s="16">
        <v>686816</v>
      </c>
      <c r="D1157" s="10">
        <f>PrincipalesVariables[[#This Row],[Base monetaria]]/1000000</f>
        <v>0.68681599999999998</v>
      </c>
      <c r="E1157" s="10">
        <v>15.23</v>
      </c>
      <c r="F1157" s="11">
        <v>32296</v>
      </c>
      <c r="H1157" s="12">
        <f>(PrincipalesVariables[[#This Row],[Base monetaria]]-C1156)/C1156</f>
        <v>6.095319011799518E-3</v>
      </c>
      <c r="I1157" s="12">
        <f>(PrincipalesVariables[[#This Row],[Dólar  mayorista]]-E1156)/E1156</f>
        <v>-1.9659239842725663E-3</v>
      </c>
      <c r="J1157" s="12">
        <f>(PrincipalesVariables[[#This Row],[Reservas internacionales]]-F1156)/F1156</f>
        <v>8.006153434552872E-2</v>
      </c>
    </row>
    <row r="1158" spans="1:10" ht="15.75" thickBot="1" x14ac:dyDescent="0.3">
      <c r="A1158" s="14">
        <v>42647</v>
      </c>
      <c r="B1158" s="15">
        <v>42647</v>
      </c>
      <c r="C1158" s="16">
        <v>687644</v>
      </c>
      <c r="D1158" s="10">
        <f>PrincipalesVariables[[#This Row],[Base monetaria]]/1000000</f>
        <v>0.68764400000000003</v>
      </c>
      <c r="E1158" s="10">
        <v>15.18</v>
      </c>
      <c r="F1158" s="11">
        <v>32469</v>
      </c>
      <c r="H1158" s="12">
        <f>(PrincipalesVariables[[#This Row],[Base monetaria]]-C1157)/C1157</f>
        <v>1.205563062013698E-3</v>
      </c>
      <c r="I1158" s="12">
        <f>(PrincipalesVariables[[#This Row],[Dólar  mayorista]]-E1157)/E1157</f>
        <v>-3.2829940906106835E-3</v>
      </c>
      <c r="J1158" s="12">
        <f>(PrincipalesVariables[[#This Row],[Reservas internacionales]]-F1157)/F1157</f>
        <v>5.3567005201882586E-3</v>
      </c>
    </row>
    <row r="1159" spans="1:10" ht="15.75" thickBot="1" x14ac:dyDescent="0.3">
      <c r="A1159" s="14">
        <v>42648</v>
      </c>
      <c r="B1159" s="15">
        <v>42648</v>
      </c>
      <c r="C1159" s="16">
        <v>692655</v>
      </c>
      <c r="D1159" s="10">
        <f>PrincipalesVariables[[#This Row],[Base monetaria]]/1000000</f>
        <v>0.69265500000000002</v>
      </c>
      <c r="E1159" s="10">
        <v>15.18</v>
      </c>
      <c r="F1159" s="11">
        <v>32510</v>
      </c>
      <c r="H1159" s="12">
        <f>(PrincipalesVariables[[#This Row],[Base monetaria]]-C1158)/C1158</f>
        <v>7.2872009353677197E-3</v>
      </c>
      <c r="I1159" s="12">
        <f>(PrincipalesVariables[[#This Row],[Dólar  mayorista]]-E1158)/E1158</f>
        <v>0</v>
      </c>
      <c r="J1159" s="12">
        <f>(PrincipalesVariables[[#This Row],[Reservas internacionales]]-F1158)/F1158</f>
        <v>1.2627429240198342E-3</v>
      </c>
    </row>
    <row r="1160" spans="1:10" ht="15.75" thickBot="1" x14ac:dyDescent="0.3">
      <c r="A1160" s="14">
        <v>42649</v>
      </c>
      <c r="B1160" s="15">
        <v>42649</v>
      </c>
      <c r="C1160" s="16">
        <v>692582</v>
      </c>
      <c r="D1160" s="10">
        <f>PrincipalesVariables[[#This Row],[Base monetaria]]/1000000</f>
        <v>0.69258200000000003</v>
      </c>
      <c r="E1160" s="10">
        <v>15.22</v>
      </c>
      <c r="F1160" s="11">
        <v>32469</v>
      </c>
      <c r="H1160" s="12">
        <f>(PrincipalesVariables[[#This Row],[Base monetaria]]-C1159)/C1159</f>
        <v>-1.0539157300532011E-4</v>
      </c>
      <c r="I1160" s="12">
        <f>(PrincipalesVariables[[#This Row],[Dólar  mayorista]]-E1159)/E1159</f>
        <v>2.6350461133070437E-3</v>
      </c>
      <c r="J1160" s="12">
        <f>(PrincipalesVariables[[#This Row],[Reservas internacionales]]-F1159)/F1159</f>
        <v>-1.261150415256844E-3</v>
      </c>
    </row>
    <row r="1161" spans="1:10" ht="15.75" thickBot="1" x14ac:dyDescent="0.3">
      <c r="A1161" s="14">
        <v>42650</v>
      </c>
      <c r="B1161" s="15">
        <v>42650</v>
      </c>
      <c r="C1161" s="16">
        <v>707006</v>
      </c>
      <c r="D1161" s="10">
        <f>PrincipalesVariables[[#This Row],[Base monetaria]]/1000000</f>
        <v>0.70700600000000002</v>
      </c>
      <c r="E1161" s="10">
        <v>15.21</v>
      </c>
      <c r="F1161" s="11">
        <v>32533</v>
      </c>
      <c r="H1161" s="12">
        <f>(PrincipalesVariables[[#This Row],[Base monetaria]]-C1160)/C1160</f>
        <v>2.082641477832228E-2</v>
      </c>
      <c r="I1161" s="12">
        <f>(PrincipalesVariables[[#This Row],[Dólar  mayorista]]-E1160)/E1160</f>
        <v>-6.5703022339026187E-4</v>
      </c>
      <c r="J1161" s="12">
        <f>(PrincipalesVariables[[#This Row],[Reservas internacionales]]-F1160)/F1160</f>
        <v>1.9711109057870585E-3</v>
      </c>
    </row>
    <row r="1162" spans="1:10" ht="15.75" thickBot="1" x14ac:dyDescent="0.3">
      <c r="A1162" s="14">
        <v>42654</v>
      </c>
      <c r="B1162" s="15">
        <v>42654</v>
      </c>
      <c r="C1162" s="16">
        <v>711894</v>
      </c>
      <c r="D1162" s="10">
        <f>PrincipalesVariables[[#This Row],[Base monetaria]]/1000000</f>
        <v>0.71189400000000003</v>
      </c>
      <c r="E1162" s="10">
        <v>15.19</v>
      </c>
      <c r="F1162" s="11">
        <v>32457</v>
      </c>
      <c r="H1162" s="12">
        <f>(PrincipalesVariables[[#This Row],[Base monetaria]]-C1161)/C1161</f>
        <v>6.9136612702013845E-3</v>
      </c>
      <c r="I1162" s="12">
        <f>(PrincipalesVariables[[#This Row],[Dólar  mayorista]]-E1161)/E1161</f>
        <v>-1.3149243918475575E-3</v>
      </c>
      <c r="J1162" s="12">
        <f>(PrincipalesVariables[[#This Row],[Reservas internacionales]]-F1161)/F1161</f>
        <v>-2.3360895091138227E-3</v>
      </c>
    </row>
    <row r="1163" spans="1:10" ht="15.75" thickBot="1" x14ac:dyDescent="0.3">
      <c r="A1163" s="14">
        <v>42655</v>
      </c>
      <c r="B1163" s="15">
        <v>42655</v>
      </c>
      <c r="C1163" s="16">
        <v>709623</v>
      </c>
      <c r="D1163" s="10">
        <f>PrincipalesVariables[[#This Row],[Base monetaria]]/1000000</f>
        <v>0.709623</v>
      </c>
      <c r="E1163" s="10">
        <v>15.15</v>
      </c>
      <c r="F1163" s="11">
        <v>35553</v>
      </c>
      <c r="H1163" s="12">
        <f>(PrincipalesVariables[[#This Row],[Base monetaria]]-C1162)/C1162</f>
        <v>-3.1900816694620266E-3</v>
      </c>
      <c r="I1163" s="12">
        <f>(PrincipalesVariables[[#This Row],[Dólar  mayorista]]-E1162)/E1162</f>
        <v>-2.6333113890717017E-3</v>
      </c>
      <c r="J1163" s="12">
        <f>(PrincipalesVariables[[#This Row],[Reservas internacionales]]-F1162)/F1162</f>
        <v>9.5387743784083559E-2</v>
      </c>
    </row>
    <row r="1164" spans="1:10" ht="15.75" thickBot="1" x14ac:dyDescent="0.3">
      <c r="A1164" s="14">
        <v>42656</v>
      </c>
      <c r="B1164" s="15">
        <v>42656</v>
      </c>
      <c r="C1164" s="16">
        <v>707861</v>
      </c>
      <c r="D1164" s="10">
        <f>PrincipalesVariables[[#This Row],[Base monetaria]]/1000000</f>
        <v>0.70786099999999996</v>
      </c>
      <c r="E1164" s="10">
        <v>15.12</v>
      </c>
      <c r="F1164" s="11">
        <v>35482</v>
      </c>
      <c r="H1164" s="12">
        <f>(PrincipalesVariables[[#This Row],[Base monetaria]]-C1163)/C1163</f>
        <v>-2.4830085834309204E-3</v>
      </c>
      <c r="I1164" s="12">
        <f>(PrincipalesVariables[[#This Row],[Dólar  mayorista]]-E1163)/E1163</f>
        <v>-1.9801980198020552E-3</v>
      </c>
      <c r="J1164" s="12">
        <f>(PrincipalesVariables[[#This Row],[Reservas internacionales]]-F1163)/F1163</f>
        <v>-1.9970185357072539E-3</v>
      </c>
    </row>
    <row r="1165" spans="1:10" ht="15.75" thickBot="1" x14ac:dyDescent="0.3">
      <c r="A1165" s="14">
        <v>42657</v>
      </c>
      <c r="B1165" s="15">
        <v>42657</v>
      </c>
      <c r="C1165" s="16">
        <v>707528</v>
      </c>
      <c r="D1165" s="10">
        <f>PrincipalesVariables[[#This Row],[Base monetaria]]/1000000</f>
        <v>0.70752800000000005</v>
      </c>
      <c r="E1165" s="10">
        <v>15.12</v>
      </c>
      <c r="F1165" s="11">
        <v>35545</v>
      </c>
      <c r="H1165" s="12">
        <f>(PrincipalesVariables[[#This Row],[Base monetaria]]-C1164)/C1164</f>
        <v>-4.704313417464728E-4</v>
      </c>
      <c r="I1165" s="12">
        <f>(PrincipalesVariables[[#This Row],[Dólar  mayorista]]-E1164)/E1164</f>
        <v>0</v>
      </c>
      <c r="J1165" s="12">
        <f>(PrincipalesVariables[[#This Row],[Reservas internacionales]]-F1164)/F1164</f>
        <v>1.7755481652668959E-3</v>
      </c>
    </row>
    <row r="1166" spans="1:10" ht="15.75" thickBot="1" x14ac:dyDescent="0.3">
      <c r="A1166" s="14">
        <v>42660</v>
      </c>
      <c r="B1166" s="15">
        <v>42660</v>
      </c>
      <c r="C1166" s="16">
        <v>704126</v>
      </c>
      <c r="D1166" s="10">
        <f>PrincipalesVariables[[#This Row],[Base monetaria]]/1000000</f>
        <v>0.70412600000000003</v>
      </c>
      <c r="E1166" s="10">
        <v>15.21</v>
      </c>
      <c r="F1166" s="11">
        <v>39331</v>
      </c>
      <c r="H1166" s="12">
        <f>(PrincipalesVariables[[#This Row],[Base monetaria]]-C1165)/C1165</f>
        <v>-4.8082902726111192E-3</v>
      </c>
      <c r="I1166" s="12">
        <f>(PrincipalesVariables[[#This Row],[Dólar  mayorista]]-E1165)/E1165</f>
        <v>5.9523809523810605E-3</v>
      </c>
      <c r="J1166" s="12">
        <f>(PrincipalesVariables[[#This Row],[Reservas internacionales]]-F1165)/F1165</f>
        <v>0.10651287100858067</v>
      </c>
    </row>
    <row r="1167" spans="1:10" ht="15.75" thickBot="1" x14ac:dyDescent="0.3">
      <c r="A1167" s="14">
        <v>42661</v>
      </c>
      <c r="B1167" s="15">
        <v>42661</v>
      </c>
      <c r="C1167" s="16">
        <v>700089</v>
      </c>
      <c r="D1167" s="10">
        <f>PrincipalesVariables[[#This Row],[Base monetaria]]/1000000</f>
        <v>0.70008899999999996</v>
      </c>
      <c r="E1167" s="10">
        <v>15.2</v>
      </c>
      <c r="F1167" s="11">
        <v>39715</v>
      </c>
      <c r="H1167" s="12">
        <f>(PrincipalesVariables[[#This Row],[Base monetaria]]-C1166)/C1166</f>
        <v>-5.7333488608572901E-3</v>
      </c>
      <c r="I1167" s="12">
        <f>(PrincipalesVariables[[#This Row],[Dólar  mayorista]]-E1166)/E1166</f>
        <v>-6.5746219592383709E-4</v>
      </c>
      <c r="J1167" s="12">
        <f>(PrincipalesVariables[[#This Row],[Reservas internacionales]]-F1166)/F1166</f>
        <v>9.7632910426889725E-3</v>
      </c>
    </row>
    <row r="1168" spans="1:10" ht="15.75" thickBot="1" x14ac:dyDescent="0.3">
      <c r="A1168" s="14">
        <v>42662</v>
      </c>
      <c r="B1168" s="15">
        <v>42662</v>
      </c>
      <c r="C1168" s="16">
        <v>685319</v>
      </c>
      <c r="D1168" s="10">
        <f>PrincipalesVariables[[#This Row],[Base monetaria]]/1000000</f>
        <v>0.68531900000000001</v>
      </c>
      <c r="E1168" s="10">
        <v>15.21</v>
      </c>
      <c r="F1168" s="11">
        <v>39651</v>
      </c>
      <c r="H1168" s="12">
        <f>(PrincipalesVariables[[#This Row],[Base monetaria]]-C1167)/C1167</f>
        <v>-2.1097317626758885E-2</v>
      </c>
      <c r="I1168" s="12">
        <f>(PrincipalesVariables[[#This Row],[Dólar  mayorista]]-E1167)/E1167</f>
        <v>6.5789473684220814E-4</v>
      </c>
      <c r="J1168" s="12">
        <f>(PrincipalesVariables[[#This Row],[Reservas internacionales]]-F1167)/F1167</f>
        <v>-1.6114818078811531E-3</v>
      </c>
    </row>
    <row r="1169" spans="1:10" ht="15.75" thickBot="1" x14ac:dyDescent="0.3">
      <c r="A1169" s="14">
        <v>42663</v>
      </c>
      <c r="B1169" s="15">
        <v>42663</v>
      </c>
      <c r="C1169" s="16">
        <v>691652</v>
      </c>
      <c r="D1169" s="10">
        <f>PrincipalesVariables[[#This Row],[Base monetaria]]/1000000</f>
        <v>0.69165200000000004</v>
      </c>
      <c r="E1169" s="10">
        <v>15.18</v>
      </c>
      <c r="F1169" s="11">
        <v>40632</v>
      </c>
      <c r="H1169" s="12">
        <f>(PrincipalesVariables[[#This Row],[Base monetaria]]-C1168)/C1168</f>
        <v>9.2409520238020543E-3</v>
      </c>
      <c r="I1169" s="12">
        <f>(PrincipalesVariables[[#This Row],[Dólar  mayorista]]-E1168)/E1168</f>
        <v>-1.9723865877712778E-3</v>
      </c>
      <c r="J1169" s="12">
        <f>(PrincipalesVariables[[#This Row],[Reservas internacionales]]-F1168)/F1168</f>
        <v>2.474086403873799E-2</v>
      </c>
    </row>
    <row r="1170" spans="1:10" ht="15.75" thickBot="1" x14ac:dyDescent="0.3">
      <c r="A1170" s="14">
        <v>42664</v>
      </c>
      <c r="B1170" s="15">
        <v>42664</v>
      </c>
      <c r="C1170" s="16">
        <v>688804</v>
      </c>
      <c r="D1170" s="10">
        <f>PrincipalesVariables[[#This Row],[Base monetaria]]/1000000</f>
        <v>0.68880399999999997</v>
      </c>
      <c r="E1170" s="10">
        <v>15.15</v>
      </c>
      <c r="F1170" s="11">
        <v>40264</v>
      </c>
      <c r="H1170" s="12">
        <f>(PrincipalesVariables[[#This Row],[Base monetaria]]-C1169)/C1169</f>
        <v>-4.1176776760567455E-3</v>
      </c>
      <c r="I1170" s="12">
        <f>(PrincipalesVariables[[#This Row],[Dólar  mayorista]]-E1169)/E1169</f>
        <v>-1.976284584980195E-3</v>
      </c>
      <c r="J1170" s="12">
        <f>(PrincipalesVariables[[#This Row],[Reservas internacionales]]-F1169)/F1169</f>
        <v>-9.0569009647568418E-3</v>
      </c>
    </row>
    <row r="1171" spans="1:10" ht="15.75" thickBot="1" x14ac:dyDescent="0.3">
      <c r="A1171" s="14">
        <v>42667</v>
      </c>
      <c r="B1171" s="15">
        <v>42667</v>
      </c>
      <c r="C1171" s="16">
        <v>686510</v>
      </c>
      <c r="D1171" s="10">
        <f>PrincipalesVariables[[#This Row],[Base monetaria]]/1000000</f>
        <v>0.68650999999999995</v>
      </c>
      <c r="E1171" s="10">
        <v>15.12</v>
      </c>
      <c r="F1171" s="11">
        <v>40572</v>
      </c>
      <c r="H1171" s="12">
        <f>(PrincipalesVariables[[#This Row],[Base monetaria]]-C1170)/C1170</f>
        <v>-3.3304103925064312E-3</v>
      </c>
      <c r="I1171" s="12">
        <f>(PrincipalesVariables[[#This Row],[Dólar  mayorista]]-E1170)/E1170</f>
        <v>-1.9801980198020552E-3</v>
      </c>
      <c r="J1171" s="12">
        <f>(PrincipalesVariables[[#This Row],[Reservas internacionales]]-F1170)/F1170</f>
        <v>7.6495132127955496E-3</v>
      </c>
    </row>
    <row r="1172" spans="1:10" ht="15.75" thickBot="1" x14ac:dyDescent="0.3">
      <c r="A1172" s="14">
        <v>42668</v>
      </c>
      <c r="B1172" s="15">
        <v>42668</v>
      </c>
      <c r="C1172" s="16">
        <v>687830</v>
      </c>
      <c r="D1172" s="10">
        <f>PrincipalesVariables[[#This Row],[Base monetaria]]/1000000</f>
        <v>0.68783000000000005</v>
      </c>
      <c r="E1172" s="10">
        <v>15.19</v>
      </c>
      <c r="F1172" s="11">
        <v>40840</v>
      </c>
      <c r="H1172" s="12">
        <f>(PrincipalesVariables[[#This Row],[Base monetaria]]-C1171)/C1171</f>
        <v>1.9227687870533568E-3</v>
      </c>
      <c r="I1172" s="12">
        <f>(PrincipalesVariables[[#This Row],[Dólar  mayorista]]-E1171)/E1171</f>
        <v>4.6296296296296485E-3</v>
      </c>
      <c r="J1172" s="12">
        <f>(PrincipalesVariables[[#This Row],[Reservas internacionales]]-F1171)/F1171</f>
        <v>6.6055407670314505E-3</v>
      </c>
    </row>
    <row r="1173" spans="1:10" ht="15.75" thickBot="1" x14ac:dyDescent="0.3">
      <c r="A1173" s="14">
        <v>42669</v>
      </c>
      <c r="B1173" s="15">
        <v>42669</v>
      </c>
      <c r="C1173" s="16">
        <v>673553</v>
      </c>
      <c r="D1173" s="10">
        <f>PrincipalesVariables[[#This Row],[Base monetaria]]/1000000</f>
        <v>0.67355299999999996</v>
      </c>
      <c r="E1173" s="10">
        <v>15.22</v>
      </c>
      <c r="F1173" s="11">
        <v>40885</v>
      </c>
      <c r="H1173" s="12">
        <f>(PrincipalesVariables[[#This Row],[Base monetaria]]-C1172)/C1172</f>
        <v>-2.0756582295043832E-2</v>
      </c>
      <c r="I1173" s="12">
        <f>(PrincipalesVariables[[#This Row],[Dólar  mayorista]]-E1172)/E1172</f>
        <v>1.974983541803893E-3</v>
      </c>
      <c r="J1173" s="12">
        <f>(PrincipalesVariables[[#This Row],[Reservas internacionales]]-F1172)/F1172</f>
        <v>1.1018609206660138E-3</v>
      </c>
    </row>
    <row r="1174" spans="1:10" ht="15.75" thickBot="1" x14ac:dyDescent="0.3">
      <c r="A1174" s="14">
        <v>42670</v>
      </c>
      <c r="B1174" s="15">
        <v>42670</v>
      </c>
      <c r="C1174" s="16">
        <v>669905</v>
      </c>
      <c r="D1174" s="10">
        <f>PrincipalesVariables[[#This Row],[Base monetaria]]/1000000</f>
        <v>0.66990499999999997</v>
      </c>
      <c r="E1174" s="10">
        <v>15.18</v>
      </c>
      <c r="F1174" s="11">
        <v>39841</v>
      </c>
      <c r="H1174" s="12">
        <f>(PrincipalesVariables[[#This Row],[Base monetaria]]-C1173)/C1173</f>
        <v>-5.416054861310097E-3</v>
      </c>
      <c r="I1174" s="12">
        <f>(PrincipalesVariables[[#This Row],[Dólar  mayorista]]-E1173)/E1173</f>
        <v>-2.6281208935611646E-3</v>
      </c>
      <c r="J1174" s="12">
        <f>(PrincipalesVariables[[#This Row],[Reservas internacionales]]-F1173)/F1173</f>
        <v>-2.5535037299743182E-2</v>
      </c>
    </row>
    <row r="1175" spans="1:10" ht="15.75" thickBot="1" x14ac:dyDescent="0.3">
      <c r="A1175" s="14">
        <v>42671</v>
      </c>
      <c r="B1175" s="15">
        <v>42671</v>
      </c>
      <c r="C1175" s="16">
        <v>701484</v>
      </c>
      <c r="D1175" s="10">
        <f>PrincipalesVariables[[#This Row],[Base monetaria]]/1000000</f>
        <v>0.701484</v>
      </c>
      <c r="E1175" s="10">
        <v>15.19</v>
      </c>
      <c r="F1175" s="11">
        <v>40020</v>
      </c>
      <c r="H1175" s="12">
        <f>(PrincipalesVariables[[#This Row],[Base monetaria]]-C1174)/C1174</f>
        <v>4.713951978265575E-2</v>
      </c>
      <c r="I1175" s="12">
        <f>(PrincipalesVariables[[#This Row],[Dólar  mayorista]]-E1174)/E1174</f>
        <v>6.5876152832673165E-4</v>
      </c>
      <c r="J1175" s="12">
        <f>(PrincipalesVariables[[#This Row],[Reservas internacionales]]-F1174)/F1174</f>
        <v>4.4928591149820535E-3</v>
      </c>
    </row>
    <row r="1176" spans="1:10" ht="15.75" thickBot="1" x14ac:dyDescent="0.3">
      <c r="A1176" s="14">
        <v>42674</v>
      </c>
      <c r="B1176" s="15">
        <v>42674</v>
      </c>
      <c r="C1176" s="16">
        <v>674209</v>
      </c>
      <c r="D1176" s="10">
        <f>PrincipalesVariables[[#This Row],[Base monetaria]]/1000000</f>
        <v>0.67420899999999995</v>
      </c>
      <c r="E1176" s="10">
        <v>15.17</v>
      </c>
      <c r="F1176" s="11">
        <v>37210</v>
      </c>
      <c r="H1176" s="12">
        <f>(PrincipalesVariables[[#This Row],[Base monetaria]]-C1175)/C1175</f>
        <v>-3.8881856179185839E-2</v>
      </c>
      <c r="I1176" s="12">
        <f>(PrincipalesVariables[[#This Row],[Dólar  mayorista]]-E1175)/E1175</f>
        <v>-1.3166556945358508E-3</v>
      </c>
      <c r="J1176" s="12">
        <f>(PrincipalesVariables[[#This Row],[Reservas internacionales]]-F1175)/F1175</f>
        <v>-7.0214892553723138E-2</v>
      </c>
    </row>
    <row r="1177" spans="1:10" ht="15.75" thickBot="1" x14ac:dyDescent="0.3">
      <c r="A1177" s="14">
        <v>42675</v>
      </c>
      <c r="B1177" s="15">
        <v>42675</v>
      </c>
      <c r="C1177" s="16">
        <v>717898</v>
      </c>
      <c r="D1177" s="10">
        <f>PrincipalesVariables[[#This Row],[Base monetaria]]/1000000</f>
        <v>0.71789800000000004</v>
      </c>
      <c r="E1177" s="10">
        <v>15.13</v>
      </c>
      <c r="F1177" s="11">
        <v>37533</v>
      </c>
      <c r="H1177" s="12">
        <f>(PrincipalesVariables[[#This Row],[Base monetaria]]-C1176)/C1176</f>
        <v>6.4800380890792028E-2</v>
      </c>
      <c r="I1177" s="12">
        <f>(PrincipalesVariables[[#This Row],[Dólar  mayorista]]-E1176)/E1176</f>
        <v>-2.6367831245879465E-3</v>
      </c>
      <c r="J1177" s="12">
        <f>(PrincipalesVariables[[#This Row],[Reservas internacionales]]-F1176)/F1176</f>
        <v>8.6804622413329743E-3</v>
      </c>
    </row>
    <row r="1178" spans="1:10" ht="15.75" thickBot="1" x14ac:dyDescent="0.3">
      <c r="A1178" s="14">
        <v>42676</v>
      </c>
      <c r="B1178" s="15">
        <v>42676</v>
      </c>
      <c r="C1178" s="16">
        <v>704074</v>
      </c>
      <c r="D1178" s="10">
        <f>PrincipalesVariables[[#This Row],[Base monetaria]]/1000000</f>
        <v>0.70407399999999998</v>
      </c>
      <c r="E1178" s="10">
        <v>15.08</v>
      </c>
      <c r="F1178" s="11">
        <v>37622</v>
      </c>
      <c r="H1178" s="12">
        <f>(PrincipalesVariables[[#This Row],[Base monetaria]]-C1177)/C1177</f>
        <v>-1.9256217457076074E-2</v>
      </c>
      <c r="I1178" s="12">
        <f>(PrincipalesVariables[[#This Row],[Dólar  mayorista]]-E1177)/E1177</f>
        <v>-3.3046926635823337E-3</v>
      </c>
      <c r="J1178" s="12">
        <f>(PrincipalesVariables[[#This Row],[Reservas internacionales]]-F1177)/F1177</f>
        <v>2.3712466362933952E-3</v>
      </c>
    </row>
    <row r="1179" spans="1:10" ht="15.75" thickBot="1" x14ac:dyDescent="0.3">
      <c r="A1179" s="14">
        <v>42677</v>
      </c>
      <c r="B1179" s="15">
        <v>42677</v>
      </c>
      <c r="C1179" s="16">
        <v>704798</v>
      </c>
      <c r="D1179" s="10">
        <f>PrincipalesVariables[[#This Row],[Base monetaria]]/1000000</f>
        <v>0.70479800000000004</v>
      </c>
      <c r="E1179" s="10">
        <v>15.13</v>
      </c>
      <c r="F1179" s="11">
        <v>37616</v>
      </c>
      <c r="H1179" s="12">
        <f>(PrincipalesVariables[[#This Row],[Base monetaria]]-C1178)/C1178</f>
        <v>1.0283010024514469E-3</v>
      </c>
      <c r="I1179" s="12">
        <f>(PrincipalesVariables[[#This Row],[Dólar  mayorista]]-E1178)/E1178</f>
        <v>3.3156498673740523E-3</v>
      </c>
      <c r="J1179" s="12">
        <f>(PrincipalesVariables[[#This Row],[Reservas internacionales]]-F1178)/F1178</f>
        <v>-1.5948115464355962E-4</v>
      </c>
    </row>
    <row r="1180" spans="1:10" ht="15.75" thickBot="1" x14ac:dyDescent="0.3">
      <c r="A1180" s="14">
        <v>42678</v>
      </c>
      <c r="B1180" s="15">
        <v>42678</v>
      </c>
      <c r="C1180" s="16">
        <v>721518</v>
      </c>
      <c r="D1180" s="10">
        <f>PrincipalesVariables[[#This Row],[Base monetaria]]/1000000</f>
        <v>0.72151799999999999</v>
      </c>
      <c r="E1180" s="10">
        <v>15.07</v>
      </c>
      <c r="F1180" s="11">
        <v>37940</v>
      </c>
      <c r="H1180" s="12">
        <f>(PrincipalesVariables[[#This Row],[Base monetaria]]-C1179)/C1179</f>
        <v>2.3723109316428254E-2</v>
      </c>
      <c r="I1180" s="12">
        <f>(PrincipalesVariables[[#This Row],[Dólar  mayorista]]-E1179)/E1179</f>
        <v>-3.9656311962987766E-3</v>
      </c>
      <c r="J1180" s="12">
        <f>(PrincipalesVariables[[#This Row],[Reservas internacionales]]-F1179)/F1179</f>
        <v>8.6133560187154398E-3</v>
      </c>
    </row>
    <row r="1181" spans="1:10" ht="15.75" thickBot="1" x14ac:dyDescent="0.3">
      <c r="A1181" s="14">
        <v>42681</v>
      </c>
      <c r="B1181" s="15">
        <v>42681</v>
      </c>
      <c r="C1181" s="16">
        <v>723317</v>
      </c>
      <c r="D1181" s="10">
        <f>PrincipalesVariables[[#This Row],[Base monetaria]]/1000000</f>
        <v>0.72331699999999999</v>
      </c>
      <c r="E1181" s="10">
        <v>15.04</v>
      </c>
      <c r="F1181" s="11">
        <v>37691</v>
      </c>
      <c r="H1181" s="12">
        <f>(PrincipalesVariables[[#This Row],[Base monetaria]]-C1180)/C1180</f>
        <v>2.4933542891514833E-3</v>
      </c>
      <c r="I1181" s="12">
        <f>(PrincipalesVariables[[#This Row],[Dólar  mayorista]]-E1180)/E1180</f>
        <v>-1.9907100199071754E-3</v>
      </c>
      <c r="J1181" s="12">
        <f>(PrincipalesVariables[[#This Row],[Reservas internacionales]]-F1180)/F1180</f>
        <v>-6.5629942013705851E-3</v>
      </c>
    </row>
    <row r="1182" spans="1:10" ht="15.75" thickBot="1" x14ac:dyDescent="0.3">
      <c r="A1182" s="14">
        <v>42682</v>
      </c>
      <c r="B1182" s="15">
        <v>42682</v>
      </c>
      <c r="C1182" s="16">
        <v>724286</v>
      </c>
      <c r="D1182" s="10">
        <f>PrincipalesVariables[[#This Row],[Base monetaria]]/1000000</f>
        <v>0.72428599999999999</v>
      </c>
      <c r="E1182" s="10">
        <v>15.04</v>
      </c>
      <c r="F1182" s="11">
        <v>38070</v>
      </c>
      <c r="H1182" s="12">
        <f>(PrincipalesVariables[[#This Row],[Base monetaria]]-C1181)/C1181</f>
        <v>1.3396615868284582E-3</v>
      </c>
      <c r="I1182" s="12">
        <f>(PrincipalesVariables[[#This Row],[Dólar  mayorista]]-E1181)/E1181</f>
        <v>0</v>
      </c>
      <c r="J1182" s="12">
        <f>(PrincipalesVariables[[#This Row],[Reservas internacionales]]-F1181)/F1181</f>
        <v>1.005545090339869E-2</v>
      </c>
    </row>
    <row r="1183" spans="1:10" ht="15.75" thickBot="1" x14ac:dyDescent="0.3">
      <c r="A1183" s="14">
        <v>42683</v>
      </c>
      <c r="B1183" s="15">
        <v>42683</v>
      </c>
      <c r="C1183" s="16">
        <v>727448</v>
      </c>
      <c r="D1183" s="10">
        <f>PrincipalesVariables[[#This Row],[Base monetaria]]/1000000</f>
        <v>0.72744799999999998</v>
      </c>
      <c r="E1183" s="10">
        <v>15.02</v>
      </c>
      <c r="F1183" s="11">
        <v>38058</v>
      </c>
      <c r="H1183" s="12">
        <f>(PrincipalesVariables[[#This Row],[Base monetaria]]-C1182)/C1182</f>
        <v>4.3656787512115379E-3</v>
      </c>
      <c r="I1183" s="12">
        <f>(PrincipalesVariables[[#This Row],[Dólar  mayorista]]-E1182)/E1182</f>
        <v>-1.329787234042525E-3</v>
      </c>
      <c r="J1183" s="12">
        <f>(PrincipalesVariables[[#This Row],[Reservas internacionales]]-F1182)/F1182</f>
        <v>-3.1520882584712374E-4</v>
      </c>
    </row>
    <row r="1184" spans="1:10" ht="15.75" thickBot="1" x14ac:dyDescent="0.3">
      <c r="A1184" s="14">
        <v>42684</v>
      </c>
      <c r="B1184" s="15">
        <v>42684</v>
      </c>
      <c r="C1184" s="16">
        <v>725266</v>
      </c>
      <c r="D1184" s="10">
        <f>PrincipalesVariables[[#This Row],[Base monetaria]]/1000000</f>
        <v>0.72526599999999997</v>
      </c>
      <c r="E1184" s="10">
        <v>15.02</v>
      </c>
      <c r="F1184" s="11">
        <v>38016</v>
      </c>
      <c r="H1184" s="12">
        <f>(PrincipalesVariables[[#This Row],[Base monetaria]]-C1183)/C1183</f>
        <v>-2.9995271139655342E-3</v>
      </c>
      <c r="I1184" s="12">
        <f>(PrincipalesVariables[[#This Row],[Dólar  mayorista]]-E1183)/E1183</f>
        <v>0</v>
      </c>
      <c r="J1184" s="12">
        <f>(PrincipalesVariables[[#This Row],[Reservas internacionales]]-F1183)/F1183</f>
        <v>-1.1035787482263912E-3</v>
      </c>
    </row>
    <row r="1185" spans="1:10" ht="15.75" thickBot="1" x14ac:dyDescent="0.3">
      <c r="A1185" s="14">
        <v>42685</v>
      </c>
      <c r="B1185" s="15">
        <v>42685</v>
      </c>
      <c r="C1185" s="16">
        <v>718999</v>
      </c>
      <c r="D1185" s="10">
        <f>PrincipalesVariables[[#This Row],[Base monetaria]]/1000000</f>
        <v>0.71899900000000005</v>
      </c>
      <c r="E1185" s="10">
        <v>15.22</v>
      </c>
      <c r="F1185" s="11">
        <v>37958</v>
      </c>
      <c r="H1185" s="12">
        <f>(PrincipalesVariables[[#This Row],[Base monetaria]]-C1184)/C1184</f>
        <v>-8.6409675898222165E-3</v>
      </c>
      <c r="I1185" s="12">
        <f>(PrincipalesVariables[[#This Row],[Dólar  mayorista]]-E1184)/E1184</f>
        <v>1.3315579227696476E-2</v>
      </c>
      <c r="J1185" s="12">
        <f>(PrincipalesVariables[[#This Row],[Reservas internacionales]]-F1184)/F1184</f>
        <v>-1.5256734006734007E-3</v>
      </c>
    </row>
    <row r="1186" spans="1:10" ht="15.75" thickBot="1" x14ac:dyDescent="0.3">
      <c r="A1186" s="14">
        <v>42688</v>
      </c>
      <c r="B1186" s="15">
        <v>42688</v>
      </c>
      <c r="C1186" s="16">
        <v>717603</v>
      </c>
      <c r="D1186" s="10">
        <f>PrincipalesVariables[[#This Row],[Base monetaria]]/1000000</f>
        <v>0.71760299999999999</v>
      </c>
      <c r="E1186" s="10">
        <v>15.53</v>
      </c>
      <c r="F1186" s="11">
        <v>37938</v>
      </c>
      <c r="H1186" s="12">
        <f>(PrincipalesVariables[[#This Row],[Base monetaria]]-C1185)/C1185</f>
        <v>-1.9415882358668093E-3</v>
      </c>
      <c r="I1186" s="12">
        <f>(PrincipalesVariables[[#This Row],[Dólar  mayorista]]-E1185)/E1185</f>
        <v>2.036793692509847E-2</v>
      </c>
      <c r="J1186" s="12">
        <f>(PrincipalesVariables[[#This Row],[Reservas internacionales]]-F1185)/F1185</f>
        <v>-5.2689815058749141E-4</v>
      </c>
    </row>
    <row r="1187" spans="1:10" ht="15.75" thickBot="1" x14ac:dyDescent="0.3">
      <c r="A1187" s="14">
        <v>42689</v>
      </c>
      <c r="B1187" s="15">
        <v>42689</v>
      </c>
      <c r="C1187" s="16">
        <v>717870</v>
      </c>
      <c r="D1187" s="10">
        <f>PrincipalesVariables[[#This Row],[Base monetaria]]/1000000</f>
        <v>0.71787000000000001</v>
      </c>
      <c r="E1187" s="10">
        <v>15.54</v>
      </c>
      <c r="F1187" s="11">
        <v>37901</v>
      </c>
      <c r="H1187" s="12">
        <f>(PrincipalesVariables[[#This Row],[Base monetaria]]-C1186)/C1186</f>
        <v>3.7207202311027128E-4</v>
      </c>
      <c r="I1187" s="12">
        <f>(PrincipalesVariables[[#This Row],[Dólar  mayorista]]-E1186)/E1186</f>
        <v>6.4391500321956134E-4</v>
      </c>
      <c r="J1187" s="12">
        <f>(PrincipalesVariables[[#This Row],[Reservas internacionales]]-F1186)/F1186</f>
        <v>-9.7527544941747063E-4</v>
      </c>
    </row>
    <row r="1188" spans="1:10" ht="15.75" thickBot="1" x14ac:dyDescent="0.3">
      <c r="A1188" s="14">
        <v>42690</v>
      </c>
      <c r="B1188" s="15">
        <v>42690</v>
      </c>
      <c r="C1188" s="16">
        <v>736911</v>
      </c>
      <c r="D1188" s="10">
        <f>PrincipalesVariables[[#This Row],[Base monetaria]]/1000000</f>
        <v>0.73691099999999998</v>
      </c>
      <c r="E1188" s="10">
        <v>15.55</v>
      </c>
      <c r="F1188" s="11">
        <v>37875</v>
      </c>
      <c r="H1188" s="12">
        <f>(PrincipalesVariables[[#This Row],[Base monetaria]]-C1187)/C1187</f>
        <v>2.6524301057294496E-2</v>
      </c>
      <c r="I1188" s="12">
        <f>(PrincipalesVariables[[#This Row],[Dólar  mayorista]]-E1187)/E1187</f>
        <v>6.4350064350074409E-4</v>
      </c>
      <c r="J1188" s="12">
        <f>(PrincipalesVariables[[#This Row],[Reservas internacionales]]-F1187)/F1187</f>
        <v>-6.8599773093058227E-4</v>
      </c>
    </row>
    <row r="1189" spans="1:10" ht="15.75" thickBot="1" x14ac:dyDescent="0.3">
      <c r="A1189" s="14">
        <v>42691</v>
      </c>
      <c r="B1189" s="15">
        <v>42691</v>
      </c>
      <c r="C1189" s="16">
        <v>733009</v>
      </c>
      <c r="D1189" s="10">
        <f>PrincipalesVariables[[#This Row],[Base monetaria]]/1000000</f>
        <v>0.73300900000000002</v>
      </c>
      <c r="E1189" s="10">
        <v>15.47</v>
      </c>
      <c r="F1189" s="11">
        <v>37426</v>
      </c>
      <c r="H1189" s="12">
        <f>(PrincipalesVariables[[#This Row],[Base monetaria]]-C1188)/C1188</f>
        <v>-5.295076338933738E-3</v>
      </c>
      <c r="I1189" s="12">
        <f>(PrincipalesVariables[[#This Row],[Dólar  mayorista]]-E1188)/E1188</f>
        <v>-5.1446945337620623E-3</v>
      </c>
      <c r="J1189" s="12">
        <f>(PrincipalesVariables[[#This Row],[Reservas internacionales]]-F1188)/F1188</f>
        <v>-1.1854785478547855E-2</v>
      </c>
    </row>
    <row r="1190" spans="1:10" ht="15.75" thickBot="1" x14ac:dyDescent="0.3">
      <c r="A1190" s="14">
        <v>42692</v>
      </c>
      <c r="B1190" s="15">
        <v>42692</v>
      </c>
      <c r="C1190" s="16">
        <v>728279</v>
      </c>
      <c r="D1190" s="10">
        <f>PrincipalesVariables[[#This Row],[Base monetaria]]/1000000</f>
        <v>0.72827900000000001</v>
      </c>
      <c r="E1190" s="10">
        <v>15.48</v>
      </c>
      <c r="F1190" s="11">
        <v>37283</v>
      </c>
      <c r="H1190" s="12">
        <f>(PrincipalesVariables[[#This Row],[Base monetaria]]-C1189)/C1189</f>
        <v>-6.4528539213024672E-3</v>
      </c>
      <c r="I1190" s="12">
        <f>(PrincipalesVariables[[#This Row],[Dólar  mayorista]]-E1189)/E1189</f>
        <v>6.4641241111827968E-4</v>
      </c>
      <c r="J1190" s="12">
        <f>(PrincipalesVariables[[#This Row],[Reservas internacionales]]-F1189)/F1189</f>
        <v>-3.8208731897611285E-3</v>
      </c>
    </row>
    <row r="1191" spans="1:10" ht="15.75" thickBot="1" x14ac:dyDescent="0.3">
      <c r="A1191" s="14">
        <v>42695</v>
      </c>
      <c r="B1191" s="15">
        <v>42695</v>
      </c>
      <c r="C1191" s="16">
        <v>728373</v>
      </c>
      <c r="D1191" s="10">
        <f>PrincipalesVariables[[#This Row],[Base monetaria]]/1000000</f>
        <v>0.72837300000000005</v>
      </c>
      <c r="E1191" s="10">
        <v>15.4</v>
      </c>
      <c r="F1191" s="11">
        <v>37461</v>
      </c>
      <c r="H1191" s="12">
        <f>(PrincipalesVariables[[#This Row],[Base monetaria]]-C1190)/C1190</f>
        <v>1.2907141356540555E-4</v>
      </c>
      <c r="I1191" s="12">
        <f>(PrincipalesVariables[[#This Row],[Dólar  mayorista]]-E1190)/E1190</f>
        <v>-5.1679586563307539E-3</v>
      </c>
      <c r="J1191" s="12">
        <f>(PrincipalesVariables[[#This Row],[Reservas internacionales]]-F1190)/F1190</f>
        <v>4.7742939141163536E-3</v>
      </c>
    </row>
    <row r="1192" spans="1:10" ht="15.75" thickBot="1" x14ac:dyDescent="0.3">
      <c r="A1192" s="14">
        <v>42696</v>
      </c>
      <c r="B1192" s="15">
        <v>42696</v>
      </c>
      <c r="C1192" s="16">
        <v>725099</v>
      </c>
      <c r="D1192" s="10">
        <f>PrincipalesVariables[[#This Row],[Base monetaria]]/1000000</f>
        <v>0.72509900000000005</v>
      </c>
      <c r="E1192" s="10">
        <v>15.41</v>
      </c>
      <c r="F1192" s="11">
        <v>37610</v>
      </c>
      <c r="H1192" s="12">
        <f>(PrincipalesVariables[[#This Row],[Base monetaria]]-C1191)/C1191</f>
        <v>-4.4949497029681219E-3</v>
      </c>
      <c r="I1192" s="12">
        <f>(PrincipalesVariables[[#This Row],[Dólar  mayorista]]-E1191)/E1191</f>
        <v>6.4935064935063547E-4</v>
      </c>
      <c r="J1192" s="12">
        <f>(PrincipalesVariables[[#This Row],[Reservas internacionales]]-F1191)/F1191</f>
        <v>3.977469902031446E-3</v>
      </c>
    </row>
    <row r="1193" spans="1:10" ht="15.75" thickBot="1" x14ac:dyDescent="0.3">
      <c r="A1193" s="14">
        <v>42697</v>
      </c>
      <c r="B1193" s="15">
        <v>42697</v>
      </c>
      <c r="C1193" s="16">
        <v>711483</v>
      </c>
      <c r="D1193" s="10">
        <f>PrincipalesVariables[[#This Row],[Base monetaria]]/1000000</f>
        <v>0.71148299999999998</v>
      </c>
      <c r="E1193" s="10">
        <v>15.53</v>
      </c>
      <c r="F1193" s="11">
        <v>37554</v>
      </c>
      <c r="H1193" s="12">
        <f>(PrincipalesVariables[[#This Row],[Base monetaria]]-C1192)/C1192</f>
        <v>-1.877812546976344E-2</v>
      </c>
      <c r="I1193" s="12">
        <f>(PrincipalesVariables[[#This Row],[Dólar  mayorista]]-E1192)/E1192</f>
        <v>7.7871512005190926E-3</v>
      </c>
      <c r="J1193" s="12">
        <f>(PrincipalesVariables[[#This Row],[Reservas internacionales]]-F1192)/F1192</f>
        <v>-1.4889657006115396E-3</v>
      </c>
    </row>
    <row r="1194" spans="1:10" ht="15.75" thickBot="1" x14ac:dyDescent="0.3">
      <c r="A1194" s="14">
        <v>42698</v>
      </c>
      <c r="B1194" s="15">
        <v>42698</v>
      </c>
      <c r="C1194" s="16">
        <v>704644</v>
      </c>
      <c r="D1194" s="10">
        <f>PrincipalesVariables[[#This Row],[Base monetaria]]/1000000</f>
        <v>0.70464400000000005</v>
      </c>
      <c r="E1194" s="10">
        <v>15.53</v>
      </c>
      <c r="F1194" s="11">
        <v>37575</v>
      </c>
      <c r="H1194" s="12">
        <f>(PrincipalesVariables[[#This Row],[Base monetaria]]-C1193)/C1193</f>
        <v>-9.612316808693953E-3</v>
      </c>
      <c r="I1194" s="12">
        <f>(PrincipalesVariables[[#This Row],[Dólar  mayorista]]-E1193)/E1193</f>
        <v>0</v>
      </c>
      <c r="J1194" s="12">
        <f>(PrincipalesVariables[[#This Row],[Reservas internacionales]]-F1193)/F1193</f>
        <v>5.5919475954625342E-4</v>
      </c>
    </row>
    <row r="1195" spans="1:10" ht="15.75" thickBot="1" x14ac:dyDescent="0.3">
      <c r="A1195" s="14">
        <v>42699</v>
      </c>
      <c r="B1195" s="15">
        <v>42699</v>
      </c>
      <c r="C1195" s="16">
        <v>703263</v>
      </c>
      <c r="D1195" s="10">
        <f>PrincipalesVariables[[#This Row],[Base monetaria]]/1000000</f>
        <v>0.70326299999999997</v>
      </c>
      <c r="E1195" s="10">
        <v>15.54</v>
      </c>
      <c r="F1195" s="11">
        <v>37682</v>
      </c>
      <c r="H1195" s="12">
        <f>(PrincipalesVariables[[#This Row],[Base monetaria]]-C1194)/C1194</f>
        <v>-1.9598549054558045E-3</v>
      </c>
      <c r="I1195" s="12">
        <f>(PrincipalesVariables[[#This Row],[Dólar  mayorista]]-E1194)/E1194</f>
        <v>6.4391500321956134E-4</v>
      </c>
      <c r="J1195" s="12">
        <f>(PrincipalesVariables[[#This Row],[Reservas internacionales]]-F1194)/F1194</f>
        <v>2.8476380572188954E-3</v>
      </c>
    </row>
    <row r="1196" spans="1:10" ht="15.75" thickBot="1" x14ac:dyDescent="0.3">
      <c r="A1196" s="14">
        <v>42703</v>
      </c>
      <c r="B1196" s="15">
        <v>42703</v>
      </c>
      <c r="C1196" s="16">
        <v>727959</v>
      </c>
      <c r="D1196" s="10">
        <f>PrincipalesVariables[[#This Row],[Base monetaria]]/1000000</f>
        <v>0.72795900000000002</v>
      </c>
      <c r="E1196" s="10">
        <v>15.57</v>
      </c>
      <c r="F1196" s="11">
        <v>37561</v>
      </c>
      <c r="H1196" s="12">
        <f>(PrincipalesVariables[[#This Row],[Base monetaria]]-C1195)/C1195</f>
        <v>3.5116307839314735E-2</v>
      </c>
      <c r="I1196" s="12">
        <f>(PrincipalesVariables[[#This Row],[Dólar  mayorista]]-E1195)/E1195</f>
        <v>1.9305019305020038E-3</v>
      </c>
      <c r="J1196" s="12">
        <f>(PrincipalesVariables[[#This Row],[Reservas internacionales]]-F1195)/F1195</f>
        <v>-3.2110822143198345E-3</v>
      </c>
    </row>
    <row r="1197" spans="1:10" ht="15.75" thickBot="1" x14ac:dyDescent="0.3">
      <c r="A1197" s="14">
        <v>42704</v>
      </c>
      <c r="B1197" s="15">
        <v>42704</v>
      </c>
      <c r="C1197" s="16">
        <v>716689</v>
      </c>
      <c r="D1197" s="10">
        <f>PrincipalesVariables[[#This Row],[Base monetaria]]/1000000</f>
        <v>0.71668900000000002</v>
      </c>
      <c r="E1197" s="10">
        <v>15.84</v>
      </c>
      <c r="F1197" s="11">
        <v>37378</v>
      </c>
      <c r="H1197" s="12">
        <f>(PrincipalesVariables[[#This Row],[Base monetaria]]-C1196)/C1196</f>
        <v>-1.548164113638268E-2</v>
      </c>
      <c r="I1197" s="12">
        <f>(PrincipalesVariables[[#This Row],[Dólar  mayorista]]-E1196)/E1196</f>
        <v>1.734104046242772E-2</v>
      </c>
      <c r="J1197" s="12">
        <f>(PrincipalesVariables[[#This Row],[Reservas internacionales]]-F1196)/F1196</f>
        <v>-4.8720747583930139E-3</v>
      </c>
    </row>
    <row r="1198" spans="1:10" ht="15.75" thickBot="1" x14ac:dyDescent="0.3">
      <c r="A1198" s="14">
        <v>42705</v>
      </c>
      <c r="B1198" s="15">
        <v>42705</v>
      </c>
      <c r="C1198" s="16">
        <v>758560</v>
      </c>
      <c r="D1198" s="10">
        <f>PrincipalesVariables[[#This Row],[Base monetaria]]/1000000</f>
        <v>0.75856000000000001</v>
      </c>
      <c r="E1198" s="10">
        <v>15.87</v>
      </c>
      <c r="F1198" s="11">
        <v>37275</v>
      </c>
      <c r="H1198" s="12">
        <f>(PrincipalesVariables[[#This Row],[Base monetaria]]-C1197)/C1197</f>
        <v>5.8422830544350476E-2</v>
      </c>
      <c r="I1198" s="12">
        <f>(PrincipalesVariables[[#This Row],[Dólar  mayorista]]-E1197)/E1197</f>
        <v>1.8939393939393537E-3</v>
      </c>
      <c r="J1198" s="12">
        <f>(PrincipalesVariables[[#This Row],[Reservas internacionales]]-F1197)/F1197</f>
        <v>-2.7556316549842154E-3</v>
      </c>
    </row>
    <row r="1199" spans="1:10" ht="15.75" thickBot="1" x14ac:dyDescent="0.3">
      <c r="A1199" s="14">
        <v>42706</v>
      </c>
      <c r="B1199" s="15">
        <v>42706</v>
      </c>
      <c r="C1199" s="16">
        <v>756807</v>
      </c>
      <c r="D1199" s="10">
        <f>PrincipalesVariables[[#This Row],[Base monetaria]]/1000000</f>
        <v>0.75680700000000001</v>
      </c>
      <c r="E1199" s="10">
        <v>15.88</v>
      </c>
      <c r="F1199" s="11">
        <v>37536</v>
      </c>
      <c r="H1199" s="12">
        <f>(PrincipalesVariables[[#This Row],[Base monetaria]]-C1198)/C1198</f>
        <v>-2.3109576038810378E-3</v>
      </c>
      <c r="I1199" s="12">
        <f>(PrincipalesVariables[[#This Row],[Dólar  mayorista]]-E1198)/E1198</f>
        <v>6.3011972274742056E-4</v>
      </c>
      <c r="J1199" s="12">
        <f>(PrincipalesVariables[[#This Row],[Reservas internacionales]]-F1198)/F1198</f>
        <v>7.002012072434608E-3</v>
      </c>
    </row>
    <row r="1200" spans="1:10" ht="15.75" thickBot="1" x14ac:dyDescent="0.3">
      <c r="A1200" s="14">
        <v>42709</v>
      </c>
      <c r="B1200" s="15">
        <v>42709</v>
      </c>
      <c r="C1200" s="16">
        <v>761439</v>
      </c>
      <c r="D1200" s="10">
        <f>PrincipalesVariables[[#This Row],[Base monetaria]]/1000000</f>
        <v>0.76143899999999998</v>
      </c>
      <c r="E1200" s="10">
        <v>15.94</v>
      </c>
      <c r="F1200" s="11">
        <v>37537</v>
      </c>
      <c r="H1200" s="12">
        <f>(PrincipalesVariables[[#This Row],[Base monetaria]]-C1199)/C1199</f>
        <v>6.1204507886422829E-3</v>
      </c>
      <c r="I1200" s="12">
        <f>(PrincipalesVariables[[#This Row],[Dólar  mayorista]]-E1199)/E1199</f>
        <v>3.7783375314860653E-3</v>
      </c>
      <c r="J1200" s="12">
        <f>(PrincipalesVariables[[#This Row],[Reservas internacionales]]-F1199)/F1199</f>
        <v>2.6641091219096334E-5</v>
      </c>
    </row>
    <row r="1201" spans="1:10" ht="15.75" thickBot="1" x14ac:dyDescent="0.3">
      <c r="A1201" s="14">
        <v>42710</v>
      </c>
      <c r="B1201" s="15">
        <v>42710</v>
      </c>
      <c r="C1201" s="16">
        <v>757268</v>
      </c>
      <c r="D1201" s="10">
        <f>PrincipalesVariables[[#This Row],[Base monetaria]]/1000000</f>
        <v>0.75726800000000005</v>
      </c>
      <c r="E1201" s="10">
        <v>15.87</v>
      </c>
      <c r="F1201" s="11">
        <v>37592</v>
      </c>
      <c r="H1201" s="12">
        <f>(PrincipalesVariables[[#This Row],[Base monetaria]]-C1200)/C1200</f>
        <v>-5.4777861391391829E-3</v>
      </c>
      <c r="I1201" s="12">
        <f>(PrincipalesVariables[[#This Row],[Dólar  mayorista]]-E1200)/E1200</f>
        <v>-4.3914680050188386E-3</v>
      </c>
      <c r="J1201" s="12">
        <f>(PrincipalesVariables[[#This Row],[Reservas internacionales]]-F1200)/F1200</f>
        <v>1.4652209819644617E-3</v>
      </c>
    </row>
    <row r="1202" spans="1:10" ht="15.75" thickBot="1" x14ac:dyDescent="0.3">
      <c r="A1202" s="14">
        <v>42711</v>
      </c>
      <c r="B1202" s="15">
        <v>42711</v>
      </c>
      <c r="C1202" s="16">
        <v>772365</v>
      </c>
      <c r="D1202" s="10">
        <f>PrincipalesVariables[[#This Row],[Base monetaria]]/1000000</f>
        <v>0.77236499999999997</v>
      </c>
      <c r="E1202" s="10">
        <v>15.96</v>
      </c>
      <c r="F1202" s="11">
        <v>37811</v>
      </c>
      <c r="H1202" s="12">
        <f>(PrincipalesVariables[[#This Row],[Base monetaria]]-C1201)/C1201</f>
        <v>1.9936138857049288E-2</v>
      </c>
      <c r="I1202" s="12">
        <f>(PrincipalesVariables[[#This Row],[Dólar  mayorista]]-E1201)/E1201</f>
        <v>5.6710775047260015E-3</v>
      </c>
      <c r="J1202" s="12">
        <f>(PrincipalesVariables[[#This Row],[Reservas internacionales]]-F1201)/F1201</f>
        <v>5.8257075973611409E-3</v>
      </c>
    </row>
    <row r="1203" spans="1:10" ht="15.75" thickBot="1" x14ac:dyDescent="0.3">
      <c r="A1203" s="14">
        <v>42716</v>
      </c>
      <c r="B1203" s="15">
        <v>42716</v>
      </c>
      <c r="C1203" s="16">
        <v>778256</v>
      </c>
      <c r="D1203" s="10">
        <f>PrincipalesVariables[[#This Row],[Base monetaria]]/1000000</f>
        <v>0.77825599999999995</v>
      </c>
      <c r="E1203" s="10">
        <v>16.04</v>
      </c>
      <c r="F1203" s="11">
        <v>36776</v>
      </c>
      <c r="H1203" s="12">
        <f>(PrincipalesVariables[[#This Row],[Base monetaria]]-C1202)/C1202</f>
        <v>7.6272228803739165E-3</v>
      </c>
      <c r="I1203" s="12">
        <f>(PrincipalesVariables[[#This Row],[Dólar  mayorista]]-E1202)/E1202</f>
        <v>5.012531328320695E-3</v>
      </c>
      <c r="J1203" s="12">
        <f>(PrincipalesVariables[[#This Row],[Reservas internacionales]]-F1202)/F1202</f>
        <v>-2.7372986696992938E-2</v>
      </c>
    </row>
    <row r="1204" spans="1:10" ht="15.75" thickBot="1" x14ac:dyDescent="0.3">
      <c r="A1204" s="14">
        <v>42717</v>
      </c>
      <c r="B1204" s="15">
        <v>42717</v>
      </c>
      <c r="C1204" s="16">
        <v>780031</v>
      </c>
      <c r="D1204" s="10">
        <f>PrincipalesVariables[[#This Row],[Base monetaria]]/1000000</f>
        <v>0.78003100000000003</v>
      </c>
      <c r="E1204" s="10">
        <v>16.02</v>
      </c>
      <c r="F1204" s="11">
        <v>36869</v>
      </c>
      <c r="H1204" s="12">
        <f>(PrincipalesVariables[[#This Row],[Base monetaria]]-C1203)/C1203</f>
        <v>2.2807405275384962E-3</v>
      </c>
      <c r="I1204" s="12">
        <f>(PrincipalesVariables[[#This Row],[Dólar  mayorista]]-E1203)/E1203</f>
        <v>-1.2468827930174299E-3</v>
      </c>
      <c r="J1204" s="12">
        <f>(PrincipalesVariables[[#This Row],[Reservas internacionales]]-F1203)/F1203</f>
        <v>2.5288231455296933E-3</v>
      </c>
    </row>
    <row r="1205" spans="1:10" ht="15.75" thickBot="1" x14ac:dyDescent="0.3">
      <c r="A1205" s="14">
        <v>42718</v>
      </c>
      <c r="B1205" s="15">
        <v>42718</v>
      </c>
      <c r="C1205" s="16">
        <v>804569</v>
      </c>
      <c r="D1205" s="10">
        <f>PrincipalesVariables[[#This Row],[Base monetaria]]/1000000</f>
        <v>0.80456899999999998</v>
      </c>
      <c r="E1205" s="10">
        <v>15.91</v>
      </c>
      <c r="F1205" s="11">
        <v>37007</v>
      </c>
      <c r="H1205" s="12">
        <f>(PrincipalesVariables[[#This Row],[Base monetaria]]-C1204)/C1204</f>
        <v>3.1457724116092822E-2</v>
      </c>
      <c r="I1205" s="12">
        <f>(PrincipalesVariables[[#This Row],[Dólar  mayorista]]-E1204)/E1204</f>
        <v>-6.8664169787764941E-3</v>
      </c>
      <c r="J1205" s="12">
        <f>(PrincipalesVariables[[#This Row],[Reservas internacionales]]-F1204)/F1204</f>
        <v>3.7429819089207735E-3</v>
      </c>
    </row>
    <row r="1206" spans="1:10" ht="15.75" thickBot="1" x14ac:dyDescent="0.3">
      <c r="A1206" s="14">
        <v>42719</v>
      </c>
      <c r="B1206" s="15">
        <v>42719</v>
      </c>
      <c r="C1206" s="16">
        <v>791514</v>
      </c>
      <c r="D1206" s="10">
        <f>PrincipalesVariables[[#This Row],[Base monetaria]]/1000000</f>
        <v>0.79151400000000005</v>
      </c>
      <c r="E1206" s="10">
        <v>16</v>
      </c>
      <c r="F1206" s="11">
        <v>36878</v>
      </c>
      <c r="H1206" s="12">
        <f>(PrincipalesVariables[[#This Row],[Base monetaria]]-C1205)/C1205</f>
        <v>-1.6226078807411174E-2</v>
      </c>
      <c r="I1206" s="12">
        <f>(PrincipalesVariables[[#This Row],[Dólar  mayorista]]-E1205)/E1205</f>
        <v>5.656819610307973E-3</v>
      </c>
      <c r="J1206" s="12">
        <f>(PrincipalesVariables[[#This Row],[Reservas internacionales]]-F1205)/F1205</f>
        <v>-3.485827005701624E-3</v>
      </c>
    </row>
    <row r="1207" spans="1:10" ht="15.75" thickBot="1" x14ac:dyDescent="0.3">
      <c r="A1207" s="14">
        <v>42720</v>
      </c>
      <c r="B1207" s="15">
        <v>42720</v>
      </c>
      <c r="C1207" s="16">
        <v>791489</v>
      </c>
      <c r="D1207" s="10">
        <f>PrincipalesVariables[[#This Row],[Base monetaria]]/1000000</f>
        <v>0.791489</v>
      </c>
      <c r="E1207" s="10">
        <v>15.95</v>
      </c>
      <c r="F1207" s="11">
        <v>37086</v>
      </c>
      <c r="H1207" s="12">
        <f>(PrincipalesVariables[[#This Row],[Base monetaria]]-C1206)/C1206</f>
        <v>-3.1585038293700428E-5</v>
      </c>
      <c r="I1207" s="12">
        <f>(PrincipalesVariables[[#This Row],[Dólar  mayorista]]-E1206)/E1206</f>
        <v>-3.1250000000000444E-3</v>
      </c>
      <c r="J1207" s="12">
        <f>(PrincipalesVariables[[#This Row],[Reservas internacionales]]-F1206)/F1206</f>
        <v>5.6402191008189167E-3</v>
      </c>
    </row>
    <row r="1208" spans="1:10" ht="15.75" thickBot="1" x14ac:dyDescent="0.3">
      <c r="A1208" s="14">
        <v>42723</v>
      </c>
      <c r="B1208" s="15">
        <v>42723</v>
      </c>
      <c r="C1208" s="16">
        <v>791126</v>
      </c>
      <c r="D1208" s="10">
        <f>PrincipalesVariables[[#This Row],[Base monetaria]]/1000000</f>
        <v>0.791126</v>
      </c>
      <c r="E1208" s="10">
        <v>15.86</v>
      </c>
      <c r="F1208" s="11">
        <v>37203</v>
      </c>
      <c r="H1208" s="12">
        <f>(PrincipalesVariables[[#This Row],[Base monetaria]]-C1207)/C1207</f>
        <v>-4.5862924184669653E-4</v>
      </c>
      <c r="I1208" s="12">
        <f>(PrincipalesVariables[[#This Row],[Dólar  mayorista]]-E1207)/E1207</f>
        <v>-5.6426332288401163E-3</v>
      </c>
      <c r="J1208" s="12">
        <f>(PrincipalesVariables[[#This Row],[Reservas internacionales]]-F1207)/F1207</f>
        <v>3.1548293156447179E-3</v>
      </c>
    </row>
    <row r="1209" spans="1:10" ht="15.75" thickBot="1" x14ac:dyDescent="0.3">
      <c r="A1209" s="14">
        <v>42724</v>
      </c>
      <c r="B1209" s="15">
        <v>42724</v>
      </c>
      <c r="C1209" s="16">
        <v>800972</v>
      </c>
      <c r="D1209" s="10">
        <f>PrincipalesVariables[[#This Row],[Base monetaria]]/1000000</f>
        <v>0.80097200000000002</v>
      </c>
      <c r="E1209" s="10">
        <v>15.83</v>
      </c>
      <c r="F1209" s="11">
        <v>37930</v>
      </c>
      <c r="H1209" s="12">
        <f>(PrincipalesVariables[[#This Row],[Base monetaria]]-C1208)/C1208</f>
        <v>1.2445552288763104E-2</v>
      </c>
      <c r="I1209" s="12">
        <f>(PrincipalesVariables[[#This Row],[Dólar  mayorista]]-E1208)/E1208</f>
        <v>-1.8915510718789004E-3</v>
      </c>
      <c r="J1209" s="12">
        <f>(PrincipalesVariables[[#This Row],[Reservas internacionales]]-F1208)/F1208</f>
        <v>1.954143483052442E-2</v>
      </c>
    </row>
    <row r="1210" spans="1:10" ht="15.75" thickBot="1" x14ac:dyDescent="0.3">
      <c r="A1210" s="14">
        <v>42725</v>
      </c>
      <c r="B1210" s="15">
        <v>42725</v>
      </c>
      <c r="C1210" s="16">
        <v>821382</v>
      </c>
      <c r="D1210" s="10">
        <f>PrincipalesVariables[[#This Row],[Base monetaria]]/1000000</f>
        <v>0.82138199999999995</v>
      </c>
      <c r="E1210" s="10">
        <v>15.86</v>
      </c>
      <c r="F1210" s="11">
        <v>38189</v>
      </c>
      <c r="H1210" s="12">
        <f>(PrincipalesVariables[[#This Row],[Base monetaria]]-C1209)/C1209</f>
        <v>2.5481539928986281E-2</v>
      </c>
      <c r="I1210" s="12">
        <f>(PrincipalesVariables[[#This Row],[Dólar  mayorista]]-E1209)/E1209</f>
        <v>1.8951358180669211E-3</v>
      </c>
      <c r="J1210" s="12">
        <f>(PrincipalesVariables[[#This Row],[Reservas internacionales]]-F1209)/F1209</f>
        <v>6.8283680464012652E-3</v>
      </c>
    </row>
    <row r="1211" spans="1:10" ht="15.75" thickBot="1" x14ac:dyDescent="0.3">
      <c r="A1211" s="14">
        <v>42726</v>
      </c>
      <c r="B1211" s="15">
        <v>42726</v>
      </c>
      <c r="C1211" s="16">
        <v>807007</v>
      </c>
      <c r="D1211" s="10">
        <f>PrincipalesVariables[[#This Row],[Base monetaria]]/1000000</f>
        <v>0.80700700000000003</v>
      </c>
      <c r="E1211" s="10">
        <v>15.77</v>
      </c>
      <c r="F1211" s="11">
        <v>38173</v>
      </c>
      <c r="H1211" s="12">
        <f>(PrincipalesVariables[[#This Row],[Base monetaria]]-C1210)/C1210</f>
        <v>-1.750099223016818E-2</v>
      </c>
      <c r="I1211" s="12">
        <f>(PrincipalesVariables[[#This Row],[Dólar  mayorista]]-E1210)/E1210</f>
        <v>-5.6746532156368131E-3</v>
      </c>
      <c r="J1211" s="12">
        <f>(PrincipalesVariables[[#This Row],[Reservas internacionales]]-F1210)/F1210</f>
        <v>-4.1896881300898162E-4</v>
      </c>
    </row>
    <row r="1212" spans="1:10" ht="15.75" thickBot="1" x14ac:dyDescent="0.3">
      <c r="A1212" s="14">
        <v>42727</v>
      </c>
      <c r="B1212" s="15">
        <v>42727</v>
      </c>
      <c r="C1212" s="16">
        <v>798762</v>
      </c>
      <c r="D1212" s="10">
        <f>PrincipalesVariables[[#This Row],[Base monetaria]]/1000000</f>
        <v>0.79876199999999997</v>
      </c>
      <c r="E1212" s="10">
        <v>15.6</v>
      </c>
      <c r="F1212" s="11">
        <v>38511</v>
      </c>
      <c r="H1212" s="12">
        <f>(PrincipalesVariables[[#This Row],[Base monetaria]]-C1211)/C1211</f>
        <v>-1.0216763919024246E-2</v>
      </c>
      <c r="I1212" s="12">
        <f>(PrincipalesVariables[[#This Row],[Dólar  mayorista]]-E1211)/E1211</f>
        <v>-1.0779961953075455E-2</v>
      </c>
      <c r="J1212" s="12">
        <f>(PrincipalesVariables[[#This Row],[Reservas internacionales]]-F1211)/F1211</f>
        <v>8.8544259031252456E-3</v>
      </c>
    </row>
    <row r="1213" spans="1:10" ht="15.75" thickBot="1" x14ac:dyDescent="0.3">
      <c r="A1213" s="14">
        <v>42730</v>
      </c>
      <c r="B1213" s="15">
        <v>42730</v>
      </c>
      <c r="C1213" s="16">
        <v>799039</v>
      </c>
      <c r="D1213" s="10">
        <f>PrincipalesVariables[[#This Row],[Base monetaria]]/1000000</f>
        <v>0.79903900000000005</v>
      </c>
      <c r="E1213" s="10">
        <v>15.55</v>
      </c>
      <c r="F1213" s="11">
        <v>38509</v>
      </c>
      <c r="H1213" s="12">
        <f>(PrincipalesVariables[[#This Row],[Base monetaria]]-C1212)/C1212</f>
        <v>3.4678665234450309E-4</v>
      </c>
      <c r="I1213" s="12">
        <f>(PrincipalesVariables[[#This Row],[Dólar  mayorista]]-E1212)/E1212</f>
        <v>-3.2051282051281369E-3</v>
      </c>
      <c r="J1213" s="12">
        <f>(PrincipalesVariables[[#This Row],[Reservas internacionales]]-F1212)/F1212</f>
        <v>-5.1933213886941394E-5</v>
      </c>
    </row>
    <row r="1214" spans="1:10" ht="15.75" thickBot="1" x14ac:dyDescent="0.3">
      <c r="A1214" s="14">
        <v>42731</v>
      </c>
      <c r="B1214" s="15">
        <v>42731</v>
      </c>
      <c r="C1214" s="16">
        <v>797427</v>
      </c>
      <c r="D1214" s="10">
        <f>PrincipalesVariables[[#This Row],[Base monetaria]]/1000000</f>
        <v>0.797427</v>
      </c>
      <c r="E1214" s="10">
        <v>15.52</v>
      </c>
      <c r="F1214" s="11">
        <v>38956</v>
      </c>
      <c r="H1214" s="12">
        <f>(PrincipalesVariables[[#This Row],[Base monetaria]]-C1213)/C1213</f>
        <v>-2.0174234298951615E-3</v>
      </c>
      <c r="I1214" s="12">
        <f>(PrincipalesVariables[[#This Row],[Dólar  mayorista]]-E1213)/E1213</f>
        <v>-1.9292604501608447E-3</v>
      </c>
      <c r="J1214" s="12">
        <f>(PrincipalesVariables[[#This Row],[Reservas internacionales]]-F1213)/F1213</f>
        <v>1.160767612765847E-2</v>
      </c>
    </row>
    <row r="1215" spans="1:10" ht="15.75" thickBot="1" x14ac:dyDescent="0.3">
      <c r="A1215" s="14">
        <v>42732</v>
      </c>
      <c r="B1215" s="15">
        <v>42732</v>
      </c>
      <c r="C1215" s="16">
        <v>811800</v>
      </c>
      <c r="D1215" s="10">
        <f>PrincipalesVariables[[#This Row],[Base monetaria]]/1000000</f>
        <v>0.81179999999999997</v>
      </c>
      <c r="E1215" s="10">
        <v>15.57</v>
      </c>
      <c r="F1215" s="11">
        <v>39204</v>
      </c>
      <c r="H1215" s="12">
        <f>(PrincipalesVariables[[#This Row],[Base monetaria]]-C1214)/C1214</f>
        <v>1.8024220398857826E-2</v>
      </c>
      <c r="I1215" s="12">
        <f>(PrincipalesVariables[[#This Row],[Dólar  mayorista]]-E1214)/E1214</f>
        <v>3.2216494845361283E-3</v>
      </c>
      <c r="J1215" s="12">
        <f>(PrincipalesVariables[[#This Row],[Reservas internacionales]]-F1214)/F1214</f>
        <v>6.3661566895985211E-3</v>
      </c>
    </row>
    <row r="1216" spans="1:10" ht="15.75" thickBot="1" x14ac:dyDescent="0.3">
      <c r="A1216" s="14">
        <v>42733</v>
      </c>
      <c r="B1216" s="15">
        <v>42733</v>
      </c>
      <c r="C1216" s="16">
        <v>818021</v>
      </c>
      <c r="D1216" s="10">
        <f>PrincipalesVariables[[#This Row],[Base monetaria]]/1000000</f>
        <v>0.818021</v>
      </c>
      <c r="E1216" s="10">
        <v>15.73</v>
      </c>
      <c r="F1216" s="11">
        <v>39362</v>
      </c>
      <c r="H1216" s="12">
        <f>(PrincipalesVariables[[#This Row],[Base monetaria]]-C1215)/C1215</f>
        <v>7.6632175412663216E-3</v>
      </c>
      <c r="I1216" s="12">
        <f>(PrincipalesVariables[[#This Row],[Dólar  mayorista]]-E1215)/E1215</f>
        <v>1.0276172125883118E-2</v>
      </c>
      <c r="J1216" s="12">
        <f>(PrincipalesVariables[[#This Row],[Reservas internacionales]]-F1215)/F1215</f>
        <v>4.0302009998979694E-3</v>
      </c>
    </row>
    <row r="1217" spans="1:10" ht="15.75" thickBot="1" x14ac:dyDescent="0.3">
      <c r="A1217" s="14">
        <v>42734</v>
      </c>
      <c r="B1217" s="15">
        <v>42734</v>
      </c>
      <c r="C1217" s="16">
        <v>821664</v>
      </c>
      <c r="D1217" s="10">
        <f>PrincipalesVariables[[#This Row],[Base monetaria]]/1000000</f>
        <v>0.82166399999999995</v>
      </c>
      <c r="E1217" s="10">
        <v>15.85</v>
      </c>
      <c r="F1217" s="11">
        <v>39308</v>
      </c>
      <c r="H1217" s="12">
        <f>(PrincipalesVariables[[#This Row],[Base monetaria]]-C1216)/C1216</f>
        <v>4.4534309021406543E-3</v>
      </c>
      <c r="I1217" s="12">
        <f>(PrincipalesVariables[[#This Row],[Dólar  mayorista]]-E1216)/E1216</f>
        <v>7.6287349014621244E-3</v>
      </c>
      <c r="J1217" s="12">
        <f>(PrincipalesVariables[[#This Row],[Reservas internacionales]]-F1216)/F1216</f>
        <v>-1.3718815100858695E-3</v>
      </c>
    </row>
    <row r="1218" spans="1:10" ht="15.75" thickBot="1" x14ac:dyDescent="0.3">
      <c r="A1218" s="14">
        <v>42737</v>
      </c>
      <c r="B1218" s="15">
        <v>42737</v>
      </c>
      <c r="C1218" s="16">
        <v>854951</v>
      </c>
      <c r="D1218" s="10">
        <f>PrincipalesVariables[[#This Row],[Base monetaria]]/1000000</f>
        <v>0.85495100000000002</v>
      </c>
      <c r="E1218" s="10">
        <v>15.92</v>
      </c>
      <c r="F1218" s="11">
        <v>39296</v>
      </c>
      <c r="H1218" s="12">
        <f>(PrincipalesVariables[[#This Row],[Base monetaria]]-C1217)/C1217</f>
        <v>4.0511693344238035E-2</v>
      </c>
      <c r="I1218" s="12">
        <f>(PrincipalesVariables[[#This Row],[Dólar  mayorista]]-E1217)/E1217</f>
        <v>4.416403785488977E-3</v>
      </c>
      <c r="J1218" s="12">
        <f>(PrincipalesVariables[[#This Row],[Reservas internacionales]]-F1217)/F1217</f>
        <v>-3.052813676605271E-4</v>
      </c>
    </row>
    <row r="1219" spans="1:10" ht="15.75" thickBot="1" x14ac:dyDescent="0.3">
      <c r="A1219" s="14">
        <v>42738</v>
      </c>
      <c r="B1219" s="15">
        <v>42738</v>
      </c>
      <c r="C1219" s="16">
        <v>856528</v>
      </c>
      <c r="D1219" s="10">
        <f>PrincipalesVariables[[#This Row],[Base monetaria]]/1000000</f>
        <v>0.85652799999999996</v>
      </c>
      <c r="E1219" s="10">
        <v>15.9</v>
      </c>
      <c r="F1219" s="11">
        <v>39486</v>
      </c>
      <c r="H1219" s="12">
        <f>(PrincipalesVariables[[#This Row],[Base monetaria]]-C1218)/C1218</f>
        <v>1.844550155505988E-3</v>
      </c>
      <c r="I1219" s="12">
        <f>(PrincipalesVariables[[#This Row],[Dólar  mayorista]]-E1218)/E1218</f>
        <v>-1.256281407035149E-3</v>
      </c>
      <c r="J1219" s="12">
        <f>(PrincipalesVariables[[#This Row],[Reservas internacionales]]-F1218)/F1218</f>
        <v>4.8350977198697073E-3</v>
      </c>
    </row>
    <row r="1220" spans="1:10" ht="15.75" thickBot="1" x14ac:dyDescent="0.3">
      <c r="A1220" s="14">
        <v>42739</v>
      </c>
      <c r="B1220" s="15">
        <v>42739</v>
      </c>
      <c r="C1220" s="16">
        <v>852336</v>
      </c>
      <c r="D1220" s="10">
        <f>PrincipalesVariables[[#This Row],[Base monetaria]]/1000000</f>
        <v>0.85233599999999998</v>
      </c>
      <c r="E1220" s="10">
        <v>16.05</v>
      </c>
      <c r="F1220" s="11">
        <v>39580</v>
      </c>
      <c r="H1220" s="12">
        <f>(PrincipalesVariables[[#This Row],[Base monetaria]]-C1219)/C1219</f>
        <v>-4.8941774232716265E-3</v>
      </c>
      <c r="I1220" s="12">
        <f>(PrincipalesVariables[[#This Row],[Dólar  mayorista]]-E1219)/E1219</f>
        <v>9.4339622641509656E-3</v>
      </c>
      <c r="J1220" s="12">
        <f>(PrincipalesVariables[[#This Row],[Reservas internacionales]]-F1219)/F1219</f>
        <v>2.3805905890695437E-3</v>
      </c>
    </row>
    <row r="1221" spans="1:10" ht="15.75" thickBot="1" x14ac:dyDescent="0.3">
      <c r="A1221" s="14">
        <v>42740</v>
      </c>
      <c r="B1221" s="15">
        <v>42740</v>
      </c>
      <c r="C1221" s="16">
        <v>843142</v>
      </c>
      <c r="D1221" s="10">
        <f>PrincipalesVariables[[#This Row],[Base monetaria]]/1000000</f>
        <v>0.84314199999999995</v>
      </c>
      <c r="E1221" s="10">
        <v>15.99</v>
      </c>
      <c r="F1221" s="11">
        <v>39856</v>
      </c>
      <c r="H1221" s="12">
        <f>(PrincipalesVariables[[#This Row],[Base monetaria]]-C1220)/C1220</f>
        <v>-1.0786825852715362E-2</v>
      </c>
      <c r="I1221" s="12">
        <f>(PrincipalesVariables[[#This Row],[Dólar  mayorista]]-E1220)/E1220</f>
        <v>-3.7383177570093767E-3</v>
      </c>
      <c r="J1221" s="12">
        <f>(PrincipalesVariables[[#This Row],[Reservas internacionales]]-F1220)/F1220</f>
        <v>6.9732187973724101E-3</v>
      </c>
    </row>
    <row r="1222" spans="1:10" ht="15.75" thickBot="1" x14ac:dyDescent="0.3">
      <c r="A1222" s="14">
        <v>42741</v>
      </c>
      <c r="B1222" s="15">
        <v>42741</v>
      </c>
      <c r="C1222" s="16">
        <v>840119</v>
      </c>
      <c r="D1222" s="10">
        <f>PrincipalesVariables[[#This Row],[Base monetaria]]/1000000</f>
        <v>0.84011899999999995</v>
      </c>
      <c r="E1222" s="10">
        <v>15.85</v>
      </c>
      <c r="F1222" s="11">
        <v>39802</v>
      </c>
      <c r="H1222" s="12">
        <f>(PrincipalesVariables[[#This Row],[Base monetaria]]-C1221)/C1221</f>
        <v>-3.5853984263623448E-3</v>
      </c>
      <c r="I1222" s="12">
        <f>(PrincipalesVariables[[#This Row],[Dólar  mayorista]]-E1221)/E1221</f>
        <v>-8.7554721701063511E-3</v>
      </c>
      <c r="J1222" s="12">
        <f>(PrincipalesVariables[[#This Row],[Reservas internacionales]]-F1221)/F1221</f>
        <v>-1.3548775592131673E-3</v>
      </c>
    </row>
    <row r="1223" spans="1:10" ht="15.75" thickBot="1" x14ac:dyDescent="0.3">
      <c r="A1223" s="14">
        <v>42744</v>
      </c>
      <c r="B1223" s="15">
        <v>42744</v>
      </c>
      <c r="C1223" s="16">
        <v>839299</v>
      </c>
      <c r="D1223" s="10">
        <f>PrincipalesVariables[[#This Row],[Base monetaria]]/1000000</f>
        <v>0.83929900000000002</v>
      </c>
      <c r="E1223" s="10">
        <v>15.81</v>
      </c>
      <c r="F1223" s="11">
        <v>39661</v>
      </c>
      <c r="H1223" s="12">
        <f>(PrincipalesVariables[[#This Row],[Base monetaria]]-C1222)/C1222</f>
        <v>-9.7605220212850798E-4</v>
      </c>
      <c r="I1223" s="12">
        <f>(PrincipalesVariables[[#This Row],[Dólar  mayorista]]-E1222)/E1222</f>
        <v>-2.5236593059936373E-3</v>
      </c>
      <c r="J1223" s="12">
        <f>(PrincipalesVariables[[#This Row],[Reservas internacionales]]-F1222)/F1222</f>
        <v>-3.5425355509773378E-3</v>
      </c>
    </row>
    <row r="1224" spans="1:10" ht="15.75" thickBot="1" x14ac:dyDescent="0.3">
      <c r="A1224" s="14">
        <v>42745</v>
      </c>
      <c r="B1224" s="15">
        <v>42745</v>
      </c>
      <c r="C1224" s="16">
        <v>847063</v>
      </c>
      <c r="D1224" s="10">
        <f>PrincipalesVariables[[#This Row],[Base monetaria]]/1000000</f>
        <v>0.84706300000000001</v>
      </c>
      <c r="E1224" s="10">
        <v>15.87</v>
      </c>
      <c r="F1224" s="11">
        <v>39702</v>
      </c>
      <c r="H1224" s="12">
        <f>(PrincipalesVariables[[#This Row],[Base monetaria]]-C1223)/C1223</f>
        <v>9.2505769695900991E-3</v>
      </c>
      <c r="I1224" s="12">
        <f>(PrincipalesVariables[[#This Row],[Dólar  mayorista]]-E1223)/E1223</f>
        <v>3.7950664136621581E-3</v>
      </c>
      <c r="J1224" s="12">
        <f>(PrincipalesVariables[[#This Row],[Reservas internacionales]]-F1223)/F1223</f>
        <v>1.0337611255389425E-3</v>
      </c>
    </row>
    <row r="1225" spans="1:10" ht="15.75" thickBot="1" x14ac:dyDescent="0.3">
      <c r="A1225" s="14">
        <v>42746</v>
      </c>
      <c r="B1225" s="15">
        <v>42746</v>
      </c>
      <c r="C1225" s="16">
        <v>799301</v>
      </c>
      <c r="D1225" s="10">
        <f>PrincipalesVariables[[#This Row],[Base monetaria]]/1000000</f>
        <v>0.79930100000000004</v>
      </c>
      <c r="E1225" s="10">
        <v>15.86</v>
      </c>
      <c r="F1225" s="11">
        <v>39665</v>
      </c>
      <c r="H1225" s="12">
        <f>(PrincipalesVariables[[#This Row],[Base monetaria]]-C1224)/C1224</f>
        <v>-5.63854164330162E-2</v>
      </c>
      <c r="I1225" s="12">
        <f>(PrincipalesVariables[[#This Row],[Dólar  mayorista]]-E1224)/E1224</f>
        <v>-6.3011972274730856E-4</v>
      </c>
      <c r="J1225" s="12">
        <f>(PrincipalesVariables[[#This Row],[Reservas internacionales]]-F1224)/F1224</f>
        <v>-9.319429751649791E-4</v>
      </c>
    </row>
    <row r="1226" spans="1:10" ht="15.75" thickBot="1" x14ac:dyDescent="0.3">
      <c r="A1226" s="14">
        <v>42747</v>
      </c>
      <c r="B1226" s="15">
        <v>42747</v>
      </c>
      <c r="C1226" s="16">
        <v>797870</v>
      </c>
      <c r="D1226" s="10">
        <f>PrincipalesVariables[[#This Row],[Base monetaria]]/1000000</f>
        <v>0.79786999999999997</v>
      </c>
      <c r="E1226" s="10">
        <v>15.82</v>
      </c>
      <c r="F1226" s="11">
        <v>39890</v>
      </c>
      <c r="H1226" s="12">
        <f>(PrincipalesVariables[[#This Row],[Base monetaria]]-C1225)/C1225</f>
        <v>-1.7903142871083608E-3</v>
      </c>
      <c r="I1226" s="12">
        <f>(PrincipalesVariables[[#This Row],[Dólar  mayorista]]-E1225)/E1225</f>
        <v>-2.5220680958385339E-3</v>
      </c>
      <c r="J1226" s="12">
        <f>(PrincipalesVariables[[#This Row],[Reservas internacionales]]-F1225)/F1225</f>
        <v>5.6725072482037061E-3</v>
      </c>
    </row>
    <row r="1227" spans="1:10" ht="15.75" thickBot="1" x14ac:dyDescent="0.3">
      <c r="A1227" s="14">
        <v>42748</v>
      </c>
      <c r="B1227" s="15">
        <v>42748</v>
      </c>
      <c r="C1227" s="16">
        <v>794087</v>
      </c>
      <c r="D1227" s="10">
        <f>PrincipalesVariables[[#This Row],[Base monetaria]]/1000000</f>
        <v>0.79408699999999999</v>
      </c>
      <c r="E1227" s="10">
        <v>15.84</v>
      </c>
      <c r="F1227" s="11">
        <v>40114</v>
      </c>
      <c r="H1227" s="12">
        <f>(PrincipalesVariables[[#This Row],[Base monetaria]]-C1226)/C1226</f>
        <v>-4.7413739080301304E-3</v>
      </c>
      <c r="I1227" s="12">
        <f>(PrincipalesVariables[[#This Row],[Dólar  mayorista]]-E1226)/E1226</f>
        <v>1.2642225031605293E-3</v>
      </c>
      <c r="J1227" s="12">
        <f>(PrincipalesVariables[[#This Row],[Reservas internacionales]]-F1226)/F1226</f>
        <v>5.6154424667836551E-3</v>
      </c>
    </row>
    <row r="1228" spans="1:10" ht="15.75" thickBot="1" x14ac:dyDescent="0.3">
      <c r="A1228" s="14">
        <v>42751</v>
      </c>
      <c r="B1228" s="15">
        <v>42751</v>
      </c>
      <c r="C1228" s="16">
        <v>789982</v>
      </c>
      <c r="D1228" s="10">
        <f>PrincipalesVariables[[#This Row],[Base monetaria]]/1000000</f>
        <v>0.78998199999999996</v>
      </c>
      <c r="E1228" s="10">
        <v>15.87</v>
      </c>
      <c r="F1228" s="11">
        <v>40135</v>
      </c>
      <c r="H1228" s="12">
        <f>(PrincipalesVariables[[#This Row],[Base monetaria]]-C1227)/C1227</f>
        <v>-5.1694587620751886E-3</v>
      </c>
      <c r="I1228" s="12">
        <f>(PrincipalesVariables[[#This Row],[Dólar  mayorista]]-E1227)/E1227</f>
        <v>1.8939393939393537E-3</v>
      </c>
      <c r="J1228" s="12">
        <f>(PrincipalesVariables[[#This Row],[Reservas internacionales]]-F1227)/F1227</f>
        <v>5.2350800219374779E-4</v>
      </c>
    </row>
    <row r="1229" spans="1:10" ht="15.75" thickBot="1" x14ac:dyDescent="0.3">
      <c r="A1229" s="14">
        <v>42752</v>
      </c>
      <c r="B1229" s="15">
        <v>42752</v>
      </c>
      <c r="C1229" s="16">
        <v>767753</v>
      </c>
      <c r="D1229" s="10">
        <f>PrincipalesVariables[[#This Row],[Base monetaria]]/1000000</f>
        <v>0.76775300000000002</v>
      </c>
      <c r="E1229" s="10">
        <v>15.88</v>
      </c>
      <c r="F1229" s="11">
        <v>40202</v>
      </c>
      <c r="H1229" s="12">
        <f>(PrincipalesVariables[[#This Row],[Base monetaria]]-C1228)/C1228</f>
        <v>-2.813861581656291E-2</v>
      </c>
      <c r="I1229" s="12">
        <f>(PrincipalesVariables[[#This Row],[Dólar  mayorista]]-E1228)/E1228</f>
        <v>6.3011972274742056E-4</v>
      </c>
      <c r="J1229" s="12">
        <f>(PrincipalesVariables[[#This Row],[Reservas internacionales]]-F1228)/F1228</f>
        <v>1.6693658901208422E-3</v>
      </c>
    </row>
    <row r="1230" spans="1:10" ht="15.75" thickBot="1" x14ac:dyDescent="0.3">
      <c r="A1230" s="14">
        <v>42753</v>
      </c>
      <c r="B1230" s="15">
        <v>42753</v>
      </c>
      <c r="C1230" s="16">
        <v>794264</v>
      </c>
      <c r="D1230" s="10">
        <f>PrincipalesVariables[[#This Row],[Base monetaria]]/1000000</f>
        <v>0.79426399999999997</v>
      </c>
      <c r="E1230" s="10">
        <v>15.95</v>
      </c>
      <c r="F1230" s="11">
        <v>40184</v>
      </c>
      <c r="H1230" s="12">
        <f>(PrincipalesVariables[[#This Row],[Base monetaria]]-C1229)/C1229</f>
        <v>3.4530636806368718E-2</v>
      </c>
      <c r="I1230" s="12">
        <f>(PrincipalesVariables[[#This Row],[Dólar  mayorista]]-E1229)/E1229</f>
        <v>4.4080604534004093E-3</v>
      </c>
      <c r="J1230" s="12">
        <f>(PrincipalesVariables[[#This Row],[Reservas internacionales]]-F1229)/F1229</f>
        <v>-4.4773891846176805E-4</v>
      </c>
    </row>
    <row r="1231" spans="1:10" ht="15.75" thickBot="1" x14ac:dyDescent="0.3">
      <c r="A1231" s="14">
        <v>42754</v>
      </c>
      <c r="B1231" s="15">
        <v>42754</v>
      </c>
      <c r="C1231" s="16">
        <v>790654</v>
      </c>
      <c r="D1231" s="10">
        <f>PrincipalesVariables[[#This Row],[Base monetaria]]/1000000</f>
        <v>0.79065399999999997</v>
      </c>
      <c r="E1231" s="10">
        <v>15.98</v>
      </c>
      <c r="F1231" s="11">
        <v>40051</v>
      </c>
      <c r="H1231" s="12">
        <f>(PrincipalesVariables[[#This Row],[Base monetaria]]-C1230)/C1230</f>
        <v>-4.5450882829890316E-3</v>
      </c>
      <c r="I1231" s="12">
        <f>(PrincipalesVariables[[#This Row],[Dólar  mayorista]]-E1230)/E1230</f>
        <v>1.8808777429467798E-3</v>
      </c>
      <c r="J1231" s="12">
        <f>(PrincipalesVariables[[#This Row],[Reservas internacionales]]-F1230)/F1230</f>
        <v>-3.309775034839737E-3</v>
      </c>
    </row>
    <row r="1232" spans="1:10" ht="15.75" thickBot="1" x14ac:dyDescent="0.3">
      <c r="A1232" s="14">
        <v>42755</v>
      </c>
      <c r="B1232" s="15">
        <v>42755</v>
      </c>
      <c r="C1232" s="16">
        <v>794349</v>
      </c>
      <c r="D1232" s="10">
        <f>PrincipalesVariables[[#This Row],[Base monetaria]]/1000000</f>
        <v>0.79434899999999997</v>
      </c>
      <c r="E1232" s="10">
        <v>15.86</v>
      </c>
      <c r="F1232" s="11">
        <v>40003</v>
      </c>
      <c r="H1232" s="12">
        <f>(PrincipalesVariables[[#This Row],[Base monetaria]]-C1231)/C1231</f>
        <v>4.6733463689553204E-3</v>
      </c>
      <c r="I1232" s="12">
        <f>(PrincipalesVariables[[#This Row],[Dólar  mayorista]]-E1231)/E1231</f>
        <v>-7.5093867334168332E-3</v>
      </c>
      <c r="J1232" s="12">
        <f>(PrincipalesVariables[[#This Row],[Reservas internacionales]]-F1231)/F1231</f>
        <v>-1.198471948265961E-3</v>
      </c>
    </row>
    <row r="1233" spans="1:10" ht="15.75" thickBot="1" x14ac:dyDescent="0.3">
      <c r="A1233" s="14">
        <v>42758</v>
      </c>
      <c r="B1233" s="15">
        <v>42758</v>
      </c>
      <c r="C1233" s="16">
        <v>797307</v>
      </c>
      <c r="D1233" s="10">
        <f>PrincipalesVariables[[#This Row],[Base monetaria]]/1000000</f>
        <v>0.79730699999999999</v>
      </c>
      <c r="E1233" s="10">
        <v>15.92</v>
      </c>
      <c r="F1233" s="11">
        <v>40002</v>
      </c>
      <c r="H1233" s="12">
        <f>(PrincipalesVariables[[#This Row],[Base monetaria]]-C1232)/C1232</f>
        <v>3.7238040206508728E-3</v>
      </c>
      <c r="I1233" s="12">
        <f>(PrincipalesVariables[[#This Row],[Dólar  mayorista]]-E1232)/E1232</f>
        <v>3.7831021437579131E-3</v>
      </c>
      <c r="J1233" s="12">
        <f>(PrincipalesVariables[[#This Row],[Reservas internacionales]]-F1232)/F1232</f>
        <v>-2.4998125140614454E-5</v>
      </c>
    </row>
    <row r="1234" spans="1:10" ht="15.75" thickBot="1" x14ac:dyDescent="0.3">
      <c r="A1234" s="14">
        <v>42759</v>
      </c>
      <c r="B1234" s="15">
        <v>42759</v>
      </c>
      <c r="C1234" s="16">
        <v>804230</v>
      </c>
      <c r="D1234" s="10">
        <f>PrincipalesVariables[[#This Row],[Base monetaria]]/1000000</f>
        <v>0.80423</v>
      </c>
      <c r="E1234" s="10">
        <v>15.96</v>
      </c>
      <c r="F1234" s="11">
        <v>39915</v>
      </c>
      <c r="H1234" s="12">
        <f>(PrincipalesVariables[[#This Row],[Base monetaria]]-C1233)/C1233</f>
        <v>8.6829790783224028E-3</v>
      </c>
      <c r="I1234" s="12">
        <f>(PrincipalesVariables[[#This Row],[Dólar  mayorista]]-E1233)/E1233</f>
        <v>2.5125628140704099E-3</v>
      </c>
      <c r="J1234" s="12">
        <f>(PrincipalesVariables[[#This Row],[Reservas internacionales]]-F1233)/F1233</f>
        <v>-2.1748912554372282E-3</v>
      </c>
    </row>
    <row r="1235" spans="1:10" ht="15.75" thickBot="1" x14ac:dyDescent="0.3">
      <c r="A1235" s="14">
        <v>42760</v>
      </c>
      <c r="B1235" s="15">
        <v>42760</v>
      </c>
      <c r="C1235" s="16">
        <v>817042</v>
      </c>
      <c r="D1235" s="10">
        <f>PrincipalesVariables[[#This Row],[Base monetaria]]/1000000</f>
        <v>0.81704200000000005</v>
      </c>
      <c r="E1235" s="10">
        <v>15.93</v>
      </c>
      <c r="F1235" s="11">
        <v>39884</v>
      </c>
      <c r="H1235" s="12">
        <f>(PrincipalesVariables[[#This Row],[Base monetaria]]-C1234)/C1234</f>
        <v>1.5930766074381708E-2</v>
      </c>
      <c r="I1235" s="12">
        <f>(PrincipalesVariables[[#This Row],[Dólar  mayorista]]-E1234)/E1234</f>
        <v>-1.879699248120372E-3</v>
      </c>
      <c r="J1235" s="12">
        <f>(PrincipalesVariables[[#This Row],[Reservas internacionales]]-F1234)/F1234</f>
        <v>-7.7665038206188152E-4</v>
      </c>
    </row>
    <row r="1236" spans="1:10" ht="15.75" thickBot="1" x14ac:dyDescent="0.3">
      <c r="A1236" s="14">
        <v>42761</v>
      </c>
      <c r="B1236" s="15">
        <v>42761</v>
      </c>
      <c r="C1236" s="16">
        <v>820175</v>
      </c>
      <c r="D1236" s="10">
        <f>PrincipalesVariables[[#This Row],[Base monetaria]]/1000000</f>
        <v>0.82017499999999999</v>
      </c>
      <c r="E1236" s="10">
        <v>15.94</v>
      </c>
      <c r="F1236" s="11">
        <v>46634</v>
      </c>
      <c r="H1236" s="12">
        <f>(PrincipalesVariables[[#This Row],[Base monetaria]]-C1235)/C1235</f>
        <v>3.8345641962102316E-3</v>
      </c>
      <c r="I1236" s="12">
        <f>(PrincipalesVariables[[#This Row],[Dólar  mayorista]]-E1235)/E1235</f>
        <v>6.2774639045824147E-4</v>
      </c>
      <c r="J1236" s="12">
        <f>(PrincipalesVariables[[#This Row],[Reservas internacionales]]-F1235)/F1235</f>
        <v>0.16924079831511382</v>
      </c>
    </row>
    <row r="1237" spans="1:10" ht="15.75" thickBot="1" x14ac:dyDescent="0.3">
      <c r="A1237" s="14">
        <v>42762</v>
      </c>
      <c r="B1237" s="15">
        <v>42762</v>
      </c>
      <c r="C1237" s="16">
        <v>815170</v>
      </c>
      <c r="D1237" s="10">
        <f>PrincipalesVariables[[#This Row],[Base monetaria]]/1000000</f>
        <v>0.81516999999999995</v>
      </c>
      <c r="E1237" s="10">
        <v>15.89</v>
      </c>
      <c r="F1237" s="11">
        <v>46651</v>
      </c>
      <c r="H1237" s="12">
        <f>(PrincipalesVariables[[#This Row],[Base monetaria]]-C1236)/C1236</f>
        <v>-6.1023562044685582E-3</v>
      </c>
      <c r="I1237" s="12">
        <f>(PrincipalesVariables[[#This Row],[Dólar  mayorista]]-E1236)/E1236</f>
        <v>-3.1367628607276623E-3</v>
      </c>
      <c r="J1237" s="12">
        <f>(PrincipalesVariables[[#This Row],[Reservas internacionales]]-F1236)/F1236</f>
        <v>3.645408929107518E-4</v>
      </c>
    </row>
    <row r="1238" spans="1:10" ht="15.75" thickBot="1" x14ac:dyDescent="0.3">
      <c r="A1238" s="14">
        <v>42765</v>
      </c>
      <c r="B1238" s="15">
        <v>42765</v>
      </c>
      <c r="C1238" s="16">
        <v>827460</v>
      </c>
      <c r="D1238" s="10">
        <f>PrincipalesVariables[[#This Row],[Base monetaria]]/1000000</f>
        <v>0.82745999999999997</v>
      </c>
      <c r="E1238" s="10">
        <v>15.94</v>
      </c>
      <c r="F1238" s="11">
        <v>46847</v>
      </c>
      <c r="H1238" s="12">
        <f>(PrincipalesVariables[[#This Row],[Base monetaria]]-C1237)/C1237</f>
        <v>1.5076609786915612E-2</v>
      </c>
      <c r="I1238" s="12">
        <f>(PrincipalesVariables[[#This Row],[Dólar  mayorista]]-E1237)/E1237</f>
        <v>3.146633102580172E-3</v>
      </c>
      <c r="J1238" s="12">
        <f>(PrincipalesVariables[[#This Row],[Reservas internacionales]]-F1237)/F1237</f>
        <v>4.2014104735161092E-3</v>
      </c>
    </row>
    <row r="1239" spans="1:10" ht="15.75" thickBot="1" x14ac:dyDescent="0.3">
      <c r="A1239" s="14">
        <v>42766</v>
      </c>
      <c r="B1239" s="15">
        <v>42766</v>
      </c>
      <c r="C1239" s="16">
        <v>827889</v>
      </c>
      <c r="D1239" s="10">
        <f>PrincipalesVariables[[#This Row],[Base monetaria]]/1000000</f>
        <v>0.82788899999999999</v>
      </c>
      <c r="E1239" s="10">
        <v>15.91</v>
      </c>
      <c r="F1239" s="11">
        <v>46887</v>
      </c>
      <c r="H1239" s="12">
        <f>(PrincipalesVariables[[#This Row],[Base monetaria]]-C1238)/C1238</f>
        <v>5.1845406424479731E-4</v>
      </c>
      <c r="I1239" s="12">
        <f>(PrincipalesVariables[[#This Row],[Dólar  mayorista]]-E1238)/E1238</f>
        <v>-1.8820577164365972E-3</v>
      </c>
      <c r="J1239" s="12">
        <f>(PrincipalesVariables[[#This Row],[Reservas internacionales]]-F1238)/F1238</f>
        <v>8.5384336243516127E-4</v>
      </c>
    </row>
    <row r="1240" spans="1:10" ht="15.75" thickBot="1" x14ac:dyDescent="0.3">
      <c r="A1240" s="14">
        <v>42767</v>
      </c>
      <c r="B1240" s="15">
        <v>42767</v>
      </c>
      <c r="C1240" s="16">
        <v>830588</v>
      </c>
      <c r="D1240" s="10">
        <f>PrincipalesVariables[[#This Row],[Base monetaria]]/1000000</f>
        <v>0.83058799999999999</v>
      </c>
      <c r="E1240" s="10">
        <v>15.84</v>
      </c>
      <c r="F1240" s="11">
        <v>46750</v>
      </c>
      <c r="H1240" s="12">
        <f>(PrincipalesVariables[[#This Row],[Base monetaria]]-C1239)/C1239</f>
        <v>3.2600988779896822E-3</v>
      </c>
      <c r="I1240" s="12">
        <f>(PrincipalesVariables[[#This Row],[Dólar  mayorista]]-E1239)/E1239</f>
        <v>-4.3997485857951149E-3</v>
      </c>
      <c r="J1240" s="12">
        <f>(PrincipalesVariables[[#This Row],[Reservas internacionales]]-F1239)/F1239</f>
        <v>-2.9219186554908612E-3</v>
      </c>
    </row>
    <row r="1241" spans="1:10" ht="15.75" thickBot="1" x14ac:dyDescent="0.3">
      <c r="A1241" s="14">
        <v>42768</v>
      </c>
      <c r="B1241" s="15">
        <v>42768</v>
      </c>
      <c r="C1241" s="16">
        <v>823925</v>
      </c>
      <c r="D1241" s="10">
        <f>PrincipalesVariables[[#This Row],[Base monetaria]]/1000000</f>
        <v>0.82392500000000002</v>
      </c>
      <c r="E1241" s="10">
        <v>15.72</v>
      </c>
      <c r="F1241" s="11">
        <v>46647</v>
      </c>
      <c r="H1241" s="12">
        <f>(PrincipalesVariables[[#This Row],[Base monetaria]]-C1240)/C1240</f>
        <v>-8.022027768279821E-3</v>
      </c>
      <c r="I1241" s="12">
        <f>(PrincipalesVariables[[#This Row],[Dólar  mayorista]]-E1240)/E1240</f>
        <v>-7.5757575757575265E-3</v>
      </c>
      <c r="J1241" s="12">
        <f>(PrincipalesVariables[[#This Row],[Reservas internacionales]]-F1240)/F1240</f>
        <v>-2.2032085561497325E-3</v>
      </c>
    </row>
    <row r="1242" spans="1:10" ht="15.75" thickBot="1" x14ac:dyDescent="0.3">
      <c r="A1242" s="14">
        <v>42769</v>
      </c>
      <c r="B1242" s="15">
        <v>42769</v>
      </c>
      <c r="C1242" s="16">
        <v>824726</v>
      </c>
      <c r="D1242" s="10">
        <f>PrincipalesVariables[[#This Row],[Base monetaria]]/1000000</f>
        <v>0.82472599999999996</v>
      </c>
      <c r="E1242" s="10">
        <v>15.65</v>
      </c>
      <c r="F1242" s="11">
        <v>46653</v>
      </c>
      <c r="H1242" s="12">
        <f>(PrincipalesVariables[[#This Row],[Base monetaria]]-C1241)/C1241</f>
        <v>9.7217586552174047E-4</v>
      </c>
      <c r="I1242" s="12">
        <f>(PrincipalesVariables[[#This Row],[Dólar  mayorista]]-E1241)/E1241</f>
        <v>-4.4529262086514176E-3</v>
      </c>
      <c r="J1242" s="12">
        <f>(PrincipalesVariables[[#This Row],[Reservas internacionales]]-F1241)/F1241</f>
        <v>1.2862563508907326E-4</v>
      </c>
    </row>
    <row r="1243" spans="1:10" ht="15.75" thickBot="1" x14ac:dyDescent="0.3">
      <c r="A1243" s="14">
        <v>42772</v>
      </c>
      <c r="B1243" s="15">
        <v>42772</v>
      </c>
      <c r="C1243" s="16">
        <v>829162</v>
      </c>
      <c r="D1243" s="10">
        <f>PrincipalesVariables[[#This Row],[Base monetaria]]/1000000</f>
        <v>0.82916199999999995</v>
      </c>
      <c r="E1243" s="10">
        <v>15.62</v>
      </c>
      <c r="F1243" s="11">
        <v>46705</v>
      </c>
      <c r="H1243" s="12">
        <f>(PrincipalesVariables[[#This Row],[Base monetaria]]-C1242)/C1242</f>
        <v>5.378756095963993E-3</v>
      </c>
      <c r="I1243" s="12">
        <f>(PrincipalesVariables[[#This Row],[Dólar  mayorista]]-E1242)/E1242</f>
        <v>-1.9169329073483155E-3</v>
      </c>
      <c r="J1243" s="12">
        <f>(PrincipalesVariables[[#This Row],[Reservas internacionales]]-F1242)/F1242</f>
        <v>1.1146121364113777E-3</v>
      </c>
    </row>
    <row r="1244" spans="1:10" ht="15.75" thickBot="1" x14ac:dyDescent="0.3">
      <c r="A1244" s="14">
        <v>42773</v>
      </c>
      <c r="B1244" s="15">
        <v>42773</v>
      </c>
      <c r="C1244" s="16">
        <v>846685</v>
      </c>
      <c r="D1244" s="10">
        <f>PrincipalesVariables[[#This Row],[Base monetaria]]/1000000</f>
        <v>0.84668500000000002</v>
      </c>
      <c r="E1244" s="10">
        <v>15.72</v>
      </c>
      <c r="F1244" s="11">
        <v>46743</v>
      </c>
      <c r="H1244" s="12">
        <f>(PrincipalesVariables[[#This Row],[Base monetaria]]-C1243)/C1243</f>
        <v>2.1133385273324153E-2</v>
      </c>
      <c r="I1244" s="12">
        <f>(PrincipalesVariables[[#This Row],[Dólar  mayorista]]-E1243)/E1243</f>
        <v>6.402048655569874E-3</v>
      </c>
      <c r="J1244" s="12">
        <f>(PrincipalesVariables[[#This Row],[Reservas internacionales]]-F1243)/F1243</f>
        <v>8.1361738571887382E-4</v>
      </c>
    </row>
    <row r="1245" spans="1:10" ht="15.75" thickBot="1" x14ac:dyDescent="0.3">
      <c r="A1245" s="14">
        <v>42774</v>
      </c>
      <c r="B1245" s="15">
        <v>42774</v>
      </c>
      <c r="C1245" s="16">
        <v>845004</v>
      </c>
      <c r="D1245" s="10">
        <f>PrincipalesVariables[[#This Row],[Base monetaria]]/1000000</f>
        <v>0.84500399999999998</v>
      </c>
      <c r="E1245" s="10">
        <v>15.69</v>
      </c>
      <c r="F1245" s="11">
        <v>47178</v>
      </c>
      <c r="H1245" s="12">
        <f>(PrincipalesVariables[[#This Row],[Base monetaria]]-C1244)/C1244</f>
        <v>-1.9853900801360602E-3</v>
      </c>
      <c r="I1245" s="12">
        <f>(PrincipalesVariables[[#This Row],[Dólar  mayorista]]-E1244)/E1244</f>
        <v>-1.9083969465649578E-3</v>
      </c>
      <c r="J1245" s="12">
        <f>(PrincipalesVariables[[#This Row],[Reservas internacionales]]-F1244)/F1244</f>
        <v>9.3062062768756813E-3</v>
      </c>
    </row>
    <row r="1246" spans="1:10" ht="15.75" thickBot="1" x14ac:dyDescent="0.3">
      <c r="A1246" s="14">
        <v>42775</v>
      </c>
      <c r="B1246" s="15">
        <v>42775</v>
      </c>
      <c r="C1246" s="16">
        <v>840860</v>
      </c>
      <c r="D1246" s="10">
        <f>PrincipalesVariables[[#This Row],[Base monetaria]]/1000000</f>
        <v>0.84086000000000005</v>
      </c>
      <c r="E1246" s="10">
        <v>15.63</v>
      </c>
      <c r="F1246" s="11">
        <v>47178</v>
      </c>
      <c r="H1246" s="12">
        <f>(PrincipalesVariables[[#This Row],[Base monetaria]]-C1245)/C1245</f>
        <v>-4.9041187970707834E-3</v>
      </c>
      <c r="I1246" s="12">
        <f>(PrincipalesVariables[[#This Row],[Dólar  mayorista]]-E1245)/E1245</f>
        <v>-3.8240917782025956E-3</v>
      </c>
      <c r="J1246" s="12">
        <f>(PrincipalesVariables[[#This Row],[Reservas internacionales]]-F1245)/F1245</f>
        <v>0</v>
      </c>
    </row>
    <row r="1247" spans="1:10" ht="15.75" thickBot="1" x14ac:dyDescent="0.3">
      <c r="A1247" s="14">
        <v>42776</v>
      </c>
      <c r="B1247" s="15">
        <v>42776</v>
      </c>
      <c r="C1247" s="16">
        <v>842046</v>
      </c>
      <c r="D1247" s="10">
        <f>PrincipalesVariables[[#This Row],[Base monetaria]]/1000000</f>
        <v>0.84204599999999996</v>
      </c>
      <c r="E1247" s="10">
        <v>15.55</v>
      </c>
      <c r="F1247" s="11">
        <v>47431</v>
      </c>
      <c r="H1247" s="12">
        <f>(PrincipalesVariables[[#This Row],[Base monetaria]]-C1246)/C1246</f>
        <v>1.4104607187879075E-3</v>
      </c>
      <c r="I1247" s="12">
        <f>(PrincipalesVariables[[#This Row],[Dólar  mayorista]]-E1246)/E1246</f>
        <v>-5.1183621241202857E-3</v>
      </c>
      <c r="J1247" s="12">
        <f>(PrincipalesVariables[[#This Row],[Reservas internacionales]]-F1246)/F1246</f>
        <v>5.3626690406545427E-3</v>
      </c>
    </row>
    <row r="1248" spans="1:10" ht="15.75" thickBot="1" x14ac:dyDescent="0.3">
      <c r="A1248" s="14">
        <v>42779</v>
      </c>
      <c r="B1248" s="15">
        <v>42779</v>
      </c>
      <c r="C1248" s="16">
        <v>838103</v>
      </c>
      <c r="D1248" s="10">
        <f>PrincipalesVariables[[#This Row],[Base monetaria]]/1000000</f>
        <v>0.83810300000000004</v>
      </c>
      <c r="E1248" s="10">
        <v>15.53</v>
      </c>
      <c r="F1248" s="11">
        <v>47360</v>
      </c>
      <c r="H1248" s="12">
        <f>(PrincipalesVariables[[#This Row],[Base monetaria]]-C1247)/C1247</f>
        <v>-4.6826420409336305E-3</v>
      </c>
      <c r="I1248" s="12">
        <f>(PrincipalesVariables[[#This Row],[Dólar  mayorista]]-E1247)/E1247</f>
        <v>-1.2861736334406012E-3</v>
      </c>
      <c r="J1248" s="12">
        <f>(PrincipalesVariables[[#This Row],[Reservas internacionales]]-F1247)/F1247</f>
        <v>-1.4969113027344986E-3</v>
      </c>
    </row>
    <row r="1249" spans="1:10" ht="15.75" thickBot="1" x14ac:dyDescent="0.3">
      <c r="A1249" s="14">
        <v>42780</v>
      </c>
      <c r="B1249" s="15">
        <v>42780</v>
      </c>
      <c r="C1249" s="16">
        <v>836932</v>
      </c>
      <c r="D1249" s="10">
        <f>PrincipalesVariables[[#This Row],[Base monetaria]]/1000000</f>
        <v>0.83693200000000001</v>
      </c>
      <c r="E1249" s="10">
        <v>15.48</v>
      </c>
      <c r="F1249" s="11">
        <v>47188</v>
      </c>
      <c r="H1249" s="12">
        <f>(PrincipalesVariables[[#This Row],[Base monetaria]]-C1248)/C1248</f>
        <v>-1.3972029690861385E-3</v>
      </c>
      <c r="I1249" s="12">
        <f>(PrincipalesVariables[[#This Row],[Dólar  mayorista]]-E1248)/E1248</f>
        <v>-3.2195750160978064E-3</v>
      </c>
      <c r="J1249" s="12">
        <f>(PrincipalesVariables[[#This Row],[Reservas internacionales]]-F1248)/F1248</f>
        <v>-3.631756756756757E-3</v>
      </c>
    </row>
    <row r="1250" spans="1:10" ht="15.75" thickBot="1" x14ac:dyDescent="0.3">
      <c r="A1250" s="14">
        <v>42781</v>
      </c>
      <c r="B1250" s="15">
        <v>42781</v>
      </c>
      <c r="C1250" s="16">
        <v>835281</v>
      </c>
      <c r="D1250" s="10">
        <f>PrincipalesVariables[[#This Row],[Base monetaria]]/1000000</f>
        <v>0.83528100000000005</v>
      </c>
      <c r="E1250" s="10">
        <v>15.46</v>
      </c>
      <c r="F1250" s="11">
        <v>48624</v>
      </c>
      <c r="H1250" s="12">
        <f>(PrincipalesVariables[[#This Row],[Base monetaria]]-C1249)/C1249</f>
        <v>-1.9726811736198403E-3</v>
      </c>
      <c r="I1250" s="12">
        <f>(PrincipalesVariables[[#This Row],[Dólar  mayorista]]-E1249)/E1249</f>
        <v>-1.2919896640826599E-3</v>
      </c>
      <c r="J1250" s="12">
        <f>(PrincipalesVariables[[#This Row],[Reservas internacionales]]-F1249)/F1249</f>
        <v>3.0431465626854285E-2</v>
      </c>
    </row>
    <row r="1251" spans="1:10" ht="15.75" thickBot="1" x14ac:dyDescent="0.3">
      <c r="A1251" s="14">
        <v>42782</v>
      </c>
      <c r="B1251" s="15">
        <v>42782</v>
      </c>
      <c r="C1251" s="16">
        <v>822288</v>
      </c>
      <c r="D1251" s="10">
        <f>PrincipalesVariables[[#This Row],[Base monetaria]]/1000000</f>
        <v>0.82228800000000002</v>
      </c>
      <c r="E1251" s="10">
        <v>15.37</v>
      </c>
      <c r="F1251" s="11">
        <v>48702</v>
      </c>
      <c r="H1251" s="12">
        <f>(PrincipalesVariables[[#This Row],[Base monetaria]]-C1250)/C1250</f>
        <v>-1.5555244283061629E-2</v>
      </c>
      <c r="I1251" s="12">
        <f>(PrincipalesVariables[[#This Row],[Dólar  mayorista]]-E1250)/E1250</f>
        <v>-5.8214747736094197E-3</v>
      </c>
      <c r="J1251" s="12">
        <f>(PrincipalesVariables[[#This Row],[Reservas internacionales]]-F1250)/F1250</f>
        <v>1.6041461006910168E-3</v>
      </c>
    </row>
    <row r="1252" spans="1:10" ht="15.75" thickBot="1" x14ac:dyDescent="0.3">
      <c r="A1252" s="14">
        <v>42783</v>
      </c>
      <c r="B1252" s="15">
        <v>42783</v>
      </c>
      <c r="C1252" s="16">
        <v>813209</v>
      </c>
      <c r="D1252" s="10">
        <f>PrincipalesVariables[[#This Row],[Base monetaria]]/1000000</f>
        <v>0.81320899999999996</v>
      </c>
      <c r="E1252" s="10">
        <v>15.58</v>
      </c>
      <c r="F1252" s="11">
        <v>49085</v>
      </c>
      <c r="H1252" s="12">
        <f>(PrincipalesVariables[[#This Row],[Base monetaria]]-C1251)/C1251</f>
        <v>-1.1041143735528185E-2</v>
      </c>
      <c r="I1252" s="12">
        <f>(PrincipalesVariables[[#This Row],[Dólar  mayorista]]-E1251)/E1251</f>
        <v>1.3662979830839354E-2</v>
      </c>
      <c r="J1252" s="12">
        <f>(PrincipalesVariables[[#This Row],[Reservas internacionales]]-F1251)/F1251</f>
        <v>7.864153422857378E-3</v>
      </c>
    </row>
    <row r="1253" spans="1:10" ht="15.75" thickBot="1" x14ac:dyDescent="0.3">
      <c r="A1253" s="14">
        <v>42786</v>
      </c>
      <c r="B1253" s="15">
        <v>42786</v>
      </c>
      <c r="C1253" s="16">
        <v>811343</v>
      </c>
      <c r="D1253" s="10">
        <f>PrincipalesVariables[[#This Row],[Base monetaria]]/1000000</f>
        <v>0.81134300000000004</v>
      </c>
      <c r="E1253" s="10">
        <v>15.72</v>
      </c>
      <c r="F1253" s="11">
        <v>49052</v>
      </c>
      <c r="H1253" s="12">
        <f>(PrincipalesVariables[[#This Row],[Base monetaria]]-C1252)/C1252</f>
        <v>-2.2946130699488076E-3</v>
      </c>
      <c r="I1253" s="12">
        <f>(PrincipalesVariables[[#This Row],[Dólar  mayorista]]-E1252)/E1252</f>
        <v>8.985879332477572E-3</v>
      </c>
      <c r="J1253" s="12">
        <f>(PrincipalesVariables[[#This Row],[Reservas internacionales]]-F1252)/F1252</f>
        <v>-6.7230314760110014E-4</v>
      </c>
    </row>
    <row r="1254" spans="1:10" ht="15.75" thickBot="1" x14ac:dyDescent="0.3">
      <c r="A1254" s="14">
        <v>42787</v>
      </c>
      <c r="B1254" s="15">
        <v>42787</v>
      </c>
      <c r="C1254" s="16">
        <v>836426</v>
      </c>
      <c r="D1254" s="10">
        <f>PrincipalesVariables[[#This Row],[Base monetaria]]/1000000</f>
        <v>0.836426</v>
      </c>
      <c r="E1254" s="10">
        <v>15.66</v>
      </c>
      <c r="F1254" s="11">
        <v>50751</v>
      </c>
      <c r="H1254" s="12">
        <f>(PrincipalesVariables[[#This Row],[Base monetaria]]-C1253)/C1253</f>
        <v>3.0915408156599614E-2</v>
      </c>
      <c r="I1254" s="12">
        <f>(PrincipalesVariables[[#This Row],[Dólar  mayorista]]-E1253)/E1253</f>
        <v>-3.8167938931298025E-3</v>
      </c>
      <c r="J1254" s="12">
        <f>(PrincipalesVariables[[#This Row],[Reservas internacionales]]-F1253)/F1253</f>
        <v>3.4636712060670309E-2</v>
      </c>
    </row>
    <row r="1255" spans="1:10" ht="15.75" thickBot="1" x14ac:dyDescent="0.3">
      <c r="A1255" s="14">
        <v>42788</v>
      </c>
      <c r="B1255" s="15">
        <v>42788</v>
      </c>
      <c r="C1255" s="16">
        <v>821449</v>
      </c>
      <c r="D1255" s="10">
        <f>PrincipalesVariables[[#This Row],[Base monetaria]]/1000000</f>
        <v>0.82144899999999998</v>
      </c>
      <c r="E1255" s="10">
        <v>15.54</v>
      </c>
      <c r="F1255" s="11">
        <v>50768</v>
      </c>
      <c r="H1255" s="12">
        <f>(PrincipalesVariables[[#This Row],[Base monetaria]]-C1254)/C1254</f>
        <v>-1.7905947447831607E-2</v>
      </c>
      <c r="I1255" s="12">
        <f>(PrincipalesVariables[[#This Row],[Dólar  mayorista]]-E1254)/E1254</f>
        <v>-7.6628352490422094E-3</v>
      </c>
      <c r="J1255" s="12">
        <f>(PrincipalesVariables[[#This Row],[Reservas internacionales]]-F1254)/F1254</f>
        <v>3.3496876908829381E-4</v>
      </c>
    </row>
    <row r="1256" spans="1:10" ht="15.75" thickBot="1" x14ac:dyDescent="0.3">
      <c r="A1256" s="14">
        <v>42789</v>
      </c>
      <c r="B1256" s="15">
        <v>42789</v>
      </c>
      <c r="C1256" s="16">
        <v>825312</v>
      </c>
      <c r="D1256" s="10">
        <f>PrincipalesVariables[[#This Row],[Base monetaria]]/1000000</f>
        <v>0.82531200000000005</v>
      </c>
      <c r="E1256" s="10">
        <v>15.57</v>
      </c>
      <c r="F1256" s="11">
        <v>50801</v>
      </c>
      <c r="H1256" s="12">
        <f>(PrincipalesVariables[[#This Row],[Base monetaria]]-C1255)/C1255</f>
        <v>4.7026656554454383E-3</v>
      </c>
      <c r="I1256" s="12">
        <f>(PrincipalesVariables[[#This Row],[Dólar  mayorista]]-E1255)/E1255</f>
        <v>1.9305019305020038E-3</v>
      </c>
      <c r="J1256" s="12">
        <f>(PrincipalesVariables[[#This Row],[Reservas internacionales]]-F1255)/F1255</f>
        <v>6.500157579577687E-4</v>
      </c>
    </row>
    <row r="1257" spans="1:10" ht="15.75" thickBot="1" x14ac:dyDescent="0.3">
      <c r="A1257" s="14">
        <v>42790</v>
      </c>
      <c r="B1257" s="15">
        <v>42790</v>
      </c>
      <c r="C1257" s="16">
        <v>814742</v>
      </c>
      <c r="D1257" s="10">
        <f>PrincipalesVariables[[#This Row],[Base monetaria]]/1000000</f>
        <v>0.81474199999999997</v>
      </c>
      <c r="E1257" s="10">
        <v>15.46</v>
      </c>
      <c r="F1257" s="11">
        <v>50608</v>
      </c>
      <c r="H1257" s="12">
        <f>(PrincipalesVariables[[#This Row],[Base monetaria]]-C1256)/C1256</f>
        <v>-1.2807277732542359E-2</v>
      </c>
      <c r="I1257" s="12">
        <f>(PrincipalesVariables[[#This Row],[Dólar  mayorista]]-E1256)/E1256</f>
        <v>-7.0648683365446005E-3</v>
      </c>
      <c r="J1257" s="12">
        <f>(PrincipalesVariables[[#This Row],[Reservas internacionales]]-F1256)/F1256</f>
        <v>-3.7991378122477905E-3</v>
      </c>
    </row>
    <row r="1258" spans="1:10" ht="15.75" thickBot="1" x14ac:dyDescent="0.3">
      <c r="A1258" s="14">
        <v>42795</v>
      </c>
      <c r="B1258" s="15">
        <v>42795</v>
      </c>
      <c r="C1258" s="16">
        <v>854352</v>
      </c>
      <c r="D1258" s="10">
        <f>PrincipalesVariables[[#This Row],[Base monetaria]]/1000000</f>
        <v>0.854352</v>
      </c>
      <c r="E1258" s="10">
        <v>15.48</v>
      </c>
      <c r="F1258" s="11">
        <v>50551</v>
      </c>
      <c r="H1258" s="12">
        <f>(PrincipalesVariables[[#This Row],[Base monetaria]]-C1257)/C1257</f>
        <v>4.8616617284981012E-2</v>
      </c>
      <c r="I1258" s="12">
        <f>(PrincipalesVariables[[#This Row],[Dólar  mayorista]]-E1257)/E1257</f>
        <v>1.2936610608020422E-3</v>
      </c>
      <c r="J1258" s="12">
        <f>(PrincipalesVariables[[#This Row],[Reservas internacionales]]-F1257)/F1257</f>
        <v>-1.1263041416376858E-3</v>
      </c>
    </row>
    <row r="1259" spans="1:10" ht="15.75" thickBot="1" x14ac:dyDescent="0.3">
      <c r="A1259" s="14">
        <v>42796</v>
      </c>
      <c r="B1259" s="15">
        <v>42796</v>
      </c>
      <c r="C1259" s="16">
        <v>849511</v>
      </c>
      <c r="D1259" s="10">
        <f>PrincipalesVariables[[#This Row],[Base monetaria]]/1000000</f>
        <v>0.84951100000000002</v>
      </c>
      <c r="E1259" s="10">
        <v>15.39</v>
      </c>
      <c r="F1259" s="11">
        <v>51114</v>
      </c>
      <c r="H1259" s="12">
        <f>(PrincipalesVariables[[#This Row],[Base monetaria]]-C1258)/C1258</f>
        <v>-5.6662827499672263E-3</v>
      </c>
      <c r="I1259" s="12">
        <f>(PrincipalesVariables[[#This Row],[Dólar  mayorista]]-E1258)/E1258</f>
        <v>-5.8139534883720834E-3</v>
      </c>
      <c r="J1259" s="12">
        <f>(PrincipalesVariables[[#This Row],[Reservas internacionales]]-F1258)/F1258</f>
        <v>1.1137267314197542E-2</v>
      </c>
    </row>
    <row r="1260" spans="1:10" ht="15.75" thickBot="1" x14ac:dyDescent="0.3">
      <c r="A1260" s="14">
        <v>42797</v>
      </c>
      <c r="B1260" s="15">
        <v>42797</v>
      </c>
      <c r="C1260" s="16">
        <v>829443</v>
      </c>
      <c r="D1260" s="10">
        <f>PrincipalesVariables[[#This Row],[Base monetaria]]/1000000</f>
        <v>0.82944300000000004</v>
      </c>
      <c r="E1260" s="10">
        <v>15.45</v>
      </c>
      <c r="F1260" s="11">
        <v>51010</v>
      </c>
      <c r="H1260" s="12">
        <f>(PrincipalesVariables[[#This Row],[Base monetaria]]-C1259)/C1259</f>
        <v>-2.3623001938762416E-2</v>
      </c>
      <c r="I1260" s="12">
        <f>(PrincipalesVariables[[#This Row],[Dólar  mayorista]]-E1259)/E1259</f>
        <v>3.898635477582763E-3</v>
      </c>
      <c r="J1260" s="12">
        <f>(PrincipalesVariables[[#This Row],[Reservas internacionales]]-F1259)/F1259</f>
        <v>-2.0346676057440231E-3</v>
      </c>
    </row>
    <row r="1261" spans="1:10" ht="15.75" thickBot="1" x14ac:dyDescent="0.3">
      <c r="A1261" s="14">
        <v>42800</v>
      </c>
      <c r="B1261" s="15">
        <v>42800</v>
      </c>
      <c r="C1261" s="16">
        <v>807023</v>
      </c>
      <c r="D1261" s="10">
        <f>PrincipalesVariables[[#This Row],[Base monetaria]]/1000000</f>
        <v>0.80702300000000005</v>
      </c>
      <c r="E1261" s="10">
        <v>15.44</v>
      </c>
      <c r="F1261" s="11">
        <v>51495</v>
      </c>
      <c r="H1261" s="12">
        <f>(PrincipalesVariables[[#This Row],[Base monetaria]]-C1260)/C1260</f>
        <v>-2.7030187728391223E-2</v>
      </c>
      <c r="I1261" s="12">
        <f>(PrincipalesVariables[[#This Row],[Dólar  mayorista]]-E1260)/E1260</f>
        <v>-6.4724919093849757E-4</v>
      </c>
      <c r="J1261" s="12">
        <f>(PrincipalesVariables[[#This Row],[Reservas internacionales]]-F1260)/F1260</f>
        <v>9.5079396196824147E-3</v>
      </c>
    </row>
    <row r="1262" spans="1:10" ht="15.75" thickBot="1" x14ac:dyDescent="0.3">
      <c r="A1262" s="14">
        <v>42801</v>
      </c>
      <c r="B1262" s="15">
        <v>42801</v>
      </c>
      <c r="C1262" s="16">
        <v>781986</v>
      </c>
      <c r="D1262" s="10">
        <f>PrincipalesVariables[[#This Row],[Base monetaria]]/1000000</f>
        <v>0.78198599999999996</v>
      </c>
      <c r="E1262" s="10">
        <v>15.5</v>
      </c>
      <c r="F1262" s="11">
        <v>51457</v>
      </c>
      <c r="H1262" s="12">
        <f>(PrincipalesVariables[[#This Row],[Base monetaria]]-C1261)/C1261</f>
        <v>-3.1023898947117989E-2</v>
      </c>
      <c r="I1262" s="12">
        <f>(PrincipalesVariables[[#This Row],[Dólar  mayorista]]-E1261)/E1261</f>
        <v>3.886010362694333E-3</v>
      </c>
      <c r="J1262" s="12">
        <f>(PrincipalesVariables[[#This Row],[Reservas internacionales]]-F1261)/F1261</f>
        <v>-7.3793572191474901E-4</v>
      </c>
    </row>
    <row r="1263" spans="1:10" ht="15.75" thickBot="1" x14ac:dyDescent="0.3">
      <c r="A1263" s="14">
        <v>42802</v>
      </c>
      <c r="B1263" s="15">
        <v>42802</v>
      </c>
      <c r="C1263" s="16">
        <v>779302</v>
      </c>
      <c r="D1263" s="10">
        <f>PrincipalesVariables[[#This Row],[Base monetaria]]/1000000</f>
        <v>0.77930200000000005</v>
      </c>
      <c r="E1263" s="10">
        <v>15.59</v>
      </c>
      <c r="F1263" s="11">
        <v>51494</v>
      </c>
      <c r="H1263" s="12">
        <f>(PrincipalesVariables[[#This Row],[Base monetaria]]-C1262)/C1262</f>
        <v>-3.4322865115232241E-3</v>
      </c>
      <c r="I1263" s="12">
        <f>(PrincipalesVariables[[#This Row],[Dólar  mayorista]]-E1262)/E1262</f>
        <v>5.8064516129032167E-3</v>
      </c>
      <c r="J1263" s="12">
        <f>(PrincipalesVariables[[#This Row],[Reservas internacionales]]-F1262)/F1262</f>
        <v>7.1904697125755484E-4</v>
      </c>
    </row>
    <row r="1264" spans="1:10" ht="15.75" thickBot="1" x14ac:dyDescent="0.3">
      <c r="A1264" s="14">
        <v>42803</v>
      </c>
      <c r="B1264" s="15">
        <v>42803</v>
      </c>
      <c r="C1264" s="16">
        <v>781653</v>
      </c>
      <c r="D1264" s="10">
        <f>PrincipalesVariables[[#This Row],[Base monetaria]]/1000000</f>
        <v>0.78165300000000004</v>
      </c>
      <c r="E1264" s="10">
        <v>15.63</v>
      </c>
      <c r="F1264" s="11">
        <v>51599</v>
      </c>
      <c r="H1264" s="12">
        <f>(PrincipalesVariables[[#This Row],[Base monetaria]]-C1263)/C1263</f>
        <v>3.0168022153157568E-3</v>
      </c>
      <c r="I1264" s="12">
        <f>(PrincipalesVariables[[#This Row],[Dólar  mayorista]]-E1263)/E1263</f>
        <v>2.5657472738935807E-3</v>
      </c>
      <c r="J1264" s="12">
        <f>(PrincipalesVariables[[#This Row],[Reservas internacionales]]-F1263)/F1263</f>
        <v>2.0390725133025206E-3</v>
      </c>
    </row>
    <row r="1265" spans="1:10" ht="15.75" thickBot="1" x14ac:dyDescent="0.3">
      <c r="A1265" s="14">
        <v>42804</v>
      </c>
      <c r="B1265" s="15">
        <v>42804</v>
      </c>
      <c r="C1265" s="16">
        <v>799471</v>
      </c>
      <c r="D1265" s="10">
        <f>PrincipalesVariables[[#This Row],[Base monetaria]]/1000000</f>
        <v>0.79947100000000004</v>
      </c>
      <c r="E1265" s="10">
        <v>15.48</v>
      </c>
      <c r="F1265" s="11">
        <v>51651</v>
      </c>
      <c r="H1265" s="12">
        <f>(PrincipalesVariables[[#This Row],[Base monetaria]]-C1264)/C1264</f>
        <v>2.2795281282103438E-2</v>
      </c>
      <c r="I1265" s="12">
        <f>(PrincipalesVariables[[#This Row],[Dólar  mayorista]]-E1264)/E1264</f>
        <v>-9.5969289827255496E-3</v>
      </c>
      <c r="J1265" s="12">
        <f>(PrincipalesVariables[[#This Row],[Reservas internacionales]]-F1264)/F1264</f>
        <v>1.0077714684393107E-3</v>
      </c>
    </row>
    <row r="1266" spans="1:10" ht="15.75" thickBot="1" x14ac:dyDescent="0.3">
      <c r="A1266" s="14">
        <v>42807</v>
      </c>
      <c r="B1266" s="15">
        <v>42807</v>
      </c>
      <c r="C1266" s="16">
        <v>791744</v>
      </c>
      <c r="D1266" s="10">
        <f>PrincipalesVariables[[#This Row],[Base monetaria]]/1000000</f>
        <v>0.791744</v>
      </c>
      <c r="E1266" s="10">
        <v>15.52</v>
      </c>
      <c r="F1266" s="11">
        <v>51816</v>
      </c>
      <c r="H1266" s="12">
        <f>(PrincipalesVariables[[#This Row],[Base monetaria]]-C1265)/C1265</f>
        <v>-9.6651410745355361E-3</v>
      </c>
      <c r="I1266" s="12">
        <f>(PrincipalesVariables[[#This Row],[Dólar  mayorista]]-E1265)/E1265</f>
        <v>2.5839793281653197E-3</v>
      </c>
      <c r="J1266" s="12">
        <f>(PrincipalesVariables[[#This Row],[Reservas internacionales]]-F1265)/F1265</f>
        <v>3.1945170471046058E-3</v>
      </c>
    </row>
    <row r="1267" spans="1:10" ht="15.75" thickBot="1" x14ac:dyDescent="0.3">
      <c r="A1267" s="14">
        <v>42808</v>
      </c>
      <c r="B1267" s="15">
        <v>42808</v>
      </c>
      <c r="C1267" s="16">
        <v>796573</v>
      </c>
      <c r="D1267" s="10">
        <f>PrincipalesVariables[[#This Row],[Base monetaria]]/1000000</f>
        <v>0.79657299999999998</v>
      </c>
      <c r="E1267" s="10">
        <v>15.54</v>
      </c>
      <c r="F1267" s="11">
        <v>51772</v>
      </c>
      <c r="H1267" s="12">
        <f>(PrincipalesVariables[[#This Row],[Base monetaria]]-C1266)/C1266</f>
        <v>6.0991936787648535E-3</v>
      </c>
      <c r="I1267" s="12">
        <f>(PrincipalesVariables[[#This Row],[Dólar  mayorista]]-E1266)/E1266</f>
        <v>1.2886597938144056E-3</v>
      </c>
      <c r="J1267" s="12">
        <f>(PrincipalesVariables[[#This Row],[Reservas internacionales]]-F1266)/F1266</f>
        <v>-8.4915856106222015E-4</v>
      </c>
    </row>
    <row r="1268" spans="1:10" ht="15.75" thickBot="1" x14ac:dyDescent="0.3">
      <c r="A1268" s="14">
        <v>42809</v>
      </c>
      <c r="B1268" s="15">
        <v>42809</v>
      </c>
      <c r="C1268" s="16">
        <v>812191</v>
      </c>
      <c r="D1268" s="10">
        <f>PrincipalesVariables[[#This Row],[Base monetaria]]/1000000</f>
        <v>0.812191</v>
      </c>
      <c r="E1268" s="10">
        <v>15.55</v>
      </c>
      <c r="F1268" s="11">
        <v>51618</v>
      </c>
      <c r="H1268" s="12">
        <f>(PrincipalesVariables[[#This Row],[Base monetaria]]-C1267)/C1267</f>
        <v>1.9606489298532589E-2</v>
      </c>
      <c r="I1268" s="12">
        <f>(PrincipalesVariables[[#This Row],[Dólar  mayorista]]-E1267)/E1267</f>
        <v>6.4350064350074409E-4</v>
      </c>
      <c r="J1268" s="12">
        <f>(PrincipalesVariables[[#This Row],[Reservas internacionales]]-F1267)/F1267</f>
        <v>-2.9745808545159546E-3</v>
      </c>
    </row>
    <row r="1269" spans="1:10" ht="15.75" thickBot="1" x14ac:dyDescent="0.3">
      <c r="A1269" s="14">
        <v>42810</v>
      </c>
      <c r="B1269" s="15">
        <v>42810</v>
      </c>
      <c r="C1269" s="16">
        <v>782767</v>
      </c>
      <c r="D1269" s="10">
        <f>PrincipalesVariables[[#This Row],[Base monetaria]]/1000000</f>
        <v>0.78276699999999999</v>
      </c>
      <c r="E1269" s="10">
        <v>15.53</v>
      </c>
      <c r="F1269" s="11">
        <v>51649</v>
      </c>
      <c r="H1269" s="12">
        <f>(PrincipalesVariables[[#This Row],[Base monetaria]]-C1268)/C1268</f>
        <v>-3.6227931607220466E-2</v>
      </c>
      <c r="I1269" s="12">
        <f>(PrincipalesVariables[[#This Row],[Dólar  mayorista]]-E1268)/E1268</f>
        <v>-1.2861736334406012E-3</v>
      </c>
      <c r="J1269" s="12">
        <f>(PrincipalesVariables[[#This Row],[Reservas internacionales]]-F1268)/F1268</f>
        <v>6.0056569413770387E-4</v>
      </c>
    </row>
    <row r="1270" spans="1:10" ht="15.75" thickBot="1" x14ac:dyDescent="0.3">
      <c r="A1270" s="14">
        <v>42811</v>
      </c>
      <c r="B1270" s="15">
        <v>42811</v>
      </c>
      <c r="C1270" s="16">
        <v>774680</v>
      </c>
      <c r="D1270" s="10">
        <f>PrincipalesVariables[[#This Row],[Base monetaria]]/1000000</f>
        <v>0.77468000000000004</v>
      </c>
      <c r="E1270" s="10">
        <v>15.53</v>
      </c>
      <c r="F1270" s="11">
        <v>51667</v>
      </c>
      <c r="H1270" s="12">
        <f>(PrincipalesVariables[[#This Row],[Base monetaria]]-C1269)/C1269</f>
        <v>-1.0331299096666057E-2</v>
      </c>
      <c r="I1270" s="12">
        <f>(PrincipalesVariables[[#This Row],[Dólar  mayorista]]-E1269)/E1269</f>
        <v>0</v>
      </c>
      <c r="J1270" s="12">
        <f>(PrincipalesVariables[[#This Row],[Reservas internacionales]]-F1269)/F1269</f>
        <v>3.4850626343201226E-4</v>
      </c>
    </row>
    <row r="1271" spans="1:10" ht="15.75" thickBot="1" x14ac:dyDescent="0.3">
      <c r="A1271" s="14">
        <v>42814</v>
      </c>
      <c r="B1271" s="15">
        <v>42814</v>
      </c>
      <c r="C1271" s="16">
        <v>790412</v>
      </c>
      <c r="D1271" s="10">
        <f>PrincipalesVariables[[#This Row],[Base monetaria]]/1000000</f>
        <v>0.790412</v>
      </c>
      <c r="E1271" s="10">
        <v>15.67</v>
      </c>
      <c r="F1271" s="11">
        <v>51929</v>
      </c>
      <c r="H1271" s="12">
        <f>(PrincipalesVariables[[#This Row],[Base monetaria]]-C1270)/C1270</f>
        <v>2.0307739970052151E-2</v>
      </c>
      <c r="I1271" s="12">
        <f>(PrincipalesVariables[[#This Row],[Dólar  mayorista]]-E1270)/E1270</f>
        <v>9.0148100450740867E-3</v>
      </c>
      <c r="J1271" s="12">
        <f>(PrincipalesVariables[[#This Row],[Reservas internacionales]]-F1270)/F1270</f>
        <v>5.0709350262256375E-3</v>
      </c>
    </row>
    <row r="1272" spans="1:10" ht="15.75" thickBot="1" x14ac:dyDescent="0.3">
      <c r="A1272" s="14">
        <v>42815</v>
      </c>
      <c r="B1272" s="15">
        <v>42815</v>
      </c>
      <c r="C1272" s="16">
        <v>788598</v>
      </c>
      <c r="D1272" s="10">
        <f>PrincipalesVariables[[#This Row],[Base monetaria]]/1000000</f>
        <v>0.78859800000000002</v>
      </c>
      <c r="E1272" s="10">
        <v>15.64</v>
      </c>
      <c r="F1272" s="11">
        <v>51950</v>
      </c>
      <c r="H1272" s="12">
        <f>(PrincipalesVariables[[#This Row],[Base monetaria]]-C1271)/C1271</f>
        <v>-2.2950056426268833E-3</v>
      </c>
      <c r="I1272" s="12">
        <f>(PrincipalesVariables[[#This Row],[Dólar  mayorista]]-E1271)/E1271</f>
        <v>-1.9144862795149561E-3</v>
      </c>
      <c r="J1272" s="12">
        <f>(PrincipalesVariables[[#This Row],[Reservas internacionales]]-F1271)/F1271</f>
        <v>4.0439831308132257E-4</v>
      </c>
    </row>
    <row r="1273" spans="1:10" ht="15.75" thickBot="1" x14ac:dyDescent="0.3">
      <c r="A1273" s="14">
        <v>42816</v>
      </c>
      <c r="B1273" s="15">
        <v>42816</v>
      </c>
      <c r="C1273" s="16">
        <v>781873</v>
      </c>
      <c r="D1273" s="10">
        <f>PrincipalesVariables[[#This Row],[Base monetaria]]/1000000</f>
        <v>0.78187300000000004</v>
      </c>
      <c r="E1273" s="10">
        <v>15.58</v>
      </c>
      <c r="F1273" s="11">
        <v>51926</v>
      </c>
      <c r="H1273" s="12">
        <f>(PrincipalesVariables[[#This Row],[Base monetaria]]-C1272)/C1272</f>
        <v>-8.527792360619733E-3</v>
      </c>
      <c r="I1273" s="12">
        <f>(PrincipalesVariables[[#This Row],[Dólar  mayorista]]-E1272)/E1272</f>
        <v>-3.8363171355499039E-3</v>
      </c>
      <c r="J1273" s="12">
        <f>(PrincipalesVariables[[#This Row],[Reservas internacionales]]-F1272)/F1272</f>
        <v>-4.6198267564966311E-4</v>
      </c>
    </row>
    <row r="1274" spans="1:10" ht="15.75" thickBot="1" x14ac:dyDescent="0.3">
      <c r="A1274" s="14">
        <v>42817</v>
      </c>
      <c r="B1274" s="15">
        <v>42817</v>
      </c>
      <c r="C1274" s="16">
        <v>775336</v>
      </c>
      <c r="D1274" s="10">
        <f>PrincipalesVariables[[#This Row],[Base monetaria]]/1000000</f>
        <v>0.77533600000000003</v>
      </c>
      <c r="E1274" s="10">
        <v>15.63</v>
      </c>
      <c r="F1274" s="11">
        <v>51745</v>
      </c>
      <c r="H1274" s="12">
        <f>(PrincipalesVariables[[#This Row],[Base monetaria]]-C1273)/C1273</f>
        <v>-8.3606928490944175E-3</v>
      </c>
      <c r="I1274" s="12">
        <f>(PrincipalesVariables[[#This Row],[Dólar  mayorista]]-E1273)/E1273</f>
        <v>3.2092426187420226E-3</v>
      </c>
      <c r="J1274" s="12">
        <f>(PrincipalesVariables[[#This Row],[Reservas internacionales]]-F1273)/F1273</f>
        <v>-3.4857296922543618E-3</v>
      </c>
    </row>
    <row r="1275" spans="1:10" ht="15.75" thickBot="1" x14ac:dyDescent="0.3">
      <c r="A1275" s="14">
        <v>42821</v>
      </c>
      <c r="B1275" s="15">
        <v>42821</v>
      </c>
      <c r="C1275" s="16">
        <v>764971</v>
      </c>
      <c r="D1275" s="10">
        <f>PrincipalesVariables[[#This Row],[Base monetaria]]/1000000</f>
        <v>0.76497099999999996</v>
      </c>
      <c r="E1275" s="10">
        <v>15.61</v>
      </c>
      <c r="F1275" s="11">
        <v>51661</v>
      </c>
      <c r="H1275" s="12">
        <f>(PrincipalesVariables[[#This Row],[Base monetaria]]-C1274)/C1274</f>
        <v>-1.3368397701125705E-2</v>
      </c>
      <c r="I1275" s="12">
        <f>(PrincipalesVariables[[#This Row],[Dólar  mayorista]]-E1274)/E1274</f>
        <v>-1.2795905310301566E-3</v>
      </c>
      <c r="J1275" s="12">
        <f>(PrincipalesVariables[[#This Row],[Reservas internacionales]]-F1274)/F1274</f>
        <v>-1.6233452507488646E-3</v>
      </c>
    </row>
    <row r="1276" spans="1:10" ht="15.75" thickBot="1" x14ac:dyDescent="0.3">
      <c r="A1276" s="14">
        <v>42822</v>
      </c>
      <c r="B1276" s="15">
        <v>42822</v>
      </c>
      <c r="C1276" s="16">
        <v>751625</v>
      </c>
      <c r="D1276" s="10">
        <f>PrincipalesVariables[[#This Row],[Base monetaria]]/1000000</f>
        <v>0.75162499999999999</v>
      </c>
      <c r="E1276" s="10">
        <v>15.54</v>
      </c>
      <c r="F1276" s="11">
        <v>51515</v>
      </c>
      <c r="H1276" s="12">
        <f>(PrincipalesVariables[[#This Row],[Base monetaria]]-C1275)/C1275</f>
        <v>-1.7446413001277174E-2</v>
      </c>
      <c r="I1276" s="12">
        <f>(PrincipalesVariables[[#This Row],[Dólar  mayorista]]-E1275)/E1275</f>
        <v>-4.4843049327354442E-3</v>
      </c>
      <c r="J1276" s="12">
        <f>(PrincipalesVariables[[#This Row],[Reservas internacionales]]-F1275)/F1275</f>
        <v>-2.8261164127678521E-3</v>
      </c>
    </row>
    <row r="1277" spans="1:10" ht="15.75" thickBot="1" x14ac:dyDescent="0.3">
      <c r="A1277" s="14">
        <v>42823</v>
      </c>
      <c r="B1277" s="15">
        <v>42823</v>
      </c>
      <c r="C1277" s="16">
        <v>754352</v>
      </c>
      <c r="D1277" s="10">
        <f>PrincipalesVariables[[#This Row],[Base monetaria]]/1000000</f>
        <v>0.75435200000000002</v>
      </c>
      <c r="E1277" s="10">
        <v>15.47</v>
      </c>
      <c r="F1277" s="11">
        <v>51190</v>
      </c>
      <c r="H1277" s="12">
        <f>(PrincipalesVariables[[#This Row],[Base monetaria]]-C1276)/C1276</f>
        <v>3.628139032097123E-3</v>
      </c>
      <c r="I1277" s="12">
        <f>(PrincipalesVariables[[#This Row],[Dólar  mayorista]]-E1276)/E1276</f>
        <v>-4.5045045045044091E-3</v>
      </c>
      <c r="J1277" s="12">
        <f>(PrincipalesVariables[[#This Row],[Reservas internacionales]]-F1276)/F1276</f>
        <v>-6.3088420848296609E-3</v>
      </c>
    </row>
    <row r="1278" spans="1:10" ht="15.75" thickBot="1" x14ac:dyDescent="0.3">
      <c r="A1278" s="14">
        <v>42824</v>
      </c>
      <c r="B1278" s="15">
        <v>42824</v>
      </c>
      <c r="C1278" s="16">
        <v>772869</v>
      </c>
      <c r="D1278" s="10">
        <f>PrincipalesVariables[[#This Row],[Base monetaria]]/1000000</f>
        <v>0.77286900000000003</v>
      </c>
      <c r="E1278" s="10">
        <v>15.4</v>
      </c>
      <c r="F1278" s="11">
        <v>50907</v>
      </c>
      <c r="H1278" s="12">
        <f>(PrincipalesVariables[[#This Row],[Base monetaria]]-C1277)/C1277</f>
        <v>2.4546895878847012E-2</v>
      </c>
      <c r="I1278" s="12">
        <f>(PrincipalesVariables[[#This Row],[Dólar  mayorista]]-E1277)/E1277</f>
        <v>-4.5248868778280729E-3</v>
      </c>
      <c r="J1278" s="12">
        <f>(PrincipalesVariables[[#This Row],[Reservas internacionales]]-F1277)/F1277</f>
        <v>-5.5284235202187927E-3</v>
      </c>
    </row>
    <row r="1279" spans="1:10" ht="15.75" thickBot="1" x14ac:dyDescent="0.3">
      <c r="A1279" s="14">
        <v>42825</v>
      </c>
      <c r="B1279" s="15">
        <v>42825</v>
      </c>
      <c r="C1279" s="16">
        <v>754752</v>
      </c>
      <c r="D1279" s="10">
        <f>PrincipalesVariables[[#This Row],[Base monetaria]]/1000000</f>
        <v>0.75475199999999998</v>
      </c>
      <c r="E1279" s="10">
        <v>15.38</v>
      </c>
      <c r="F1279" s="11">
        <v>50522</v>
      </c>
      <c r="H1279" s="12">
        <f>(PrincipalesVariables[[#This Row],[Base monetaria]]-C1278)/C1278</f>
        <v>-2.3441230014400887E-2</v>
      </c>
      <c r="I1279" s="12">
        <f>(PrincipalesVariables[[#This Row],[Dólar  mayorista]]-E1278)/E1278</f>
        <v>-1.2987012987012709E-3</v>
      </c>
      <c r="J1279" s="12">
        <f>(PrincipalesVariables[[#This Row],[Reservas internacionales]]-F1278)/F1278</f>
        <v>-7.5628106154359909E-3</v>
      </c>
    </row>
    <row r="1280" spans="1:10" ht="15.75" thickBot="1" x14ac:dyDescent="0.3">
      <c r="A1280" s="14">
        <v>42828</v>
      </c>
      <c r="B1280" s="15">
        <v>42828</v>
      </c>
      <c r="C1280" s="16">
        <v>793132</v>
      </c>
      <c r="D1280" s="10">
        <f>PrincipalesVariables[[#This Row],[Base monetaria]]/1000000</f>
        <v>0.79313199999999995</v>
      </c>
      <c r="E1280" s="10">
        <v>15.42</v>
      </c>
      <c r="F1280" s="11">
        <v>51851</v>
      </c>
      <c r="H1280" s="12">
        <f>(PrincipalesVariables[[#This Row],[Base monetaria]]-C1279)/C1279</f>
        <v>5.0851140507080471E-2</v>
      </c>
      <c r="I1280" s="12">
        <f>(PrincipalesVariables[[#This Row],[Dólar  mayorista]]-E1279)/E1279</f>
        <v>2.6007802340701656E-3</v>
      </c>
      <c r="J1280" s="12">
        <f>(PrincipalesVariables[[#This Row],[Reservas internacionales]]-F1279)/F1279</f>
        <v>2.6305371917184593E-2</v>
      </c>
    </row>
    <row r="1281" spans="1:10" ht="15.75" thickBot="1" x14ac:dyDescent="0.3">
      <c r="A1281" s="14">
        <v>42829</v>
      </c>
      <c r="B1281" s="15">
        <v>42829</v>
      </c>
      <c r="C1281" s="16">
        <v>786106</v>
      </c>
      <c r="D1281" s="10">
        <f>PrincipalesVariables[[#This Row],[Base monetaria]]/1000000</f>
        <v>0.78610599999999997</v>
      </c>
      <c r="E1281" s="10">
        <v>15.38</v>
      </c>
      <c r="F1281" s="11">
        <v>51885</v>
      </c>
      <c r="H1281" s="12">
        <f>(PrincipalesVariables[[#This Row],[Base monetaria]]-C1280)/C1280</f>
        <v>-8.8585506573937243E-3</v>
      </c>
      <c r="I1281" s="12">
        <f>(PrincipalesVariables[[#This Row],[Dólar  mayorista]]-E1280)/E1280</f>
        <v>-2.5940337224383365E-3</v>
      </c>
      <c r="J1281" s="12">
        <f>(PrincipalesVariables[[#This Row],[Reservas internacionales]]-F1280)/F1280</f>
        <v>6.5572505834024411E-4</v>
      </c>
    </row>
    <row r="1282" spans="1:10" ht="15.75" thickBot="1" x14ac:dyDescent="0.3">
      <c r="A1282" s="14">
        <v>42830</v>
      </c>
      <c r="B1282" s="15">
        <v>42830</v>
      </c>
      <c r="C1282" s="16">
        <v>778071</v>
      </c>
      <c r="D1282" s="10">
        <f>PrincipalesVariables[[#This Row],[Base monetaria]]/1000000</f>
        <v>0.77807099999999996</v>
      </c>
      <c r="E1282" s="10">
        <v>15.35</v>
      </c>
      <c r="F1282" s="11">
        <v>51926</v>
      </c>
      <c r="H1282" s="12">
        <f>(PrincipalesVariables[[#This Row],[Base monetaria]]-C1281)/C1281</f>
        <v>-1.0221267869727492E-2</v>
      </c>
      <c r="I1282" s="12">
        <f>(PrincipalesVariables[[#This Row],[Dólar  mayorista]]-E1281)/E1281</f>
        <v>-1.9505851755527396E-3</v>
      </c>
      <c r="J1282" s="12">
        <f>(PrincipalesVariables[[#This Row],[Reservas internacionales]]-F1281)/F1281</f>
        <v>7.9020911631492725E-4</v>
      </c>
    </row>
    <row r="1283" spans="1:10" ht="15.75" thickBot="1" x14ac:dyDescent="0.3">
      <c r="A1283" s="14">
        <v>42831</v>
      </c>
      <c r="B1283" s="15">
        <v>42831</v>
      </c>
      <c r="C1283" s="16">
        <v>778919</v>
      </c>
      <c r="D1283" s="10">
        <f>PrincipalesVariables[[#This Row],[Base monetaria]]/1000000</f>
        <v>0.77891900000000003</v>
      </c>
      <c r="E1283" s="10">
        <v>15.41</v>
      </c>
      <c r="F1283" s="11">
        <v>52008</v>
      </c>
      <c r="H1283" s="12">
        <f>(PrincipalesVariables[[#This Row],[Base monetaria]]-C1282)/C1282</f>
        <v>1.0898748314742484E-3</v>
      </c>
      <c r="I1283" s="12">
        <f>(PrincipalesVariables[[#This Row],[Dólar  mayorista]]-E1282)/E1282</f>
        <v>3.9087947882736479E-3</v>
      </c>
      <c r="J1283" s="12">
        <f>(PrincipalesVariables[[#This Row],[Reservas internacionales]]-F1282)/F1282</f>
        <v>1.5791703578168933E-3</v>
      </c>
    </row>
    <row r="1284" spans="1:10" ht="15.75" thickBot="1" x14ac:dyDescent="0.3">
      <c r="A1284" s="14">
        <v>42832</v>
      </c>
      <c r="B1284" s="15">
        <v>42832</v>
      </c>
      <c r="C1284" s="16">
        <v>779781</v>
      </c>
      <c r="D1284" s="10">
        <f>PrincipalesVariables[[#This Row],[Base monetaria]]/1000000</f>
        <v>0.77978099999999995</v>
      </c>
      <c r="E1284" s="10">
        <v>15.37</v>
      </c>
      <c r="F1284" s="11">
        <v>52091</v>
      </c>
      <c r="H1284" s="12">
        <f>(PrincipalesVariables[[#This Row],[Base monetaria]]-C1283)/C1283</f>
        <v>1.1066619250525407E-3</v>
      </c>
      <c r="I1284" s="12">
        <f>(PrincipalesVariables[[#This Row],[Dólar  mayorista]]-E1283)/E1283</f>
        <v>-2.5957170668397746E-3</v>
      </c>
      <c r="J1284" s="12">
        <f>(PrincipalesVariables[[#This Row],[Reservas internacionales]]-F1283)/F1283</f>
        <v>1.5959083217966467E-3</v>
      </c>
    </row>
    <row r="1285" spans="1:10" ht="15.75" thickBot="1" x14ac:dyDescent="0.3">
      <c r="A1285" s="14">
        <v>42835</v>
      </c>
      <c r="B1285" s="15">
        <v>42835</v>
      </c>
      <c r="C1285" s="16">
        <v>791731</v>
      </c>
      <c r="D1285" s="10">
        <f>PrincipalesVariables[[#This Row],[Base monetaria]]/1000000</f>
        <v>0.79173099999999996</v>
      </c>
      <c r="E1285" s="10">
        <v>15.33</v>
      </c>
      <c r="F1285" s="11">
        <v>52088</v>
      </c>
      <c r="H1285" s="12">
        <f>(PrincipalesVariables[[#This Row],[Base monetaria]]-C1284)/C1284</f>
        <v>1.5324815557188492E-2</v>
      </c>
      <c r="I1285" s="12">
        <f>(PrincipalesVariables[[#This Row],[Dólar  mayorista]]-E1284)/E1284</f>
        <v>-2.6024723487312394E-3</v>
      </c>
      <c r="J1285" s="12">
        <f>(PrincipalesVariables[[#This Row],[Reservas internacionales]]-F1284)/F1284</f>
        <v>-5.7591522527883895E-5</v>
      </c>
    </row>
    <row r="1286" spans="1:10" ht="15.75" thickBot="1" x14ac:dyDescent="0.3">
      <c r="A1286" s="14">
        <v>42836</v>
      </c>
      <c r="B1286" s="15">
        <v>42836</v>
      </c>
      <c r="C1286" s="16">
        <v>789921</v>
      </c>
      <c r="D1286" s="10">
        <f>PrincipalesVariables[[#This Row],[Base monetaria]]/1000000</f>
        <v>0.78992099999999998</v>
      </c>
      <c r="E1286" s="10">
        <v>15.24</v>
      </c>
      <c r="F1286" s="11">
        <v>52246</v>
      </c>
      <c r="H1286" s="12">
        <f>(PrincipalesVariables[[#This Row],[Base monetaria]]-C1285)/C1285</f>
        <v>-2.2861300113296056E-3</v>
      </c>
      <c r="I1286" s="12">
        <f>(PrincipalesVariables[[#This Row],[Dólar  mayorista]]-E1285)/E1285</f>
        <v>-5.8708414872798344E-3</v>
      </c>
      <c r="J1286" s="12">
        <f>(PrincipalesVariables[[#This Row],[Reservas internacionales]]-F1285)/F1285</f>
        <v>3.033328213792044E-3</v>
      </c>
    </row>
    <row r="1287" spans="1:10" ht="15.75" thickBot="1" x14ac:dyDescent="0.3">
      <c r="A1287" s="14">
        <v>42837</v>
      </c>
      <c r="B1287" s="15">
        <v>42837</v>
      </c>
      <c r="C1287" s="16">
        <v>776726</v>
      </c>
      <c r="D1287" s="10">
        <f>PrincipalesVariables[[#This Row],[Base monetaria]]/1000000</f>
        <v>0.77672600000000003</v>
      </c>
      <c r="E1287" s="10">
        <v>15.17</v>
      </c>
      <c r="F1287" s="11">
        <v>52696</v>
      </c>
      <c r="H1287" s="12">
        <f>(PrincipalesVariables[[#This Row],[Base monetaria]]-C1286)/C1286</f>
        <v>-1.6704202065776198E-2</v>
      </c>
      <c r="I1287" s="12">
        <f>(PrincipalesVariables[[#This Row],[Dólar  mayorista]]-E1286)/E1286</f>
        <v>-4.5931758530183917E-3</v>
      </c>
      <c r="J1287" s="12">
        <f>(PrincipalesVariables[[#This Row],[Reservas internacionales]]-F1286)/F1286</f>
        <v>8.6130995674309988E-3</v>
      </c>
    </row>
    <row r="1288" spans="1:10" ht="15.75" thickBot="1" x14ac:dyDescent="0.3">
      <c r="A1288" s="14">
        <v>42842</v>
      </c>
      <c r="B1288" s="15">
        <v>42842</v>
      </c>
      <c r="C1288" s="16">
        <v>795822</v>
      </c>
      <c r="D1288" s="10">
        <f>PrincipalesVariables[[#This Row],[Base monetaria]]/1000000</f>
        <v>0.79582200000000003</v>
      </c>
      <c r="E1288" s="10">
        <v>15.21</v>
      </c>
      <c r="F1288" s="11">
        <v>48579</v>
      </c>
      <c r="H1288" s="12">
        <f>(PrincipalesVariables[[#This Row],[Base monetaria]]-C1287)/C1287</f>
        <v>2.458524627732302E-2</v>
      </c>
      <c r="I1288" s="12">
        <f>(PrincipalesVariables[[#This Row],[Dólar  mayorista]]-E1287)/E1287</f>
        <v>2.6367831245880636E-3</v>
      </c>
      <c r="J1288" s="12">
        <f>(PrincipalesVariables[[#This Row],[Reservas internacionales]]-F1287)/F1287</f>
        <v>-7.8127372096553821E-2</v>
      </c>
    </row>
    <row r="1289" spans="1:10" ht="15.75" thickBot="1" x14ac:dyDescent="0.3">
      <c r="A1289" s="14">
        <v>42843</v>
      </c>
      <c r="B1289" s="15">
        <v>42843</v>
      </c>
      <c r="C1289" s="16">
        <v>795751</v>
      </c>
      <c r="D1289" s="10">
        <f>PrincipalesVariables[[#This Row],[Base monetaria]]/1000000</f>
        <v>0.79575099999999999</v>
      </c>
      <c r="E1289" s="10">
        <v>15.23</v>
      </c>
      <c r="F1289" s="11">
        <v>49095</v>
      </c>
      <c r="H1289" s="12">
        <f>(PrincipalesVariables[[#This Row],[Base monetaria]]-C1288)/C1288</f>
        <v>-8.9215930195445713E-5</v>
      </c>
      <c r="I1289" s="12">
        <f>(PrincipalesVariables[[#This Row],[Dólar  mayorista]]-E1288)/E1288</f>
        <v>1.3149243918474406E-3</v>
      </c>
      <c r="J1289" s="12">
        <f>(PrincipalesVariables[[#This Row],[Reservas internacionales]]-F1288)/F1288</f>
        <v>1.062187364910764E-2</v>
      </c>
    </row>
    <row r="1290" spans="1:10" ht="15.75" thickBot="1" x14ac:dyDescent="0.3">
      <c r="A1290" s="14">
        <v>42844</v>
      </c>
      <c r="B1290" s="15">
        <v>42844</v>
      </c>
      <c r="C1290" s="16">
        <v>835464</v>
      </c>
      <c r="D1290" s="10">
        <f>PrincipalesVariables[[#This Row],[Base monetaria]]/1000000</f>
        <v>0.83546399999999998</v>
      </c>
      <c r="E1290" s="10">
        <v>15.42</v>
      </c>
      <c r="F1290" s="11">
        <v>48944</v>
      </c>
      <c r="H1290" s="12">
        <f>(PrincipalesVariables[[#This Row],[Base monetaria]]-C1289)/C1289</f>
        <v>4.9906314915092786E-2</v>
      </c>
      <c r="I1290" s="12">
        <f>(PrincipalesVariables[[#This Row],[Dólar  mayorista]]-E1289)/E1289</f>
        <v>1.2475377544320387E-2</v>
      </c>
      <c r="J1290" s="12">
        <f>(PrincipalesVariables[[#This Row],[Reservas internacionales]]-F1289)/F1289</f>
        <v>-3.0756696201242489E-3</v>
      </c>
    </row>
    <row r="1291" spans="1:10" ht="15.75" thickBot="1" x14ac:dyDescent="0.3">
      <c r="A1291" s="14">
        <v>42845</v>
      </c>
      <c r="B1291" s="15">
        <v>42845</v>
      </c>
      <c r="C1291" s="16">
        <v>811736</v>
      </c>
      <c r="D1291" s="10">
        <f>PrincipalesVariables[[#This Row],[Base monetaria]]/1000000</f>
        <v>0.81173600000000001</v>
      </c>
      <c r="E1291" s="10">
        <v>15.4</v>
      </c>
      <c r="F1291" s="11">
        <v>48892</v>
      </c>
      <c r="H1291" s="12">
        <f>(PrincipalesVariables[[#This Row],[Base monetaria]]-C1290)/C1290</f>
        <v>-2.8400984363180219E-2</v>
      </c>
      <c r="I1291" s="12">
        <f>(PrincipalesVariables[[#This Row],[Dólar  mayorista]]-E1290)/E1290</f>
        <v>-1.2970168612191683E-3</v>
      </c>
      <c r="J1291" s="12">
        <f>(PrincipalesVariables[[#This Row],[Reservas internacionales]]-F1290)/F1290</f>
        <v>-1.0624387054593003E-3</v>
      </c>
    </row>
    <row r="1292" spans="1:10" ht="15.75" thickBot="1" x14ac:dyDescent="0.3">
      <c r="A1292" s="14">
        <v>42846</v>
      </c>
      <c r="B1292" s="15">
        <v>42846</v>
      </c>
      <c r="C1292" s="16">
        <v>794195</v>
      </c>
      <c r="D1292" s="10">
        <f>PrincipalesVariables[[#This Row],[Base monetaria]]/1000000</f>
        <v>0.79419499999999998</v>
      </c>
      <c r="E1292" s="10">
        <v>15.39</v>
      </c>
      <c r="F1292" s="11">
        <v>48314</v>
      </c>
      <c r="H1292" s="12">
        <f>(PrincipalesVariables[[#This Row],[Base monetaria]]-C1291)/C1291</f>
        <v>-2.1609242413789705E-2</v>
      </c>
      <c r="I1292" s="12">
        <f>(PrincipalesVariables[[#This Row],[Dólar  mayorista]]-E1291)/E1291</f>
        <v>-6.4935064935063547E-4</v>
      </c>
      <c r="J1292" s="12">
        <f>(PrincipalesVariables[[#This Row],[Reservas internacionales]]-F1291)/F1291</f>
        <v>-1.1821974965229486E-2</v>
      </c>
    </row>
    <row r="1293" spans="1:10" ht="15.75" thickBot="1" x14ac:dyDescent="0.3">
      <c r="A1293" s="14">
        <v>42849</v>
      </c>
      <c r="B1293" s="15">
        <v>42849</v>
      </c>
      <c r="C1293" s="16">
        <v>809294</v>
      </c>
      <c r="D1293" s="10">
        <f>PrincipalesVariables[[#This Row],[Base monetaria]]/1000000</f>
        <v>0.80929399999999996</v>
      </c>
      <c r="E1293" s="10">
        <v>15.42</v>
      </c>
      <c r="F1293" s="11">
        <v>48349</v>
      </c>
      <c r="H1293" s="12">
        <f>(PrincipalesVariables[[#This Row],[Base monetaria]]-C1292)/C1292</f>
        <v>1.9011703674790197E-2</v>
      </c>
      <c r="I1293" s="12">
        <f>(PrincipalesVariables[[#This Row],[Dólar  mayorista]]-E1292)/E1292</f>
        <v>1.9493177387913815E-3</v>
      </c>
      <c r="J1293" s="12">
        <f>(PrincipalesVariables[[#This Row],[Reservas internacionales]]-F1292)/F1292</f>
        <v>7.2442770211532891E-4</v>
      </c>
    </row>
    <row r="1294" spans="1:10" ht="15.75" thickBot="1" x14ac:dyDescent="0.3">
      <c r="A1294" s="14">
        <v>42850</v>
      </c>
      <c r="B1294" s="15">
        <v>42850</v>
      </c>
      <c r="C1294" s="16">
        <v>802272</v>
      </c>
      <c r="D1294" s="10">
        <f>PrincipalesVariables[[#This Row],[Base monetaria]]/1000000</f>
        <v>0.80227199999999999</v>
      </c>
      <c r="E1294" s="10">
        <v>15.41</v>
      </c>
      <c r="F1294" s="11">
        <v>48260</v>
      </c>
      <c r="H1294" s="12">
        <f>(PrincipalesVariables[[#This Row],[Base monetaria]]-C1293)/C1293</f>
        <v>-8.6766984556910093E-3</v>
      </c>
      <c r="I1294" s="12">
        <f>(PrincipalesVariables[[#This Row],[Dólar  mayorista]]-E1293)/E1293</f>
        <v>-6.4850843060958413E-4</v>
      </c>
      <c r="J1294" s="12">
        <f>(PrincipalesVariables[[#This Row],[Reservas internacionales]]-F1293)/F1293</f>
        <v>-1.8407826428674843E-3</v>
      </c>
    </row>
    <row r="1295" spans="1:10" ht="15.75" thickBot="1" x14ac:dyDescent="0.3">
      <c r="A1295" s="14">
        <v>42851</v>
      </c>
      <c r="B1295" s="15">
        <v>42851</v>
      </c>
      <c r="C1295" s="16">
        <v>797345</v>
      </c>
      <c r="D1295" s="10">
        <f>PrincipalesVariables[[#This Row],[Base monetaria]]/1000000</f>
        <v>0.79734499999999997</v>
      </c>
      <c r="E1295" s="10">
        <v>15.44</v>
      </c>
      <c r="F1295" s="11">
        <v>48176</v>
      </c>
      <c r="H1295" s="12">
        <f>(PrincipalesVariables[[#This Row],[Base monetaria]]-C1294)/C1294</f>
        <v>-6.1413086833393164E-3</v>
      </c>
      <c r="I1295" s="12">
        <f>(PrincipalesVariables[[#This Row],[Dólar  mayorista]]-E1294)/E1294</f>
        <v>1.9467878001297443E-3</v>
      </c>
      <c r="J1295" s="12">
        <f>(PrincipalesVariables[[#This Row],[Reservas internacionales]]-F1294)/F1294</f>
        <v>-1.7405719021964361E-3</v>
      </c>
    </row>
    <row r="1296" spans="1:10" ht="15.75" thickBot="1" x14ac:dyDescent="0.3">
      <c r="A1296" s="14">
        <v>42852</v>
      </c>
      <c r="B1296" s="15">
        <v>42852</v>
      </c>
      <c r="C1296" s="16">
        <v>809373</v>
      </c>
      <c r="D1296" s="10">
        <f>PrincipalesVariables[[#This Row],[Base monetaria]]/1000000</f>
        <v>0.80937300000000001</v>
      </c>
      <c r="E1296" s="10">
        <v>15.45</v>
      </c>
      <c r="F1296" s="11">
        <v>48460</v>
      </c>
      <c r="H1296" s="12">
        <f>(PrincipalesVariables[[#This Row],[Base monetaria]]-C1295)/C1295</f>
        <v>1.5085063554672068E-2</v>
      </c>
      <c r="I1296" s="12">
        <f>(PrincipalesVariables[[#This Row],[Dólar  mayorista]]-E1295)/E1295</f>
        <v>6.4766839378236967E-4</v>
      </c>
      <c r="J1296" s="12">
        <f>(PrincipalesVariables[[#This Row],[Reservas internacionales]]-F1295)/F1295</f>
        <v>5.8950514779143141E-3</v>
      </c>
    </row>
    <row r="1297" spans="1:10" ht="15.75" thickBot="1" x14ac:dyDescent="0.3">
      <c r="A1297" s="14">
        <v>42853</v>
      </c>
      <c r="B1297" s="15">
        <v>42853</v>
      </c>
      <c r="C1297" s="16">
        <v>795910</v>
      </c>
      <c r="D1297" s="10">
        <f>PrincipalesVariables[[#This Row],[Base monetaria]]/1000000</f>
        <v>0.79591000000000001</v>
      </c>
      <c r="E1297" s="10">
        <v>15.43</v>
      </c>
      <c r="F1297" s="11">
        <v>48217</v>
      </c>
      <c r="H1297" s="12">
        <f>(PrincipalesVariables[[#This Row],[Base monetaria]]-C1296)/C1296</f>
        <v>-1.663386349680555E-2</v>
      </c>
      <c r="I1297" s="12">
        <f>(PrincipalesVariables[[#This Row],[Dólar  mayorista]]-E1296)/E1296</f>
        <v>-1.2944983818769951E-3</v>
      </c>
      <c r="J1297" s="12">
        <f>(PrincipalesVariables[[#This Row],[Reservas internacionales]]-F1296)/F1296</f>
        <v>-5.0144449030127937E-3</v>
      </c>
    </row>
    <row r="1298" spans="1:10" ht="15.75" thickBot="1" x14ac:dyDescent="0.3">
      <c r="A1298" s="14">
        <v>42857</v>
      </c>
      <c r="B1298" s="15">
        <v>42857</v>
      </c>
      <c r="C1298" s="16">
        <v>820133</v>
      </c>
      <c r="D1298" s="10">
        <f>PrincipalesVariables[[#This Row],[Base monetaria]]/1000000</f>
        <v>0.820133</v>
      </c>
      <c r="E1298" s="10">
        <v>15.33</v>
      </c>
      <c r="F1298" s="11">
        <v>48227</v>
      </c>
      <c r="H1298" s="12">
        <f>(PrincipalesVariables[[#This Row],[Base monetaria]]-C1297)/C1297</f>
        <v>3.0434345591838274E-2</v>
      </c>
      <c r="I1298" s="12">
        <f>(PrincipalesVariables[[#This Row],[Dólar  mayorista]]-E1297)/E1297</f>
        <v>-6.4808813998703599E-3</v>
      </c>
      <c r="J1298" s="12">
        <f>(PrincipalesVariables[[#This Row],[Reservas internacionales]]-F1297)/F1297</f>
        <v>2.0739573179583964E-4</v>
      </c>
    </row>
    <row r="1299" spans="1:10" ht="15.75" thickBot="1" x14ac:dyDescent="0.3">
      <c r="A1299" s="14">
        <v>42858</v>
      </c>
      <c r="B1299" s="15">
        <v>42858</v>
      </c>
      <c r="C1299" s="16">
        <v>817790</v>
      </c>
      <c r="D1299" s="10">
        <f>PrincipalesVariables[[#This Row],[Base monetaria]]/1000000</f>
        <v>0.81779000000000002</v>
      </c>
      <c r="E1299" s="10">
        <v>15.27</v>
      </c>
      <c r="F1299" s="11">
        <v>48361</v>
      </c>
      <c r="H1299" s="12">
        <f>(PrincipalesVariables[[#This Row],[Base monetaria]]-C1298)/C1298</f>
        <v>-2.8568537054355818E-3</v>
      </c>
      <c r="I1299" s="12">
        <f>(PrincipalesVariables[[#This Row],[Dólar  mayorista]]-E1298)/E1298</f>
        <v>-3.9138943248532617E-3</v>
      </c>
      <c r="J1299" s="12">
        <f>(PrincipalesVariables[[#This Row],[Reservas internacionales]]-F1298)/F1298</f>
        <v>2.7785265515167853E-3</v>
      </c>
    </row>
    <row r="1300" spans="1:10" ht="15.75" thickBot="1" x14ac:dyDescent="0.3">
      <c r="A1300" s="14">
        <v>42859</v>
      </c>
      <c r="B1300" s="15">
        <v>42859</v>
      </c>
      <c r="C1300" s="16">
        <v>813496</v>
      </c>
      <c r="D1300" s="10">
        <f>PrincipalesVariables[[#This Row],[Base monetaria]]/1000000</f>
        <v>0.813496</v>
      </c>
      <c r="E1300" s="10">
        <v>15.37</v>
      </c>
      <c r="F1300" s="11">
        <v>48336</v>
      </c>
      <c r="H1300" s="12">
        <f>(PrincipalesVariables[[#This Row],[Base monetaria]]-C1299)/C1299</f>
        <v>-5.2507367417063064E-3</v>
      </c>
      <c r="I1300" s="12">
        <f>(PrincipalesVariables[[#This Row],[Dólar  mayorista]]-E1299)/E1299</f>
        <v>6.5487884741322628E-3</v>
      </c>
      <c r="J1300" s="12">
        <f>(PrincipalesVariables[[#This Row],[Reservas internacionales]]-F1299)/F1299</f>
        <v>-5.1694547259155106E-4</v>
      </c>
    </row>
    <row r="1301" spans="1:10" ht="15.75" thickBot="1" x14ac:dyDescent="0.3">
      <c r="A1301" s="14">
        <v>42860</v>
      </c>
      <c r="B1301" s="15">
        <v>42860</v>
      </c>
      <c r="C1301" s="16">
        <v>814964</v>
      </c>
      <c r="D1301" s="10">
        <f>PrincipalesVariables[[#This Row],[Base monetaria]]/1000000</f>
        <v>0.81496400000000002</v>
      </c>
      <c r="E1301" s="10">
        <v>15.34</v>
      </c>
      <c r="F1301" s="11">
        <v>48360</v>
      </c>
      <c r="H1301" s="12">
        <f>(PrincipalesVariables[[#This Row],[Base monetaria]]-C1300)/C1300</f>
        <v>1.8045571213626127E-3</v>
      </c>
      <c r="I1301" s="12">
        <f>(PrincipalesVariables[[#This Row],[Dólar  mayorista]]-E1300)/E1300</f>
        <v>-1.9518542615484294E-3</v>
      </c>
      <c r="J1301" s="12">
        <f>(PrincipalesVariables[[#This Row],[Reservas internacionales]]-F1300)/F1300</f>
        <v>4.965243296921549E-4</v>
      </c>
    </row>
    <row r="1302" spans="1:10" ht="15.75" thickBot="1" x14ac:dyDescent="0.3">
      <c r="A1302" s="14">
        <v>42863</v>
      </c>
      <c r="B1302" s="15">
        <v>42863</v>
      </c>
      <c r="C1302" s="16">
        <v>801198</v>
      </c>
      <c r="D1302" s="10">
        <f>PrincipalesVariables[[#This Row],[Base monetaria]]/1000000</f>
        <v>0.80119799999999997</v>
      </c>
      <c r="E1302" s="10">
        <v>15.39</v>
      </c>
      <c r="F1302" s="11">
        <v>48032</v>
      </c>
      <c r="H1302" s="12">
        <f>(PrincipalesVariables[[#This Row],[Base monetaria]]-C1301)/C1301</f>
        <v>-1.6891543675548858E-2</v>
      </c>
      <c r="I1302" s="12">
        <f>(PrincipalesVariables[[#This Row],[Dólar  mayorista]]-E1301)/E1301</f>
        <v>3.2594524119948314E-3</v>
      </c>
      <c r="J1302" s="12">
        <f>(PrincipalesVariables[[#This Row],[Reservas internacionales]]-F1301)/F1301</f>
        <v>-6.782464846980976E-3</v>
      </c>
    </row>
    <row r="1303" spans="1:10" ht="15.75" thickBot="1" x14ac:dyDescent="0.3">
      <c r="A1303" s="14">
        <v>42864</v>
      </c>
      <c r="B1303" s="15">
        <v>42864</v>
      </c>
      <c r="C1303" s="16">
        <v>798250</v>
      </c>
      <c r="D1303" s="10">
        <f>PrincipalesVariables[[#This Row],[Base monetaria]]/1000000</f>
        <v>0.79825000000000002</v>
      </c>
      <c r="E1303" s="10">
        <v>15.55</v>
      </c>
      <c r="F1303" s="11">
        <v>48040</v>
      </c>
      <c r="H1303" s="12">
        <f>(PrincipalesVariables[[#This Row],[Base monetaria]]-C1302)/C1302</f>
        <v>-3.6794899637792406E-3</v>
      </c>
      <c r="I1303" s="12">
        <f>(PrincipalesVariables[[#This Row],[Dólar  mayorista]]-E1302)/E1302</f>
        <v>1.0396361273554264E-2</v>
      </c>
      <c r="J1303" s="12">
        <f>(PrincipalesVariables[[#This Row],[Reservas internacionales]]-F1302)/F1302</f>
        <v>1.6655562958027982E-4</v>
      </c>
    </row>
    <row r="1304" spans="1:10" ht="15.75" thickBot="1" x14ac:dyDescent="0.3">
      <c r="A1304" s="14">
        <v>42865</v>
      </c>
      <c r="B1304" s="15">
        <v>42865</v>
      </c>
      <c r="C1304" s="16">
        <v>793702</v>
      </c>
      <c r="D1304" s="10">
        <f>PrincipalesVariables[[#This Row],[Base monetaria]]/1000000</f>
        <v>0.79370200000000002</v>
      </c>
      <c r="E1304" s="10">
        <v>15.53</v>
      </c>
      <c r="F1304" s="11">
        <v>48056</v>
      </c>
      <c r="H1304" s="12">
        <f>(PrincipalesVariables[[#This Row],[Base monetaria]]-C1303)/C1303</f>
        <v>-5.6974632007516443E-3</v>
      </c>
      <c r="I1304" s="12">
        <f>(PrincipalesVariables[[#This Row],[Dólar  mayorista]]-E1303)/E1303</f>
        <v>-1.2861736334406012E-3</v>
      </c>
      <c r="J1304" s="12">
        <f>(PrincipalesVariables[[#This Row],[Reservas internacionales]]-F1303)/F1303</f>
        <v>3.3305578684429644E-4</v>
      </c>
    </row>
    <row r="1305" spans="1:10" ht="15.75" thickBot="1" x14ac:dyDescent="0.3">
      <c r="A1305" s="14">
        <v>42866</v>
      </c>
      <c r="B1305" s="15">
        <v>42866</v>
      </c>
      <c r="C1305" s="16">
        <v>793703</v>
      </c>
      <c r="D1305" s="10">
        <f>PrincipalesVariables[[#This Row],[Base monetaria]]/1000000</f>
        <v>0.79370300000000005</v>
      </c>
      <c r="E1305" s="10">
        <v>15.46</v>
      </c>
      <c r="F1305" s="11">
        <v>48075</v>
      </c>
      <c r="H1305" s="12">
        <f>(PrincipalesVariables[[#This Row],[Base monetaria]]-C1304)/C1304</f>
        <v>1.2599187100448278E-6</v>
      </c>
      <c r="I1305" s="12">
        <f>(PrincipalesVariables[[#This Row],[Dólar  mayorista]]-E1304)/E1304</f>
        <v>-4.5074050225369288E-3</v>
      </c>
      <c r="J1305" s="12">
        <f>(PrincipalesVariables[[#This Row],[Reservas internacionales]]-F1304)/F1304</f>
        <v>3.9537206592308975E-4</v>
      </c>
    </row>
    <row r="1306" spans="1:10" ht="15.75" thickBot="1" x14ac:dyDescent="0.3">
      <c r="A1306" s="14">
        <v>42867</v>
      </c>
      <c r="B1306" s="15">
        <v>42867</v>
      </c>
      <c r="C1306" s="16">
        <v>785871</v>
      </c>
      <c r="D1306" s="10">
        <f>PrincipalesVariables[[#This Row],[Base monetaria]]/1000000</f>
        <v>0.78587099999999999</v>
      </c>
      <c r="E1306" s="10">
        <v>15.41</v>
      </c>
      <c r="F1306" s="11">
        <v>48628</v>
      </c>
      <c r="H1306" s="12">
        <f>(PrincipalesVariables[[#This Row],[Base monetaria]]-C1305)/C1305</f>
        <v>-9.8676709046078941E-3</v>
      </c>
      <c r="I1306" s="12">
        <f>(PrincipalesVariables[[#This Row],[Dólar  mayorista]]-E1305)/E1305</f>
        <v>-3.2341526520052203E-3</v>
      </c>
      <c r="J1306" s="12">
        <f>(PrincipalesVariables[[#This Row],[Reservas internacionales]]-F1305)/F1305</f>
        <v>1.1502860114404576E-2</v>
      </c>
    </row>
    <row r="1307" spans="1:10" ht="15.75" thickBot="1" x14ac:dyDescent="0.3">
      <c r="A1307" s="14">
        <v>42870</v>
      </c>
      <c r="B1307" s="15">
        <v>42870</v>
      </c>
      <c r="C1307" s="16">
        <v>777729</v>
      </c>
      <c r="D1307" s="10">
        <f>PrincipalesVariables[[#This Row],[Base monetaria]]/1000000</f>
        <v>0.777729</v>
      </c>
      <c r="E1307" s="10">
        <v>15.48</v>
      </c>
      <c r="F1307" s="11">
        <v>48566</v>
      </c>
      <c r="H1307" s="12">
        <f>(PrincipalesVariables[[#This Row],[Base monetaria]]-C1306)/C1306</f>
        <v>-1.0360479009913841E-2</v>
      </c>
      <c r="I1307" s="12">
        <f>(PrincipalesVariables[[#This Row],[Dólar  mayorista]]-E1306)/E1306</f>
        <v>4.5425048669695189E-3</v>
      </c>
      <c r="J1307" s="12">
        <f>(PrincipalesVariables[[#This Row],[Reservas internacionales]]-F1306)/F1306</f>
        <v>-1.2749856050012338E-3</v>
      </c>
    </row>
    <row r="1308" spans="1:10" ht="15.75" thickBot="1" x14ac:dyDescent="0.3">
      <c r="A1308" s="14">
        <v>42871</v>
      </c>
      <c r="B1308" s="15">
        <v>42871</v>
      </c>
      <c r="C1308" s="16">
        <v>773069</v>
      </c>
      <c r="D1308" s="10">
        <f>PrincipalesVariables[[#This Row],[Base monetaria]]/1000000</f>
        <v>0.77306900000000001</v>
      </c>
      <c r="E1308" s="10">
        <v>15.59</v>
      </c>
      <c r="F1308" s="11">
        <v>48659</v>
      </c>
      <c r="H1308" s="12">
        <f>(PrincipalesVariables[[#This Row],[Base monetaria]]-C1307)/C1307</f>
        <v>-5.9918043431580921E-3</v>
      </c>
      <c r="I1308" s="12">
        <f>(PrincipalesVariables[[#This Row],[Dólar  mayorista]]-E1307)/E1307</f>
        <v>7.1059431524547433E-3</v>
      </c>
      <c r="J1308" s="12">
        <f>(PrincipalesVariables[[#This Row],[Reservas internacionales]]-F1307)/F1307</f>
        <v>1.9149199028126672E-3</v>
      </c>
    </row>
    <row r="1309" spans="1:10" ht="15.75" thickBot="1" x14ac:dyDescent="0.3">
      <c r="A1309" s="14">
        <v>42872</v>
      </c>
      <c r="B1309" s="15">
        <v>42872</v>
      </c>
      <c r="C1309" s="16">
        <v>797567</v>
      </c>
      <c r="D1309" s="10">
        <f>PrincipalesVariables[[#This Row],[Base monetaria]]/1000000</f>
        <v>0.79756700000000003</v>
      </c>
      <c r="E1309" s="10">
        <v>15.62</v>
      </c>
      <c r="F1309" s="11">
        <v>48627</v>
      </c>
      <c r="H1309" s="12">
        <f>(PrincipalesVariables[[#This Row],[Base monetaria]]-C1308)/C1308</f>
        <v>3.1689279999586067E-2</v>
      </c>
      <c r="I1309" s="12">
        <f>(PrincipalesVariables[[#This Row],[Dólar  mayorista]]-E1308)/E1308</f>
        <v>1.9243104554201001E-3</v>
      </c>
      <c r="J1309" s="12">
        <f>(PrincipalesVariables[[#This Row],[Reservas internacionales]]-F1308)/F1308</f>
        <v>-6.5763784705809823E-4</v>
      </c>
    </row>
    <row r="1310" spans="1:10" ht="15.75" thickBot="1" x14ac:dyDescent="0.3">
      <c r="A1310" s="14">
        <v>42873</v>
      </c>
      <c r="B1310" s="15">
        <v>42873</v>
      </c>
      <c r="C1310" s="16">
        <v>789253</v>
      </c>
      <c r="D1310" s="10">
        <f>PrincipalesVariables[[#This Row],[Base monetaria]]/1000000</f>
        <v>0.78925299999999998</v>
      </c>
      <c r="E1310" s="10">
        <v>15.91</v>
      </c>
      <c r="F1310" s="11">
        <v>48400</v>
      </c>
      <c r="H1310" s="12">
        <f>(PrincipalesVariables[[#This Row],[Base monetaria]]-C1309)/C1309</f>
        <v>-1.0424202606176033E-2</v>
      </c>
      <c r="I1310" s="12">
        <f>(PrincipalesVariables[[#This Row],[Dólar  mayorista]]-E1309)/E1309</f>
        <v>1.8565941101152429E-2</v>
      </c>
      <c r="J1310" s="12">
        <f>(PrincipalesVariables[[#This Row],[Reservas internacionales]]-F1309)/F1309</f>
        <v>-4.6681884549735746E-3</v>
      </c>
    </row>
    <row r="1311" spans="1:10" ht="15.75" thickBot="1" x14ac:dyDescent="0.3">
      <c r="A1311" s="14">
        <v>42874</v>
      </c>
      <c r="B1311" s="15">
        <v>42874</v>
      </c>
      <c r="C1311" s="16">
        <v>782324</v>
      </c>
      <c r="D1311" s="10">
        <f>PrincipalesVariables[[#This Row],[Base monetaria]]/1000000</f>
        <v>0.78232400000000002</v>
      </c>
      <c r="E1311" s="10">
        <v>15.89</v>
      </c>
      <c r="F1311" s="11">
        <v>48027</v>
      </c>
      <c r="H1311" s="12">
        <f>(PrincipalesVariables[[#This Row],[Base monetaria]]-C1310)/C1310</f>
        <v>-8.7791874088536878E-3</v>
      </c>
      <c r="I1311" s="12">
        <f>(PrincipalesVariables[[#This Row],[Dólar  mayorista]]-E1310)/E1310</f>
        <v>-1.2570710245128581E-3</v>
      </c>
      <c r="J1311" s="12">
        <f>(PrincipalesVariables[[#This Row],[Reservas internacionales]]-F1310)/F1310</f>
        <v>-7.7066115702479343E-3</v>
      </c>
    </row>
    <row r="1312" spans="1:10" ht="15.75" thickBot="1" x14ac:dyDescent="0.3">
      <c r="A1312" s="14">
        <v>42877</v>
      </c>
      <c r="B1312" s="15">
        <v>42877</v>
      </c>
      <c r="C1312" s="16">
        <v>776242</v>
      </c>
      <c r="D1312" s="10">
        <f>PrincipalesVariables[[#This Row],[Base monetaria]]/1000000</f>
        <v>0.77624199999999999</v>
      </c>
      <c r="E1312" s="10">
        <v>16.07</v>
      </c>
      <c r="F1312" s="11">
        <v>47855</v>
      </c>
      <c r="H1312" s="12">
        <f>(PrincipalesVariables[[#This Row],[Base monetaria]]-C1311)/C1311</f>
        <v>-7.7742725520372636E-3</v>
      </c>
      <c r="I1312" s="12">
        <f>(PrincipalesVariables[[#This Row],[Dólar  mayorista]]-E1311)/E1311</f>
        <v>1.1327879169288842E-2</v>
      </c>
      <c r="J1312" s="12">
        <f>(PrincipalesVariables[[#This Row],[Reservas internacionales]]-F1311)/F1311</f>
        <v>-3.581318841484998E-3</v>
      </c>
    </row>
    <row r="1313" spans="1:10" ht="15.75" thickBot="1" x14ac:dyDescent="0.3">
      <c r="A1313" s="14">
        <v>42878</v>
      </c>
      <c r="B1313" s="15">
        <v>42878</v>
      </c>
      <c r="C1313" s="16">
        <v>767649</v>
      </c>
      <c r="D1313" s="10">
        <f>PrincipalesVariables[[#This Row],[Base monetaria]]/1000000</f>
        <v>0.76764900000000003</v>
      </c>
      <c r="E1313" s="10">
        <v>16.100000000000001</v>
      </c>
      <c r="F1313" s="11">
        <v>47468</v>
      </c>
      <c r="H1313" s="12">
        <f>(PrincipalesVariables[[#This Row],[Base monetaria]]-C1312)/C1312</f>
        <v>-1.1070001365553526E-2</v>
      </c>
      <c r="I1313" s="12">
        <f>(PrincipalesVariables[[#This Row],[Dólar  mayorista]]-E1312)/E1312</f>
        <v>1.8668326073429456E-3</v>
      </c>
      <c r="J1313" s="12">
        <f>(PrincipalesVariables[[#This Row],[Reservas internacionales]]-F1312)/F1312</f>
        <v>-8.0869292654894998E-3</v>
      </c>
    </row>
    <row r="1314" spans="1:10" ht="15.75" thickBot="1" x14ac:dyDescent="0.3">
      <c r="A1314" s="14">
        <v>42879</v>
      </c>
      <c r="B1314" s="15">
        <v>42879</v>
      </c>
      <c r="C1314" s="16">
        <v>752265</v>
      </c>
      <c r="D1314" s="10">
        <f>PrincipalesVariables[[#This Row],[Base monetaria]]/1000000</f>
        <v>0.75226499999999996</v>
      </c>
      <c r="E1314" s="10">
        <v>16.100000000000001</v>
      </c>
      <c r="F1314" s="11">
        <v>46767</v>
      </c>
      <c r="H1314" s="12">
        <f>(PrincipalesVariables[[#This Row],[Base monetaria]]-C1313)/C1313</f>
        <v>-2.0040409093218386E-2</v>
      </c>
      <c r="I1314" s="12">
        <f>(PrincipalesVariables[[#This Row],[Dólar  mayorista]]-E1313)/E1313</f>
        <v>0</v>
      </c>
      <c r="J1314" s="12">
        <f>(PrincipalesVariables[[#This Row],[Reservas internacionales]]-F1313)/F1313</f>
        <v>-1.476784359989888E-2</v>
      </c>
    </row>
    <row r="1315" spans="1:10" ht="15.75" thickBot="1" x14ac:dyDescent="0.3">
      <c r="A1315" s="14">
        <v>42881</v>
      </c>
      <c r="B1315" s="15">
        <v>42881</v>
      </c>
      <c r="C1315" s="16">
        <v>759718</v>
      </c>
      <c r="D1315" s="10">
        <f>PrincipalesVariables[[#This Row],[Base monetaria]]/1000000</f>
        <v>0.759718</v>
      </c>
      <c r="E1315" s="10">
        <v>16.04</v>
      </c>
      <c r="F1315" s="11">
        <v>45872</v>
      </c>
      <c r="H1315" s="12">
        <f>(PrincipalesVariables[[#This Row],[Base monetaria]]-C1314)/C1314</f>
        <v>9.9074129462357018E-3</v>
      </c>
      <c r="I1315" s="12">
        <f>(PrincipalesVariables[[#This Row],[Dólar  mayorista]]-E1314)/E1314</f>
        <v>-3.7267080745343024E-3</v>
      </c>
      <c r="J1315" s="12">
        <f>(PrincipalesVariables[[#This Row],[Reservas internacionales]]-F1314)/F1314</f>
        <v>-1.9137425962751514E-2</v>
      </c>
    </row>
    <row r="1316" spans="1:10" ht="15.75" thickBot="1" x14ac:dyDescent="0.3">
      <c r="A1316" s="14">
        <v>42884</v>
      </c>
      <c r="B1316" s="15">
        <v>42884</v>
      </c>
      <c r="C1316" s="16">
        <v>755434</v>
      </c>
      <c r="D1316" s="10">
        <f>PrincipalesVariables[[#This Row],[Base monetaria]]/1000000</f>
        <v>0.75543400000000005</v>
      </c>
      <c r="E1316" s="10">
        <v>16.010000000000002</v>
      </c>
      <c r="F1316" s="11">
        <v>45851</v>
      </c>
      <c r="H1316" s="12">
        <f>(PrincipalesVariables[[#This Row],[Base monetaria]]-C1315)/C1315</f>
        <v>-5.6389344467289177E-3</v>
      </c>
      <c r="I1316" s="12">
        <f>(PrincipalesVariables[[#This Row],[Dólar  mayorista]]-E1315)/E1315</f>
        <v>-1.870324189526034E-3</v>
      </c>
      <c r="J1316" s="12">
        <f>(PrincipalesVariables[[#This Row],[Reservas internacionales]]-F1315)/F1315</f>
        <v>-4.5779560516219042E-4</v>
      </c>
    </row>
    <row r="1317" spans="1:10" ht="15.75" thickBot="1" x14ac:dyDescent="0.3">
      <c r="A1317" s="14">
        <v>42885</v>
      </c>
      <c r="B1317" s="15">
        <v>42885</v>
      </c>
      <c r="C1317" s="16">
        <v>753678</v>
      </c>
      <c r="D1317" s="10">
        <f>PrincipalesVariables[[#This Row],[Base monetaria]]/1000000</f>
        <v>0.75367799999999996</v>
      </c>
      <c r="E1317" s="10">
        <v>16.07</v>
      </c>
      <c r="F1317" s="11">
        <v>45814</v>
      </c>
      <c r="H1317" s="12">
        <f>(PrincipalesVariables[[#This Row],[Base monetaria]]-C1316)/C1316</f>
        <v>-2.3244916167395168E-3</v>
      </c>
      <c r="I1317" s="12">
        <f>(PrincipalesVariables[[#This Row],[Dólar  mayorista]]-E1316)/E1316</f>
        <v>3.747657713928714E-3</v>
      </c>
      <c r="J1317" s="12">
        <f>(PrincipalesVariables[[#This Row],[Reservas internacionales]]-F1316)/F1316</f>
        <v>-8.0696168022507692E-4</v>
      </c>
    </row>
    <row r="1318" spans="1:10" ht="15.75" thickBot="1" x14ac:dyDescent="0.3">
      <c r="A1318" s="14">
        <v>42886</v>
      </c>
      <c r="B1318" s="15">
        <v>42886</v>
      </c>
      <c r="C1318" s="16">
        <v>757087</v>
      </c>
      <c r="D1318" s="10">
        <f>PrincipalesVariables[[#This Row],[Base monetaria]]/1000000</f>
        <v>0.75708699999999995</v>
      </c>
      <c r="E1318" s="10">
        <v>16.14</v>
      </c>
      <c r="F1318" s="11">
        <v>46146</v>
      </c>
      <c r="H1318" s="12">
        <f>(PrincipalesVariables[[#This Row],[Base monetaria]]-C1317)/C1317</f>
        <v>4.5231517969212317E-3</v>
      </c>
      <c r="I1318" s="12">
        <f>(PrincipalesVariables[[#This Row],[Dólar  mayorista]]-E1317)/E1317</f>
        <v>4.3559427504667259E-3</v>
      </c>
      <c r="J1318" s="12">
        <f>(PrincipalesVariables[[#This Row],[Reservas internacionales]]-F1317)/F1317</f>
        <v>7.2466931505653295E-3</v>
      </c>
    </row>
    <row r="1319" spans="1:10" ht="15.75" thickBot="1" x14ac:dyDescent="0.3">
      <c r="A1319" s="14">
        <v>42887</v>
      </c>
      <c r="B1319" s="15">
        <v>42887</v>
      </c>
      <c r="C1319" s="16">
        <v>787403</v>
      </c>
      <c r="D1319" s="10">
        <f>PrincipalesVariables[[#This Row],[Base monetaria]]/1000000</f>
        <v>0.78740299999999996</v>
      </c>
      <c r="E1319" s="10">
        <v>16.059999999999999</v>
      </c>
      <c r="F1319" s="11">
        <v>45082</v>
      </c>
      <c r="H1319" s="12">
        <f>(PrincipalesVariables[[#This Row],[Base monetaria]]-C1318)/C1318</f>
        <v>4.0042954112275077E-2</v>
      </c>
      <c r="I1319" s="12">
        <f>(PrincipalesVariables[[#This Row],[Dólar  mayorista]]-E1318)/E1318</f>
        <v>-4.9566294919455916E-3</v>
      </c>
      <c r="J1319" s="12">
        <f>(PrincipalesVariables[[#This Row],[Reservas internacionales]]-F1318)/F1318</f>
        <v>-2.3057253066354613E-2</v>
      </c>
    </row>
    <row r="1320" spans="1:10" ht="15.75" thickBot="1" x14ac:dyDescent="0.3">
      <c r="A1320" s="14">
        <v>42888</v>
      </c>
      <c r="B1320" s="15">
        <v>42888</v>
      </c>
      <c r="C1320" s="16">
        <v>785710</v>
      </c>
      <c r="D1320" s="10">
        <f>PrincipalesVariables[[#This Row],[Base monetaria]]/1000000</f>
        <v>0.78571000000000002</v>
      </c>
      <c r="E1320" s="10">
        <v>16.03</v>
      </c>
      <c r="F1320" s="11">
        <v>45070</v>
      </c>
      <c r="H1320" s="12">
        <f>(PrincipalesVariables[[#This Row],[Base monetaria]]-C1319)/C1319</f>
        <v>-2.1501061083079439E-3</v>
      </c>
      <c r="I1320" s="12">
        <f>(PrincipalesVariables[[#This Row],[Dólar  mayorista]]-E1319)/E1319</f>
        <v>-1.8679950186798E-3</v>
      </c>
      <c r="J1320" s="12">
        <f>(PrincipalesVariables[[#This Row],[Reservas internacionales]]-F1319)/F1319</f>
        <v>-2.661816245951821E-4</v>
      </c>
    </row>
    <row r="1321" spans="1:10" ht="15.75" thickBot="1" x14ac:dyDescent="0.3">
      <c r="A1321" s="14">
        <v>42891</v>
      </c>
      <c r="B1321" s="15">
        <v>42891</v>
      </c>
      <c r="C1321" s="16">
        <v>781772</v>
      </c>
      <c r="D1321" s="10">
        <f>PrincipalesVariables[[#This Row],[Base monetaria]]/1000000</f>
        <v>0.78177200000000002</v>
      </c>
      <c r="E1321" s="10">
        <v>16.03</v>
      </c>
      <c r="F1321" s="11">
        <v>45142</v>
      </c>
      <c r="H1321" s="12">
        <f>(PrincipalesVariables[[#This Row],[Base monetaria]]-C1320)/C1320</f>
        <v>-5.0120273383309367E-3</v>
      </c>
      <c r="I1321" s="12">
        <f>(PrincipalesVariables[[#This Row],[Dólar  mayorista]]-E1320)/E1320</f>
        <v>0</v>
      </c>
      <c r="J1321" s="12">
        <f>(PrincipalesVariables[[#This Row],[Reservas internacionales]]-F1320)/F1320</f>
        <v>1.5975149767029067E-3</v>
      </c>
    </row>
    <row r="1322" spans="1:10" ht="15.75" thickBot="1" x14ac:dyDescent="0.3">
      <c r="A1322" s="14">
        <v>42892</v>
      </c>
      <c r="B1322" s="15">
        <v>42892</v>
      </c>
      <c r="C1322" s="16">
        <v>801773</v>
      </c>
      <c r="D1322" s="10">
        <f>PrincipalesVariables[[#This Row],[Base monetaria]]/1000000</f>
        <v>0.80177299999999996</v>
      </c>
      <c r="E1322" s="10">
        <v>16.010000000000002</v>
      </c>
      <c r="F1322" s="11">
        <v>45093</v>
      </c>
      <c r="H1322" s="12">
        <f>(PrincipalesVariables[[#This Row],[Base monetaria]]-C1321)/C1321</f>
        <v>2.5584185670502396E-2</v>
      </c>
      <c r="I1322" s="12">
        <f>(PrincipalesVariables[[#This Row],[Dólar  mayorista]]-E1321)/E1321</f>
        <v>-1.2476606363068978E-3</v>
      </c>
      <c r="J1322" s="12">
        <f>(PrincipalesVariables[[#This Row],[Reservas internacionales]]-F1321)/F1321</f>
        <v>-1.0854636480439502E-3</v>
      </c>
    </row>
    <row r="1323" spans="1:10" ht="15.75" thickBot="1" x14ac:dyDescent="0.3">
      <c r="A1323" s="14">
        <v>42893</v>
      </c>
      <c r="B1323" s="15">
        <v>42893</v>
      </c>
      <c r="C1323" s="16">
        <v>817715</v>
      </c>
      <c r="D1323" s="10">
        <f>PrincipalesVariables[[#This Row],[Base monetaria]]/1000000</f>
        <v>0.81771499999999997</v>
      </c>
      <c r="E1323" s="10">
        <v>16.010000000000002</v>
      </c>
      <c r="F1323" s="11">
        <v>45080</v>
      </c>
      <c r="H1323" s="12">
        <f>(PrincipalesVariables[[#This Row],[Base monetaria]]-C1322)/C1322</f>
        <v>1.9883433340858323E-2</v>
      </c>
      <c r="I1323" s="12">
        <f>(PrincipalesVariables[[#This Row],[Dólar  mayorista]]-E1322)/E1322</f>
        <v>0</v>
      </c>
      <c r="J1323" s="12">
        <f>(PrincipalesVariables[[#This Row],[Reservas internacionales]]-F1322)/F1322</f>
        <v>-2.8829308318364271E-4</v>
      </c>
    </row>
    <row r="1324" spans="1:10" ht="15.75" thickBot="1" x14ac:dyDescent="0.3">
      <c r="A1324" s="14">
        <v>42894</v>
      </c>
      <c r="B1324" s="15">
        <v>42894</v>
      </c>
      <c r="C1324" s="16">
        <v>815320</v>
      </c>
      <c r="D1324" s="10">
        <f>PrincipalesVariables[[#This Row],[Base monetaria]]/1000000</f>
        <v>0.81532000000000004</v>
      </c>
      <c r="E1324" s="10">
        <v>15.99</v>
      </c>
      <c r="F1324" s="11">
        <v>44922</v>
      </c>
      <c r="H1324" s="12">
        <f>(PrincipalesVariables[[#This Row],[Base monetaria]]-C1323)/C1323</f>
        <v>-2.9288933185767658E-3</v>
      </c>
      <c r="I1324" s="12">
        <f>(PrincipalesVariables[[#This Row],[Dólar  mayorista]]-E1323)/E1323</f>
        <v>-1.2492192379763491E-3</v>
      </c>
      <c r="J1324" s="12">
        <f>(PrincipalesVariables[[#This Row],[Reservas internacionales]]-F1323)/F1323</f>
        <v>-3.5048802129547473E-3</v>
      </c>
    </row>
    <row r="1325" spans="1:10" ht="15.75" thickBot="1" x14ac:dyDescent="0.3">
      <c r="A1325" s="14">
        <v>42895</v>
      </c>
      <c r="B1325" s="15">
        <v>42895</v>
      </c>
      <c r="C1325" s="16">
        <v>807625</v>
      </c>
      <c r="D1325" s="10">
        <f>PrincipalesVariables[[#This Row],[Base monetaria]]/1000000</f>
        <v>0.80762500000000004</v>
      </c>
      <c r="E1325" s="10">
        <v>15.9</v>
      </c>
      <c r="F1325" s="11">
        <v>44899</v>
      </c>
      <c r="H1325" s="12">
        <f>(PrincipalesVariables[[#This Row],[Base monetaria]]-C1324)/C1324</f>
        <v>-9.4380120688809296E-3</v>
      </c>
      <c r="I1325" s="12">
        <f>(PrincipalesVariables[[#This Row],[Dólar  mayorista]]-E1324)/E1324</f>
        <v>-5.6285178236397662E-3</v>
      </c>
      <c r="J1325" s="12">
        <f>(PrincipalesVariables[[#This Row],[Reservas internacionales]]-F1324)/F1324</f>
        <v>-5.1199857530831222E-4</v>
      </c>
    </row>
    <row r="1326" spans="1:10" ht="15.75" thickBot="1" x14ac:dyDescent="0.3">
      <c r="A1326" s="14">
        <v>42898</v>
      </c>
      <c r="B1326" s="15">
        <v>42898</v>
      </c>
      <c r="C1326" s="16">
        <v>805071</v>
      </c>
      <c r="D1326" s="10">
        <f>PrincipalesVariables[[#This Row],[Base monetaria]]/1000000</f>
        <v>0.80507099999999998</v>
      </c>
      <c r="E1326" s="10">
        <v>15.93</v>
      </c>
      <c r="F1326" s="11">
        <v>44775</v>
      </c>
      <c r="H1326" s="12">
        <f>(PrincipalesVariables[[#This Row],[Base monetaria]]-C1325)/C1325</f>
        <v>-3.1623587679925707E-3</v>
      </c>
      <c r="I1326" s="12">
        <f>(PrincipalesVariables[[#This Row],[Dólar  mayorista]]-E1325)/E1325</f>
        <v>1.8867924528301484E-3</v>
      </c>
      <c r="J1326" s="12">
        <f>(PrincipalesVariables[[#This Row],[Reservas internacionales]]-F1325)/F1325</f>
        <v>-2.7617541593353973E-3</v>
      </c>
    </row>
    <row r="1327" spans="1:10" ht="15.75" thickBot="1" x14ac:dyDescent="0.3">
      <c r="A1327" s="14">
        <v>42899</v>
      </c>
      <c r="B1327" s="15">
        <v>42899</v>
      </c>
      <c r="C1327" s="16">
        <v>794101</v>
      </c>
      <c r="D1327" s="10">
        <f>PrincipalesVariables[[#This Row],[Base monetaria]]/1000000</f>
        <v>0.79410099999999995</v>
      </c>
      <c r="E1327" s="10">
        <v>15.89</v>
      </c>
      <c r="F1327" s="11">
        <v>44641</v>
      </c>
      <c r="H1327" s="12">
        <f>(PrincipalesVariables[[#This Row],[Base monetaria]]-C1326)/C1326</f>
        <v>-1.362612738503809E-2</v>
      </c>
      <c r="I1327" s="12">
        <f>(PrincipalesVariables[[#This Row],[Dólar  mayorista]]-E1326)/E1326</f>
        <v>-2.5109855618329659E-3</v>
      </c>
      <c r="J1327" s="12">
        <f>(PrincipalesVariables[[#This Row],[Reservas internacionales]]-F1326)/F1326</f>
        <v>-2.9927414852037966E-3</v>
      </c>
    </row>
    <row r="1328" spans="1:10" ht="15.75" thickBot="1" x14ac:dyDescent="0.3">
      <c r="A1328" s="14">
        <v>42900</v>
      </c>
      <c r="B1328" s="15">
        <v>42900</v>
      </c>
      <c r="C1328" s="16">
        <v>793093</v>
      </c>
      <c r="D1328" s="10">
        <f>PrincipalesVariables[[#This Row],[Base monetaria]]/1000000</f>
        <v>0.79309300000000005</v>
      </c>
      <c r="E1328" s="10">
        <v>15.85</v>
      </c>
      <c r="F1328" s="11">
        <v>44733</v>
      </c>
      <c r="H1328" s="12">
        <f>(PrincipalesVariables[[#This Row],[Base monetaria]]-C1327)/C1327</f>
        <v>-1.2693599428788027E-3</v>
      </c>
      <c r="I1328" s="12">
        <f>(PrincipalesVariables[[#This Row],[Dólar  mayorista]]-E1327)/E1327</f>
        <v>-2.5173064820642492E-3</v>
      </c>
      <c r="J1328" s="12">
        <f>(PrincipalesVariables[[#This Row],[Reservas internacionales]]-F1327)/F1327</f>
        <v>2.0608857328464863E-3</v>
      </c>
    </row>
    <row r="1329" spans="1:10" ht="15.75" thickBot="1" x14ac:dyDescent="0.3">
      <c r="A1329" s="14">
        <v>42901</v>
      </c>
      <c r="B1329" s="15">
        <v>42901</v>
      </c>
      <c r="C1329" s="16">
        <v>793491</v>
      </c>
      <c r="D1329" s="10">
        <f>PrincipalesVariables[[#This Row],[Base monetaria]]/1000000</f>
        <v>0.79349099999999995</v>
      </c>
      <c r="E1329" s="10">
        <v>15.92</v>
      </c>
      <c r="F1329" s="11">
        <v>44632</v>
      </c>
      <c r="H1329" s="12">
        <f>(PrincipalesVariables[[#This Row],[Base monetaria]]-C1328)/C1328</f>
        <v>5.0183269805684834E-4</v>
      </c>
      <c r="I1329" s="12">
        <f>(PrincipalesVariables[[#This Row],[Dólar  mayorista]]-E1328)/E1328</f>
        <v>4.416403785488977E-3</v>
      </c>
      <c r="J1329" s="12">
        <f>(PrincipalesVariables[[#This Row],[Reservas internacionales]]-F1328)/F1328</f>
        <v>-2.2578409675183867E-3</v>
      </c>
    </row>
    <row r="1330" spans="1:10" ht="15.75" thickBot="1" x14ac:dyDescent="0.3">
      <c r="A1330" s="14">
        <v>42902</v>
      </c>
      <c r="B1330" s="15">
        <v>42902</v>
      </c>
      <c r="C1330" s="16">
        <v>779105</v>
      </c>
      <c r="D1330" s="10">
        <f>PrincipalesVariables[[#This Row],[Base monetaria]]/1000000</f>
        <v>0.77910500000000005</v>
      </c>
      <c r="E1330" s="10">
        <v>16.010000000000002</v>
      </c>
      <c r="F1330" s="11">
        <v>44780</v>
      </c>
      <c r="H1330" s="12">
        <f>(PrincipalesVariables[[#This Row],[Base monetaria]]-C1329)/C1329</f>
        <v>-1.8130010296273053E-2</v>
      </c>
      <c r="I1330" s="12">
        <f>(PrincipalesVariables[[#This Row],[Dólar  mayorista]]-E1329)/E1329</f>
        <v>5.653266331658394E-3</v>
      </c>
      <c r="J1330" s="12">
        <f>(PrincipalesVariables[[#This Row],[Reservas internacionales]]-F1329)/F1329</f>
        <v>3.3160064527693136E-3</v>
      </c>
    </row>
    <row r="1331" spans="1:10" ht="15.75" thickBot="1" x14ac:dyDescent="0.3">
      <c r="A1331" s="14">
        <v>42905</v>
      </c>
      <c r="B1331" s="15">
        <v>42905</v>
      </c>
      <c r="C1331" s="16">
        <v>780566</v>
      </c>
      <c r="D1331" s="10">
        <f>PrincipalesVariables[[#This Row],[Base monetaria]]/1000000</f>
        <v>0.78056599999999998</v>
      </c>
      <c r="E1331" s="10">
        <v>16.07</v>
      </c>
      <c r="F1331" s="11">
        <v>44758</v>
      </c>
      <c r="H1331" s="12">
        <f>(PrincipalesVariables[[#This Row],[Base monetaria]]-C1330)/C1330</f>
        <v>1.8752286277202688E-3</v>
      </c>
      <c r="I1331" s="12">
        <f>(PrincipalesVariables[[#This Row],[Dólar  mayorista]]-E1330)/E1330</f>
        <v>3.747657713928714E-3</v>
      </c>
      <c r="J1331" s="12">
        <f>(PrincipalesVariables[[#This Row],[Reservas internacionales]]-F1330)/F1330</f>
        <v>-4.912907548012506E-4</v>
      </c>
    </row>
    <row r="1332" spans="1:10" ht="15.75" thickBot="1" x14ac:dyDescent="0.3">
      <c r="A1332" s="14">
        <v>42907</v>
      </c>
      <c r="B1332" s="15">
        <v>42907</v>
      </c>
      <c r="C1332" s="16">
        <v>877377</v>
      </c>
      <c r="D1332" s="10">
        <f>PrincipalesVariables[[#This Row],[Base monetaria]]/1000000</f>
        <v>0.87737699999999996</v>
      </c>
      <c r="E1332" s="10">
        <v>16.36</v>
      </c>
      <c r="F1332" s="11">
        <v>45872</v>
      </c>
      <c r="H1332" s="12">
        <f>(PrincipalesVariables[[#This Row],[Base monetaria]]-C1331)/C1331</f>
        <v>0.12402666782821696</v>
      </c>
      <c r="I1332" s="12">
        <f>(PrincipalesVariables[[#This Row],[Dólar  mayorista]]-E1331)/E1331</f>
        <v>1.8046048537647737E-2</v>
      </c>
      <c r="J1332" s="12">
        <f>(PrincipalesVariables[[#This Row],[Reservas internacionales]]-F1331)/F1331</f>
        <v>2.4889405245989545E-2</v>
      </c>
    </row>
    <row r="1333" spans="1:10" ht="15.75" thickBot="1" x14ac:dyDescent="0.3">
      <c r="A1333" s="14">
        <v>42908</v>
      </c>
      <c r="B1333" s="15">
        <v>42908</v>
      </c>
      <c r="C1333" s="16">
        <v>860521</v>
      </c>
      <c r="D1333" s="10">
        <f>PrincipalesVariables[[#This Row],[Base monetaria]]/1000000</f>
        <v>0.86052099999999998</v>
      </c>
      <c r="E1333" s="10">
        <v>16.190000000000001</v>
      </c>
      <c r="F1333" s="11">
        <v>45917</v>
      </c>
      <c r="H1333" s="12">
        <f>(PrincipalesVariables[[#This Row],[Base monetaria]]-C1332)/C1332</f>
        <v>-1.9211809746551369E-2</v>
      </c>
      <c r="I1333" s="12">
        <f>(PrincipalesVariables[[#This Row],[Dólar  mayorista]]-E1332)/E1332</f>
        <v>-1.0391198044009668E-2</v>
      </c>
      <c r="J1333" s="12">
        <f>(PrincipalesVariables[[#This Row],[Reservas internacionales]]-F1332)/F1332</f>
        <v>9.8099058249040806E-4</v>
      </c>
    </row>
    <row r="1334" spans="1:10" ht="15.75" thickBot="1" x14ac:dyDescent="0.3">
      <c r="A1334" s="14">
        <v>42909</v>
      </c>
      <c r="B1334" s="15">
        <v>42909</v>
      </c>
      <c r="C1334" s="16">
        <v>846855</v>
      </c>
      <c r="D1334" s="10">
        <f>PrincipalesVariables[[#This Row],[Base monetaria]]/1000000</f>
        <v>0.84685500000000002</v>
      </c>
      <c r="E1334" s="10">
        <v>16.13</v>
      </c>
      <c r="F1334" s="11">
        <v>45897</v>
      </c>
      <c r="H1334" s="12">
        <f>(PrincipalesVariables[[#This Row],[Base monetaria]]-C1333)/C1333</f>
        <v>-1.5881076696559408E-2</v>
      </c>
      <c r="I1334" s="12">
        <f>(PrincipalesVariables[[#This Row],[Dólar  mayorista]]-E1333)/E1333</f>
        <v>-3.7059913526869838E-3</v>
      </c>
      <c r="J1334" s="12">
        <f>(PrincipalesVariables[[#This Row],[Reservas internacionales]]-F1333)/F1333</f>
        <v>-4.3556852581832438E-4</v>
      </c>
    </row>
    <row r="1335" spans="1:10" ht="15.75" thickBot="1" x14ac:dyDescent="0.3">
      <c r="A1335" s="14">
        <v>42912</v>
      </c>
      <c r="B1335" s="15">
        <v>42912</v>
      </c>
      <c r="C1335" s="16">
        <v>833960</v>
      </c>
      <c r="D1335" s="10">
        <f>PrincipalesVariables[[#This Row],[Base monetaria]]/1000000</f>
        <v>0.83396000000000003</v>
      </c>
      <c r="E1335" s="10">
        <v>16.239999999999998</v>
      </c>
      <c r="F1335" s="11">
        <v>45687</v>
      </c>
      <c r="H1335" s="12">
        <f>(PrincipalesVariables[[#This Row],[Base monetaria]]-C1334)/C1334</f>
        <v>-1.5226927868407224E-2</v>
      </c>
      <c r="I1335" s="12">
        <f>(PrincipalesVariables[[#This Row],[Dólar  mayorista]]-E1334)/E1334</f>
        <v>6.8195908245504925E-3</v>
      </c>
      <c r="J1335" s="12">
        <f>(PrincipalesVariables[[#This Row],[Reservas internacionales]]-F1334)/F1334</f>
        <v>-4.5754624485260477E-3</v>
      </c>
    </row>
    <row r="1336" spans="1:10" ht="15.75" thickBot="1" x14ac:dyDescent="0.3">
      <c r="A1336" s="14">
        <v>42913</v>
      </c>
      <c r="B1336" s="15">
        <v>42913</v>
      </c>
      <c r="C1336" s="16">
        <v>815943</v>
      </c>
      <c r="D1336" s="10">
        <f>PrincipalesVariables[[#This Row],[Base monetaria]]/1000000</f>
        <v>0.81594299999999997</v>
      </c>
      <c r="E1336" s="10">
        <v>16.39</v>
      </c>
      <c r="F1336" s="11">
        <v>45546</v>
      </c>
      <c r="H1336" s="12">
        <f>(PrincipalesVariables[[#This Row],[Base monetaria]]-C1335)/C1335</f>
        <v>-2.1604153676435322E-2</v>
      </c>
      <c r="I1336" s="12">
        <f>(PrincipalesVariables[[#This Row],[Dólar  mayorista]]-E1335)/E1335</f>
        <v>9.2364532019705761E-3</v>
      </c>
      <c r="J1336" s="12">
        <f>(PrincipalesVariables[[#This Row],[Reservas internacionales]]-F1335)/F1335</f>
        <v>-3.0862170858231008E-3</v>
      </c>
    </row>
    <row r="1337" spans="1:10" ht="15.75" thickBot="1" x14ac:dyDescent="0.3">
      <c r="A1337" s="14">
        <v>42914</v>
      </c>
      <c r="B1337" s="15">
        <v>42914</v>
      </c>
      <c r="C1337" s="16">
        <v>838718</v>
      </c>
      <c r="D1337" s="10">
        <f>PrincipalesVariables[[#This Row],[Base monetaria]]/1000000</f>
        <v>0.83871799999999996</v>
      </c>
      <c r="E1337" s="10">
        <v>16.37</v>
      </c>
      <c r="F1337" s="11">
        <v>47703</v>
      </c>
      <c r="H1337" s="12">
        <f>(PrincipalesVariables[[#This Row],[Base monetaria]]-C1336)/C1336</f>
        <v>2.7912488985137443E-2</v>
      </c>
      <c r="I1337" s="12">
        <f>(PrincipalesVariables[[#This Row],[Dólar  mayorista]]-E1336)/E1336</f>
        <v>-1.2202562538132747E-3</v>
      </c>
      <c r="J1337" s="12">
        <f>(PrincipalesVariables[[#This Row],[Reservas internacionales]]-F1336)/F1336</f>
        <v>4.7358714266895009E-2</v>
      </c>
    </row>
    <row r="1338" spans="1:10" ht="15.75" thickBot="1" x14ac:dyDescent="0.3">
      <c r="A1338" s="14">
        <v>42915</v>
      </c>
      <c r="B1338" s="15">
        <v>42915</v>
      </c>
      <c r="C1338" s="16">
        <v>838524</v>
      </c>
      <c r="D1338" s="10">
        <f>PrincipalesVariables[[#This Row],[Base monetaria]]/1000000</f>
        <v>0.83852400000000005</v>
      </c>
      <c r="E1338" s="10">
        <v>16.48</v>
      </c>
      <c r="F1338" s="11">
        <v>46997</v>
      </c>
      <c r="H1338" s="12">
        <f>(PrincipalesVariables[[#This Row],[Base monetaria]]-C1337)/C1337</f>
        <v>-2.3130539704644469E-4</v>
      </c>
      <c r="I1338" s="12">
        <f>(PrincipalesVariables[[#This Row],[Dólar  mayorista]]-E1337)/E1337</f>
        <v>6.7196090409284929E-3</v>
      </c>
      <c r="J1338" s="12">
        <f>(PrincipalesVariables[[#This Row],[Reservas internacionales]]-F1337)/F1337</f>
        <v>-1.4799907762614511E-2</v>
      </c>
    </row>
    <row r="1339" spans="1:10" ht="15.75" thickBot="1" x14ac:dyDescent="0.3">
      <c r="A1339" s="14">
        <v>42916</v>
      </c>
      <c r="B1339" s="15">
        <v>42916</v>
      </c>
      <c r="C1339" s="16">
        <v>833104</v>
      </c>
      <c r="D1339" s="10">
        <f>PrincipalesVariables[[#This Row],[Base monetaria]]/1000000</f>
        <v>0.83310399999999996</v>
      </c>
      <c r="E1339" s="10">
        <v>16.600000000000001</v>
      </c>
      <c r="F1339" s="11">
        <v>47995</v>
      </c>
      <c r="H1339" s="12">
        <f>(PrincipalesVariables[[#This Row],[Base monetaria]]-C1338)/C1338</f>
        <v>-6.4637386646059026E-3</v>
      </c>
      <c r="I1339" s="12">
        <f>(PrincipalesVariables[[#This Row],[Dólar  mayorista]]-E1338)/E1338</f>
        <v>7.2815533980583125E-3</v>
      </c>
      <c r="J1339" s="12">
        <f>(PrincipalesVariables[[#This Row],[Reservas internacionales]]-F1338)/F1338</f>
        <v>2.1235398004127923E-2</v>
      </c>
    </row>
    <row r="1340" spans="1:10" ht="15.75" thickBot="1" x14ac:dyDescent="0.3">
      <c r="A1340" s="14">
        <v>42919</v>
      </c>
      <c r="B1340" s="15">
        <v>42919</v>
      </c>
      <c r="C1340" s="16">
        <v>861792</v>
      </c>
      <c r="D1340" s="10">
        <f>PrincipalesVariables[[#This Row],[Base monetaria]]/1000000</f>
        <v>0.861792</v>
      </c>
      <c r="E1340" s="10">
        <v>16.68</v>
      </c>
      <c r="F1340" s="11">
        <v>47819</v>
      </c>
      <c r="H1340" s="12">
        <f>(PrincipalesVariables[[#This Row],[Base monetaria]]-C1339)/C1339</f>
        <v>3.4435076533061895E-2</v>
      </c>
      <c r="I1340" s="12">
        <f>(PrincipalesVariables[[#This Row],[Dólar  mayorista]]-E1339)/E1339</f>
        <v>4.8192771084336321E-3</v>
      </c>
      <c r="J1340" s="12">
        <f>(PrincipalesVariables[[#This Row],[Reservas internacionales]]-F1339)/F1339</f>
        <v>-3.6670486509011355E-3</v>
      </c>
    </row>
    <row r="1341" spans="1:10" ht="15.75" thickBot="1" x14ac:dyDescent="0.3">
      <c r="A1341" s="14">
        <v>42920</v>
      </c>
      <c r="B1341" s="15">
        <v>42920</v>
      </c>
      <c r="C1341" s="16">
        <v>862607</v>
      </c>
      <c r="D1341" s="10">
        <f>PrincipalesVariables[[#This Row],[Base monetaria]]/1000000</f>
        <v>0.86260700000000001</v>
      </c>
      <c r="E1341" s="10">
        <v>16.87</v>
      </c>
      <c r="F1341" s="11">
        <v>47761</v>
      </c>
      <c r="H1341" s="12">
        <f>(PrincipalesVariables[[#This Row],[Base monetaria]]-C1340)/C1340</f>
        <v>9.4570383572834275E-4</v>
      </c>
      <c r="I1341" s="12">
        <f>(PrincipalesVariables[[#This Row],[Dólar  mayorista]]-E1340)/E1340</f>
        <v>1.1390887290167942E-2</v>
      </c>
      <c r="J1341" s="12">
        <f>(PrincipalesVariables[[#This Row],[Reservas internacionales]]-F1340)/F1340</f>
        <v>-1.2129070034923356E-3</v>
      </c>
    </row>
    <row r="1342" spans="1:10" ht="15.75" thickBot="1" x14ac:dyDescent="0.3">
      <c r="A1342" s="14">
        <v>42921</v>
      </c>
      <c r="B1342" s="15">
        <v>42921</v>
      </c>
      <c r="C1342" s="16">
        <v>852826</v>
      </c>
      <c r="D1342" s="10">
        <f>PrincipalesVariables[[#This Row],[Base monetaria]]/1000000</f>
        <v>0.85282599999999997</v>
      </c>
      <c r="E1342" s="10">
        <v>17</v>
      </c>
      <c r="F1342" s="11">
        <v>47793</v>
      </c>
      <c r="H1342" s="12">
        <f>(PrincipalesVariables[[#This Row],[Base monetaria]]-C1341)/C1341</f>
        <v>-1.1338883176232051E-2</v>
      </c>
      <c r="I1342" s="12">
        <f>(PrincipalesVariables[[#This Row],[Dólar  mayorista]]-E1341)/E1341</f>
        <v>7.7059869590989328E-3</v>
      </c>
      <c r="J1342" s="12">
        <f>(PrincipalesVariables[[#This Row],[Reservas internacionales]]-F1341)/F1341</f>
        <v>6.7000272188605771E-4</v>
      </c>
    </row>
    <row r="1343" spans="1:10" ht="15.75" thickBot="1" x14ac:dyDescent="0.3">
      <c r="A1343" s="14">
        <v>42922</v>
      </c>
      <c r="B1343" s="15">
        <v>42922</v>
      </c>
      <c r="C1343" s="16">
        <v>854996</v>
      </c>
      <c r="D1343" s="10">
        <f>PrincipalesVariables[[#This Row],[Base monetaria]]/1000000</f>
        <v>0.85499599999999998</v>
      </c>
      <c r="E1343" s="10">
        <v>17.149999999999999</v>
      </c>
      <c r="F1343" s="11">
        <v>47995</v>
      </c>
      <c r="H1343" s="12">
        <f>(PrincipalesVariables[[#This Row],[Base monetaria]]-C1342)/C1342</f>
        <v>2.5444815237809352E-3</v>
      </c>
      <c r="I1343" s="12">
        <f>(PrincipalesVariables[[#This Row],[Dólar  mayorista]]-E1342)/E1342</f>
        <v>8.8235294117646225E-3</v>
      </c>
      <c r="J1343" s="12">
        <f>(PrincipalesVariables[[#This Row],[Reservas internacionales]]-F1342)/F1342</f>
        <v>4.2265603749503068E-3</v>
      </c>
    </row>
    <row r="1344" spans="1:10" ht="15.75" thickBot="1" x14ac:dyDescent="0.3">
      <c r="A1344" s="14">
        <v>42923</v>
      </c>
      <c r="B1344" s="15">
        <v>42923</v>
      </c>
      <c r="C1344" s="16">
        <v>856485</v>
      </c>
      <c r="D1344" s="10">
        <f>PrincipalesVariables[[#This Row],[Base monetaria]]/1000000</f>
        <v>0.85648500000000005</v>
      </c>
      <c r="E1344" s="10">
        <v>16.97</v>
      </c>
      <c r="F1344" s="11">
        <v>48569</v>
      </c>
      <c r="H1344" s="12">
        <f>(PrincipalesVariables[[#This Row],[Base monetaria]]-C1343)/C1343</f>
        <v>1.7415286153385514E-3</v>
      </c>
      <c r="I1344" s="12">
        <f>(PrincipalesVariables[[#This Row],[Dólar  mayorista]]-E1343)/E1343</f>
        <v>-1.0495626822157419E-2</v>
      </c>
      <c r="J1344" s="12">
        <f>(PrincipalesVariables[[#This Row],[Reservas internacionales]]-F1343)/F1343</f>
        <v>1.1959579122825295E-2</v>
      </c>
    </row>
    <row r="1345" spans="1:10" ht="15.75" thickBot="1" x14ac:dyDescent="0.3">
      <c r="A1345" s="14">
        <v>42926</v>
      </c>
      <c r="B1345" s="15">
        <v>42926</v>
      </c>
      <c r="C1345" s="16">
        <v>858398</v>
      </c>
      <c r="D1345" s="10">
        <f>PrincipalesVariables[[#This Row],[Base monetaria]]/1000000</f>
        <v>0.85839799999999999</v>
      </c>
      <c r="E1345" s="10">
        <v>16.989999999999998</v>
      </c>
      <c r="F1345" s="11">
        <v>48512</v>
      </c>
      <c r="H1345" s="12">
        <f>(PrincipalesVariables[[#This Row],[Base monetaria]]-C1344)/C1344</f>
        <v>2.2335475811018288E-3</v>
      </c>
      <c r="I1345" s="12">
        <f>(PrincipalesVariables[[#This Row],[Dólar  mayorista]]-E1344)/E1344</f>
        <v>1.1785503830288495E-3</v>
      </c>
      <c r="J1345" s="12">
        <f>(PrincipalesVariables[[#This Row],[Reservas internacionales]]-F1344)/F1344</f>
        <v>-1.1735880911692643E-3</v>
      </c>
    </row>
    <row r="1346" spans="1:10" ht="15.75" thickBot="1" x14ac:dyDescent="0.3">
      <c r="A1346" s="14">
        <v>42927</v>
      </c>
      <c r="B1346" s="15">
        <v>42927</v>
      </c>
      <c r="C1346" s="16">
        <v>854270</v>
      </c>
      <c r="D1346" s="10">
        <f>PrincipalesVariables[[#This Row],[Base monetaria]]/1000000</f>
        <v>0.85426999999999997</v>
      </c>
      <c r="E1346" s="10">
        <v>16.989999999999998</v>
      </c>
      <c r="F1346" s="11">
        <v>48455</v>
      </c>
      <c r="H1346" s="12">
        <f>(PrincipalesVariables[[#This Row],[Base monetaria]]-C1345)/C1345</f>
        <v>-4.8089580823813659E-3</v>
      </c>
      <c r="I1346" s="12">
        <f>(PrincipalesVariables[[#This Row],[Dólar  mayorista]]-E1345)/E1345</f>
        <v>0</v>
      </c>
      <c r="J1346" s="12">
        <f>(PrincipalesVariables[[#This Row],[Reservas internacionales]]-F1345)/F1345</f>
        <v>-1.1749670184696571E-3</v>
      </c>
    </row>
    <row r="1347" spans="1:10" ht="15.75" thickBot="1" x14ac:dyDescent="0.3">
      <c r="A1347" s="14">
        <v>42928</v>
      </c>
      <c r="B1347" s="15">
        <v>42928</v>
      </c>
      <c r="C1347" s="16">
        <v>846675</v>
      </c>
      <c r="D1347" s="10">
        <f>PrincipalesVariables[[#This Row],[Base monetaria]]/1000000</f>
        <v>0.84667499999999996</v>
      </c>
      <c r="E1347" s="10">
        <v>16.97</v>
      </c>
      <c r="F1347" s="11">
        <v>48327</v>
      </c>
      <c r="H1347" s="12">
        <f>(PrincipalesVariables[[#This Row],[Base monetaria]]-C1346)/C1346</f>
        <v>-8.8906317674739832E-3</v>
      </c>
      <c r="I1347" s="12">
        <f>(PrincipalesVariables[[#This Row],[Dólar  mayorista]]-E1346)/E1346</f>
        <v>-1.1771630370806107E-3</v>
      </c>
      <c r="J1347" s="12">
        <f>(PrincipalesVariables[[#This Row],[Reservas internacionales]]-F1346)/F1346</f>
        <v>-2.641626251160871E-3</v>
      </c>
    </row>
    <row r="1348" spans="1:10" ht="15.75" thickBot="1" x14ac:dyDescent="0.3">
      <c r="A1348" s="14">
        <v>42929</v>
      </c>
      <c r="B1348" s="15">
        <v>42929</v>
      </c>
      <c r="C1348" s="16">
        <v>838889</v>
      </c>
      <c r="D1348" s="10">
        <f>PrincipalesVariables[[#This Row],[Base monetaria]]/1000000</f>
        <v>0.838889</v>
      </c>
      <c r="E1348" s="10">
        <v>16.95</v>
      </c>
      <c r="F1348" s="11">
        <v>48273</v>
      </c>
      <c r="H1348" s="12">
        <f>(PrincipalesVariables[[#This Row],[Base monetaria]]-C1347)/C1347</f>
        <v>-9.1959724805858213E-3</v>
      </c>
      <c r="I1348" s="12">
        <f>(PrincipalesVariables[[#This Row],[Dólar  mayorista]]-E1347)/E1347</f>
        <v>-1.1785503830288495E-3</v>
      </c>
      <c r="J1348" s="12">
        <f>(PrincipalesVariables[[#This Row],[Reservas internacionales]]-F1347)/F1347</f>
        <v>-1.1173877956421876E-3</v>
      </c>
    </row>
    <row r="1349" spans="1:10" ht="15.75" thickBot="1" x14ac:dyDescent="0.3">
      <c r="A1349" s="14">
        <v>42930</v>
      </c>
      <c r="B1349" s="15">
        <v>42930</v>
      </c>
      <c r="C1349" s="16">
        <v>833235</v>
      </c>
      <c r="D1349" s="10">
        <f>PrincipalesVariables[[#This Row],[Base monetaria]]/1000000</f>
        <v>0.83323499999999995</v>
      </c>
      <c r="E1349" s="10">
        <v>16.87</v>
      </c>
      <c r="F1349" s="11">
        <v>48246</v>
      </c>
      <c r="H1349" s="12">
        <f>(PrincipalesVariables[[#This Row],[Base monetaria]]-C1348)/C1348</f>
        <v>-6.7398666569713035E-3</v>
      </c>
      <c r="I1349" s="12">
        <f>(PrincipalesVariables[[#This Row],[Dólar  mayorista]]-E1348)/E1348</f>
        <v>-4.7197640117993094E-3</v>
      </c>
      <c r="J1349" s="12">
        <f>(PrincipalesVariables[[#This Row],[Reservas internacionales]]-F1348)/F1348</f>
        <v>-5.5931887390466722E-4</v>
      </c>
    </row>
    <row r="1350" spans="1:10" ht="15.75" thickBot="1" x14ac:dyDescent="0.3">
      <c r="A1350" s="14">
        <v>42933</v>
      </c>
      <c r="B1350" s="15">
        <v>42933</v>
      </c>
      <c r="C1350" s="16">
        <v>826663</v>
      </c>
      <c r="D1350" s="10">
        <f>PrincipalesVariables[[#This Row],[Base monetaria]]/1000000</f>
        <v>0.82666300000000004</v>
      </c>
      <c r="E1350" s="10">
        <v>16.88</v>
      </c>
      <c r="F1350" s="11">
        <v>47951</v>
      </c>
      <c r="H1350" s="12">
        <f>(PrincipalesVariables[[#This Row],[Base monetaria]]-C1349)/C1349</f>
        <v>-7.8873307050231923E-3</v>
      </c>
      <c r="I1350" s="12">
        <f>(PrincipalesVariables[[#This Row],[Dólar  mayorista]]-E1349)/E1349</f>
        <v>5.927682276228814E-4</v>
      </c>
      <c r="J1350" s="12">
        <f>(PrincipalesVariables[[#This Row],[Reservas internacionales]]-F1349)/F1349</f>
        <v>-6.1144965385731458E-3</v>
      </c>
    </row>
    <row r="1351" spans="1:10" ht="15.75" thickBot="1" x14ac:dyDescent="0.3">
      <c r="A1351" s="14">
        <v>42934</v>
      </c>
      <c r="B1351" s="15">
        <v>42934</v>
      </c>
      <c r="C1351" s="16">
        <v>818010</v>
      </c>
      <c r="D1351" s="10">
        <f>PrincipalesVariables[[#This Row],[Base monetaria]]/1000000</f>
        <v>0.81801000000000001</v>
      </c>
      <c r="E1351" s="10">
        <v>17.03</v>
      </c>
      <c r="F1351" s="11">
        <v>47781</v>
      </c>
      <c r="H1351" s="12">
        <f>(PrincipalesVariables[[#This Row],[Base monetaria]]-C1350)/C1350</f>
        <v>-1.0467385137595368E-2</v>
      </c>
      <c r="I1351" s="12">
        <f>(PrincipalesVariables[[#This Row],[Dólar  mayorista]]-E1350)/E1350</f>
        <v>8.8862559241707426E-3</v>
      </c>
      <c r="J1351" s="12">
        <f>(PrincipalesVariables[[#This Row],[Reservas internacionales]]-F1350)/F1350</f>
        <v>-3.5452858126003629E-3</v>
      </c>
    </row>
    <row r="1352" spans="1:10" ht="15.75" thickBot="1" x14ac:dyDescent="0.3">
      <c r="A1352" s="14">
        <v>42935</v>
      </c>
      <c r="B1352" s="15">
        <v>42935</v>
      </c>
      <c r="C1352" s="16">
        <v>877037</v>
      </c>
      <c r="D1352" s="10">
        <f>PrincipalesVariables[[#This Row],[Base monetaria]]/1000000</f>
        <v>0.87703699999999996</v>
      </c>
      <c r="E1352" s="10">
        <v>17.309999999999999</v>
      </c>
      <c r="F1352" s="11">
        <v>47702</v>
      </c>
      <c r="H1352" s="12">
        <f>(PrincipalesVariables[[#This Row],[Base monetaria]]-C1351)/C1351</f>
        <v>7.2159264556668018E-2</v>
      </c>
      <c r="I1352" s="12">
        <f>(PrincipalesVariables[[#This Row],[Dólar  mayorista]]-E1351)/E1351</f>
        <v>1.6441573693481946E-2</v>
      </c>
      <c r="J1352" s="12">
        <f>(PrincipalesVariables[[#This Row],[Reservas internacionales]]-F1351)/F1351</f>
        <v>-1.6533768652811788E-3</v>
      </c>
    </row>
    <row r="1353" spans="1:10" ht="15.75" thickBot="1" x14ac:dyDescent="0.3">
      <c r="A1353" s="14">
        <v>42936</v>
      </c>
      <c r="B1353" s="15">
        <v>42936</v>
      </c>
      <c r="C1353" s="16">
        <v>867210</v>
      </c>
      <c r="D1353" s="10">
        <f>PrincipalesVariables[[#This Row],[Base monetaria]]/1000000</f>
        <v>0.86721000000000004</v>
      </c>
      <c r="E1353" s="10">
        <v>17.13</v>
      </c>
      <c r="F1353" s="11">
        <v>48115</v>
      </c>
      <c r="H1353" s="12">
        <f>(PrincipalesVariables[[#This Row],[Base monetaria]]-C1352)/C1352</f>
        <v>-1.120477243263397E-2</v>
      </c>
      <c r="I1353" s="12">
        <f>(PrincipalesVariables[[#This Row],[Dólar  mayorista]]-E1352)/E1352</f>
        <v>-1.0398613518197559E-2</v>
      </c>
      <c r="J1353" s="12">
        <f>(PrincipalesVariables[[#This Row],[Reservas internacionales]]-F1352)/F1352</f>
        <v>8.6579179070059957E-3</v>
      </c>
    </row>
    <row r="1354" spans="1:10" ht="15.75" thickBot="1" x14ac:dyDescent="0.3">
      <c r="A1354" s="14">
        <v>42937</v>
      </c>
      <c r="B1354" s="15">
        <v>42937</v>
      </c>
      <c r="C1354" s="16">
        <v>855945</v>
      </c>
      <c r="D1354" s="10">
        <f>PrincipalesVariables[[#This Row],[Base monetaria]]/1000000</f>
        <v>0.85594499999999996</v>
      </c>
      <c r="E1354" s="10">
        <v>17.34</v>
      </c>
      <c r="F1354" s="11">
        <v>48138</v>
      </c>
      <c r="H1354" s="12">
        <f>(PrincipalesVariables[[#This Row],[Base monetaria]]-C1353)/C1353</f>
        <v>-1.2989933234164735E-2</v>
      </c>
      <c r="I1354" s="12">
        <f>(PrincipalesVariables[[#This Row],[Dólar  mayorista]]-E1353)/E1353</f>
        <v>1.2259194395796898E-2</v>
      </c>
      <c r="J1354" s="12">
        <f>(PrincipalesVariables[[#This Row],[Reservas internacionales]]-F1353)/F1353</f>
        <v>4.7802140704561989E-4</v>
      </c>
    </row>
    <row r="1355" spans="1:10" ht="15.75" thickBot="1" x14ac:dyDescent="0.3">
      <c r="A1355" s="14">
        <v>42940</v>
      </c>
      <c r="B1355" s="15">
        <v>42940</v>
      </c>
      <c r="C1355" s="16">
        <v>860538</v>
      </c>
      <c r="D1355" s="10">
        <f>PrincipalesVariables[[#This Row],[Base monetaria]]/1000000</f>
        <v>0.86053800000000003</v>
      </c>
      <c r="E1355" s="10">
        <v>17.54</v>
      </c>
      <c r="F1355" s="11">
        <v>47869</v>
      </c>
      <c r="H1355" s="12">
        <f>(PrincipalesVariables[[#This Row],[Base monetaria]]-C1354)/C1354</f>
        <v>5.3659989835795523E-3</v>
      </c>
      <c r="I1355" s="12">
        <f>(PrincipalesVariables[[#This Row],[Dólar  mayorista]]-E1354)/E1354</f>
        <v>1.1534025374855783E-2</v>
      </c>
      <c r="J1355" s="12">
        <f>(PrincipalesVariables[[#This Row],[Reservas internacionales]]-F1354)/F1354</f>
        <v>-5.5881008766463089E-3</v>
      </c>
    </row>
    <row r="1356" spans="1:10" ht="15.75" thickBot="1" x14ac:dyDescent="0.3">
      <c r="A1356" s="14">
        <v>42941</v>
      </c>
      <c r="B1356" s="15">
        <v>42941</v>
      </c>
      <c r="C1356" s="16">
        <v>865947</v>
      </c>
      <c r="D1356" s="10">
        <f>PrincipalesVariables[[#This Row],[Base monetaria]]/1000000</f>
        <v>0.86594700000000002</v>
      </c>
      <c r="E1356" s="10">
        <v>17.41</v>
      </c>
      <c r="F1356" s="11">
        <v>47513</v>
      </c>
      <c r="H1356" s="12">
        <f>(PrincipalesVariables[[#This Row],[Base monetaria]]-C1355)/C1355</f>
        <v>6.2856027275959925E-3</v>
      </c>
      <c r="I1356" s="12">
        <f>(PrincipalesVariables[[#This Row],[Dólar  mayorista]]-E1355)/E1355</f>
        <v>-7.4116305587228629E-3</v>
      </c>
      <c r="J1356" s="12">
        <f>(PrincipalesVariables[[#This Row],[Reservas internacionales]]-F1355)/F1355</f>
        <v>-7.4369633792224612E-3</v>
      </c>
    </row>
    <row r="1357" spans="1:10" ht="15.75" thickBot="1" x14ac:dyDescent="0.3">
      <c r="A1357" s="14">
        <v>42942</v>
      </c>
      <c r="B1357" s="15">
        <v>42942</v>
      </c>
      <c r="C1357" s="16">
        <v>866435</v>
      </c>
      <c r="D1357" s="10">
        <f>PrincipalesVariables[[#This Row],[Base monetaria]]/1000000</f>
        <v>0.86643499999999996</v>
      </c>
      <c r="E1357" s="10">
        <v>17.47</v>
      </c>
      <c r="F1357" s="11">
        <v>47391</v>
      </c>
      <c r="H1357" s="12">
        <f>(PrincipalesVariables[[#This Row],[Base monetaria]]-C1356)/C1356</f>
        <v>5.6354488207707861E-4</v>
      </c>
      <c r="I1357" s="12">
        <f>(PrincipalesVariables[[#This Row],[Dólar  mayorista]]-E1356)/E1356</f>
        <v>3.4462952326248545E-3</v>
      </c>
      <c r="J1357" s="12">
        <f>(PrincipalesVariables[[#This Row],[Reservas internacionales]]-F1356)/F1356</f>
        <v>-2.5677183086734159E-3</v>
      </c>
    </row>
    <row r="1358" spans="1:10" ht="15.75" thickBot="1" x14ac:dyDescent="0.3">
      <c r="A1358" s="14">
        <v>42943</v>
      </c>
      <c r="B1358" s="15">
        <v>42943</v>
      </c>
      <c r="C1358" s="16">
        <v>861981</v>
      </c>
      <c r="D1358" s="10">
        <f>PrincipalesVariables[[#This Row],[Base monetaria]]/1000000</f>
        <v>0.861981</v>
      </c>
      <c r="E1358" s="10">
        <v>17.559999999999999</v>
      </c>
      <c r="F1358" s="11">
        <v>47471</v>
      </c>
      <c r="H1358" s="12">
        <f>(PrincipalesVariables[[#This Row],[Base monetaria]]-C1357)/C1357</f>
        <v>-5.1406048924616385E-3</v>
      </c>
      <c r="I1358" s="12">
        <f>(PrincipalesVariables[[#This Row],[Dólar  mayorista]]-E1357)/E1357</f>
        <v>5.1516886090440675E-3</v>
      </c>
      <c r="J1358" s="12">
        <f>(PrincipalesVariables[[#This Row],[Reservas internacionales]]-F1357)/F1357</f>
        <v>1.6880842354033466E-3</v>
      </c>
    </row>
    <row r="1359" spans="1:10" ht="15.75" thickBot="1" x14ac:dyDescent="0.3">
      <c r="A1359" s="14">
        <v>42944</v>
      </c>
      <c r="B1359" s="15">
        <v>42944</v>
      </c>
      <c r="C1359" s="16">
        <v>855295</v>
      </c>
      <c r="D1359" s="10">
        <f>PrincipalesVariables[[#This Row],[Base monetaria]]/1000000</f>
        <v>0.85529500000000003</v>
      </c>
      <c r="E1359" s="10">
        <v>17.760000000000002</v>
      </c>
      <c r="F1359" s="11">
        <v>47098</v>
      </c>
      <c r="H1359" s="12">
        <f>(PrincipalesVariables[[#This Row],[Base monetaria]]-C1358)/C1358</f>
        <v>-7.7565514785128678E-3</v>
      </c>
      <c r="I1359" s="12">
        <f>(PrincipalesVariables[[#This Row],[Dólar  mayorista]]-E1358)/E1358</f>
        <v>1.1389521640091278E-2</v>
      </c>
      <c r="J1359" s="12">
        <f>(PrincipalesVariables[[#This Row],[Reservas internacionales]]-F1358)/F1358</f>
        <v>-7.8574287459712254E-3</v>
      </c>
    </row>
    <row r="1360" spans="1:10" ht="15.75" thickBot="1" x14ac:dyDescent="0.3">
      <c r="A1360" s="14">
        <v>42947</v>
      </c>
      <c r="B1360" s="15">
        <v>42947</v>
      </c>
      <c r="C1360" s="16">
        <v>832274</v>
      </c>
      <c r="D1360" s="10">
        <f>PrincipalesVariables[[#This Row],[Base monetaria]]/1000000</f>
        <v>0.83227399999999996</v>
      </c>
      <c r="E1360" s="10">
        <v>17.670000000000002</v>
      </c>
      <c r="F1360" s="11">
        <v>47014</v>
      </c>
      <c r="H1360" s="12">
        <f>(PrincipalesVariables[[#This Row],[Base monetaria]]-C1359)/C1359</f>
        <v>-2.691585944031007E-2</v>
      </c>
      <c r="I1360" s="12">
        <f>(PrincipalesVariables[[#This Row],[Dólar  mayorista]]-E1359)/E1359</f>
        <v>-5.0675675675675592E-3</v>
      </c>
      <c r="J1360" s="12">
        <f>(PrincipalesVariables[[#This Row],[Reservas internacionales]]-F1359)/F1359</f>
        <v>-1.7835152235763728E-3</v>
      </c>
    </row>
    <row r="1361" spans="1:10" ht="15.75" thickBot="1" x14ac:dyDescent="0.3">
      <c r="A1361" s="14">
        <v>42948</v>
      </c>
      <c r="B1361" s="15">
        <v>42948</v>
      </c>
      <c r="C1361" s="16">
        <v>870966</v>
      </c>
      <c r="D1361" s="10">
        <f>PrincipalesVariables[[#This Row],[Base monetaria]]/1000000</f>
        <v>0.87096600000000002</v>
      </c>
      <c r="E1361" s="10">
        <v>17.61</v>
      </c>
      <c r="F1361" s="11">
        <v>46840</v>
      </c>
      <c r="H1361" s="12">
        <f>(PrincipalesVariables[[#This Row],[Base monetaria]]-C1360)/C1360</f>
        <v>4.6489497449157369E-2</v>
      </c>
      <c r="I1361" s="12">
        <f>(PrincipalesVariables[[#This Row],[Dólar  mayorista]]-E1360)/E1360</f>
        <v>-3.3955857385400265E-3</v>
      </c>
      <c r="J1361" s="12">
        <f>(PrincipalesVariables[[#This Row],[Reservas internacionales]]-F1360)/F1360</f>
        <v>-3.7010252265282681E-3</v>
      </c>
    </row>
    <row r="1362" spans="1:10" ht="15.75" thickBot="1" x14ac:dyDescent="0.3">
      <c r="A1362" s="14">
        <v>42949</v>
      </c>
      <c r="B1362" s="15">
        <v>42949</v>
      </c>
      <c r="C1362" s="16">
        <v>870605</v>
      </c>
      <c r="D1362" s="10">
        <f>PrincipalesVariables[[#This Row],[Base monetaria]]/1000000</f>
        <v>0.87060499999999996</v>
      </c>
      <c r="E1362" s="10">
        <v>17.559999999999999</v>
      </c>
      <c r="F1362" s="11">
        <v>46821</v>
      </c>
      <c r="H1362" s="12">
        <f>(PrincipalesVariables[[#This Row],[Base monetaria]]-C1361)/C1361</f>
        <v>-4.144823104461024E-4</v>
      </c>
      <c r="I1362" s="12">
        <f>(PrincipalesVariables[[#This Row],[Dólar  mayorista]]-E1361)/E1361</f>
        <v>-2.8392958546280926E-3</v>
      </c>
      <c r="J1362" s="12">
        <f>(PrincipalesVariables[[#This Row],[Reservas internacionales]]-F1361)/F1361</f>
        <v>-4.0563620836891546E-4</v>
      </c>
    </row>
    <row r="1363" spans="1:10" ht="15.75" thickBot="1" x14ac:dyDescent="0.3">
      <c r="A1363" s="14">
        <v>42950</v>
      </c>
      <c r="B1363" s="15">
        <v>42950</v>
      </c>
      <c r="C1363" s="16">
        <v>871280</v>
      </c>
      <c r="D1363" s="10">
        <f>PrincipalesVariables[[#This Row],[Base monetaria]]/1000000</f>
        <v>0.87128000000000005</v>
      </c>
      <c r="E1363" s="10">
        <v>17.64</v>
      </c>
      <c r="F1363" s="11">
        <v>46770</v>
      </c>
      <c r="H1363" s="12">
        <f>(PrincipalesVariables[[#This Row],[Base monetaria]]-C1362)/C1362</f>
        <v>7.753229076331976E-4</v>
      </c>
      <c r="I1363" s="12">
        <f>(PrincipalesVariables[[#This Row],[Dólar  mayorista]]-E1362)/E1362</f>
        <v>4.5558086560365521E-3</v>
      </c>
      <c r="J1363" s="12">
        <f>(PrincipalesVariables[[#This Row],[Reservas internacionales]]-F1362)/F1362</f>
        <v>-1.0892548215544306E-3</v>
      </c>
    </row>
    <row r="1364" spans="1:10" ht="15.75" thickBot="1" x14ac:dyDescent="0.3">
      <c r="A1364" s="14">
        <v>42951</v>
      </c>
      <c r="B1364" s="15">
        <v>42951</v>
      </c>
      <c r="C1364" s="16">
        <v>867815</v>
      </c>
      <c r="D1364" s="10">
        <f>PrincipalesVariables[[#This Row],[Base monetaria]]/1000000</f>
        <v>0.867815</v>
      </c>
      <c r="E1364" s="10">
        <v>17.649999999999999</v>
      </c>
      <c r="F1364" s="11">
        <v>49305</v>
      </c>
      <c r="H1364" s="12">
        <f>(PrincipalesVariables[[#This Row],[Base monetaria]]-C1363)/C1363</f>
        <v>-3.9769075383344048E-3</v>
      </c>
      <c r="I1364" s="12">
        <f>(PrincipalesVariables[[#This Row],[Dólar  mayorista]]-E1363)/E1363</f>
        <v>5.6689342403616833E-4</v>
      </c>
      <c r="J1364" s="12">
        <f>(PrincipalesVariables[[#This Row],[Reservas internacionales]]-F1363)/F1363</f>
        <v>5.4201411161000641E-2</v>
      </c>
    </row>
    <row r="1365" spans="1:10" ht="15.75" thickBot="1" x14ac:dyDescent="0.3">
      <c r="A1365" s="14">
        <v>42954</v>
      </c>
      <c r="B1365" s="15">
        <v>42954</v>
      </c>
      <c r="C1365" s="16">
        <v>870130</v>
      </c>
      <c r="D1365" s="10">
        <f>PrincipalesVariables[[#This Row],[Base monetaria]]/1000000</f>
        <v>0.87012999999999996</v>
      </c>
      <c r="E1365" s="10">
        <v>17.7</v>
      </c>
      <c r="F1365" s="11">
        <v>49081</v>
      </c>
      <c r="H1365" s="12">
        <f>(PrincipalesVariables[[#This Row],[Base monetaria]]-C1364)/C1364</f>
        <v>2.667619250646739E-3</v>
      </c>
      <c r="I1365" s="12">
        <f>(PrincipalesVariables[[#This Row],[Dólar  mayorista]]-E1364)/E1364</f>
        <v>2.8328611898017402E-3</v>
      </c>
      <c r="J1365" s="12">
        <f>(PrincipalesVariables[[#This Row],[Reservas internacionales]]-F1364)/F1364</f>
        <v>-4.5431497819693745E-3</v>
      </c>
    </row>
    <row r="1366" spans="1:10" ht="15.75" thickBot="1" x14ac:dyDescent="0.3">
      <c r="A1366" s="14">
        <v>42955</v>
      </c>
      <c r="B1366" s="15">
        <v>42955</v>
      </c>
      <c r="C1366" s="16">
        <v>865093</v>
      </c>
      <c r="D1366" s="10">
        <f>PrincipalesVariables[[#This Row],[Base monetaria]]/1000000</f>
        <v>0.865093</v>
      </c>
      <c r="E1366" s="10">
        <v>17.71</v>
      </c>
      <c r="F1366" s="11">
        <v>48982</v>
      </c>
      <c r="H1366" s="12">
        <f>(PrincipalesVariables[[#This Row],[Base monetaria]]-C1365)/C1365</f>
        <v>-5.788790180777585E-3</v>
      </c>
      <c r="I1366" s="12">
        <f>(PrincipalesVariables[[#This Row],[Dólar  mayorista]]-E1365)/E1365</f>
        <v>5.6497175141251776E-4</v>
      </c>
      <c r="J1366" s="12">
        <f>(PrincipalesVariables[[#This Row],[Reservas internacionales]]-F1365)/F1365</f>
        <v>-2.0170738167518999E-3</v>
      </c>
    </row>
    <row r="1367" spans="1:10" ht="15.75" thickBot="1" x14ac:dyDescent="0.3">
      <c r="A1367" s="14">
        <v>42956</v>
      </c>
      <c r="B1367" s="15">
        <v>42956</v>
      </c>
      <c r="C1367" s="16">
        <v>855416</v>
      </c>
      <c r="D1367" s="10">
        <f>PrincipalesVariables[[#This Row],[Base monetaria]]/1000000</f>
        <v>0.85541599999999995</v>
      </c>
      <c r="E1367" s="10">
        <v>17.78</v>
      </c>
      <c r="F1367" s="11">
        <v>48641</v>
      </c>
      <c r="H1367" s="12">
        <f>(PrincipalesVariables[[#This Row],[Base monetaria]]-C1366)/C1366</f>
        <v>-1.1186080571684201E-2</v>
      </c>
      <c r="I1367" s="12">
        <f>(PrincipalesVariables[[#This Row],[Dólar  mayorista]]-E1366)/E1366</f>
        <v>3.9525691699604905E-3</v>
      </c>
      <c r="J1367" s="12">
        <f>(PrincipalesVariables[[#This Row],[Reservas internacionales]]-F1366)/F1366</f>
        <v>-6.9617410477318198E-3</v>
      </c>
    </row>
    <row r="1368" spans="1:10" ht="15.75" thickBot="1" x14ac:dyDescent="0.3">
      <c r="A1368" s="14">
        <v>42957</v>
      </c>
      <c r="B1368" s="15">
        <v>42957</v>
      </c>
      <c r="C1368" s="16">
        <v>848354</v>
      </c>
      <c r="D1368" s="10">
        <f>PrincipalesVariables[[#This Row],[Base monetaria]]/1000000</f>
        <v>0.84835400000000005</v>
      </c>
      <c r="E1368" s="10">
        <v>17.73</v>
      </c>
      <c r="F1368" s="11">
        <v>48366</v>
      </c>
      <c r="H1368" s="12">
        <f>(PrincipalesVariables[[#This Row],[Base monetaria]]-C1367)/C1367</f>
        <v>-8.2556323473023645E-3</v>
      </c>
      <c r="I1368" s="12">
        <f>(PrincipalesVariables[[#This Row],[Dólar  mayorista]]-E1367)/E1367</f>
        <v>-2.8121484814398598E-3</v>
      </c>
      <c r="J1368" s="12">
        <f>(PrincipalesVariables[[#This Row],[Reservas internacionales]]-F1367)/F1367</f>
        <v>-5.6536666598137374E-3</v>
      </c>
    </row>
    <row r="1369" spans="1:10" ht="15.75" thickBot="1" x14ac:dyDescent="0.3">
      <c r="A1369" s="14">
        <v>42958</v>
      </c>
      <c r="B1369" s="15">
        <v>42958</v>
      </c>
      <c r="C1369" s="16">
        <v>838231</v>
      </c>
      <c r="D1369" s="10">
        <f>PrincipalesVariables[[#This Row],[Base monetaria]]/1000000</f>
        <v>0.83823099999999995</v>
      </c>
      <c r="E1369" s="10">
        <v>17.71</v>
      </c>
      <c r="F1369" s="11">
        <v>48216</v>
      </c>
      <c r="H1369" s="12">
        <f>(PrincipalesVariables[[#This Row],[Base monetaria]]-C1368)/C1368</f>
        <v>-1.1932518736282259E-2</v>
      </c>
      <c r="I1369" s="12">
        <f>(PrincipalesVariables[[#This Row],[Dólar  mayorista]]-E1368)/E1368</f>
        <v>-1.1280315848843528E-3</v>
      </c>
      <c r="J1369" s="12">
        <f>(PrincipalesVariables[[#This Row],[Reservas internacionales]]-F1368)/F1368</f>
        <v>-3.1013521895546458E-3</v>
      </c>
    </row>
    <row r="1370" spans="1:10" ht="15.75" thickBot="1" x14ac:dyDescent="0.3">
      <c r="A1370" s="14">
        <v>42961</v>
      </c>
      <c r="B1370" s="15">
        <v>42961</v>
      </c>
      <c r="C1370" s="16">
        <v>841625</v>
      </c>
      <c r="D1370" s="10">
        <f>PrincipalesVariables[[#This Row],[Base monetaria]]/1000000</f>
        <v>0.84162499999999996</v>
      </c>
      <c r="E1370" s="10">
        <v>17.149999999999999</v>
      </c>
      <c r="F1370" s="11">
        <v>47754</v>
      </c>
      <c r="H1370" s="12">
        <f>(PrincipalesVariables[[#This Row],[Base monetaria]]-C1369)/C1369</f>
        <v>4.0490031984023499E-3</v>
      </c>
      <c r="I1370" s="12">
        <f>(PrincipalesVariables[[#This Row],[Dólar  mayorista]]-E1369)/E1369</f>
        <v>-3.1620553359683924E-2</v>
      </c>
      <c r="J1370" s="12">
        <f>(PrincipalesVariables[[#This Row],[Reservas internacionales]]-F1369)/F1369</f>
        <v>-9.5818815331010446E-3</v>
      </c>
    </row>
    <row r="1371" spans="1:10" ht="15.75" thickBot="1" x14ac:dyDescent="0.3">
      <c r="A1371" s="14">
        <v>42962</v>
      </c>
      <c r="B1371" s="15">
        <v>42962</v>
      </c>
      <c r="C1371" s="16">
        <v>839199</v>
      </c>
      <c r="D1371" s="10">
        <f>PrincipalesVariables[[#This Row],[Base monetaria]]/1000000</f>
        <v>0.83919900000000003</v>
      </c>
      <c r="E1371" s="10">
        <v>17.059999999999999</v>
      </c>
      <c r="F1371" s="11">
        <v>47740</v>
      </c>
      <c r="H1371" s="12">
        <f>(PrincipalesVariables[[#This Row],[Base monetaria]]-C1370)/C1370</f>
        <v>-2.882518936581019E-3</v>
      </c>
      <c r="I1371" s="12">
        <f>(PrincipalesVariables[[#This Row],[Dólar  mayorista]]-E1370)/E1370</f>
        <v>-5.2478134110787097E-3</v>
      </c>
      <c r="J1371" s="12">
        <f>(PrincipalesVariables[[#This Row],[Reservas internacionales]]-F1370)/F1370</f>
        <v>-2.931691586045148E-4</v>
      </c>
    </row>
    <row r="1372" spans="1:10" ht="15.75" thickBot="1" x14ac:dyDescent="0.3">
      <c r="A1372" s="14">
        <v>42963</v>
      </c>
      <c r="B1372" s="15">
        <v>42963</v>
      </c>
      <c r="C1372" s="16">
        <v>900246</v>
      </c>
      <c r="D1372" s="10">
        <f>PrincipalesVariables[[#This Row],[Base monetaria]]/1000000</f>
        <v>0.90024599999999999</v>
      </c>
      <c r="E1372" s="10">
        <v>17.11</v>
      </c>
      <c r="F1372" s="11">
        <v>47848</v>
      </c>
      <c r="H1372" s="12">
        <f>(PrincipalesVariables[[#This Row],[Base monetaria]]-C1371)/C1371</f>
        <v>7.2744366949912959E-2</v>
      </c>
      <c r="I1372" s="12">
        <f>(PrincipalesVariables[[#This Row],[Dólar  mayorista]]-E1371)/E1371</f>
        <v>2.9308323563892566E-3</v>
      </c>
      <c r="J1372" s="12">
        <f>(PrincipalesVariables[[#This Row],[Reservas internacionales]]-F1371)/F1371</f>
        <v>2.262253875157101E-3</v>
      </c>
    </row>
    <row r="1373" spans="1:10" ht="15.75" thickBot="1" x14ac:dyDescent="0.3">
      <c r="A1373" s="14">
        <v>42964</v>
      </c>
      <c r="B1373" s="15">
        <v>42964</v>
      </c>
      <c r="C1373" s="16">
        <v>881686</v>
      </c>
      <c r="D1373" s="10">
        <f>PrincipalesVariables[[#This Row],[Base monetaria]]/1000000</f>
        <v>0.88168599999999997</v>
      </c>
      <c r="E1373" s="10">
        <v>17.27</v>
      </c>
      <c r="F1373" s="11">
        <v>48049</v>
      </c>
      <c r="H1373" s="12">
        <f>(PrincipalesVariables[[#This Row],[Base monetaria]]-C1372)/C1372</f>
        <v>-2.0616587021769606E-2</v>
      </c>
      <c r="I1373" s="12">
        <f>(PrincipalesVariables[[#This Row],[Dólar  mayorista]]-E1372)/E1372</f>
        <v>9.3512565751022875E-3</v>
      </c>
      <c r="J1373" s="12">
        <f>(PrincipalesVariables[[#This Row],[Reservas internacionales]]-F1372)/F1372</f>
        <v>4.2008025413810398E-3</v>
      </c>
    </row>
    <row r="1374" spans="1:10" ht="15.75" thickBot="1" x14ac:dyDescent="0.3">
      <c r="A1374" s="14">
        <v>42965</v>
      </c>
      <c r="B1374" s="15">
        <v>42965</v>
      </c>
      <c r="C1374" s="16">
        <v>861389</v>
      </c>
      <c r="D1374" s="10">
        <f>PrincipalesVariables[[#This Row],[Base monetaria]]/1000000</f>
        <v>0.86138899999999996</v>
      </c>
      <c r="E1374" s="10">
        <v>17.28</v>
      </c>
      <c r="F1374" s="11">
        <v>47992</v>
      </c>
      <c r="H1374" s="12">
        <f>(PrincipalesVariables[[#This Row],[Base monetaria]]-C1373)/C1373</f>
        <v>-2.3020667221663949E-2</v>
      </c>
      <c r="I1374" s="12">
        <f>(PrincipalesVariables[[#This Row],[Dólar  mayorista]]-E1373)/E1373</f>
        <v>5.7903879559939564E-4</v>
      </c>
      <c r="J1374" s="12">
        <f>(PrincipalesVariables[[#This Row],[Reservas internacionales]]-F1373)/F1373</f>
        <v>-1.186288996649254E-3</v>
      </c>
    </row>
    <row r="1375" spans="1:10" ht="15.75" thickBot="1" x14ac:dyDescent="0.3">
      <c r="A1375" s="14">
        <v>42969</v>
      </c>
      <c r="B1375" s="15">
        <v>42969</v>
      </c>
      <c r="C1375" s="16">
        <v>870776</v>
      </c>
      <c r="D1375" s="10">
        <f>PrincipalesVariables[[#This Row],[Base monetaria]]/1000000</f>
        <v>0.87077599999999999</v>
      </c>
      <c r="E1375" s="10">
        <v>17.23</v>
      </c>
      <c r="F1375" s="11">
        <v>47941</v>
      </c>
      <c r="H1375" s="12">
        <f>(PrincipalesVariables[[#This Row],[Base monetaria]]-C1374)/C1374</f>
        <v>1.0897515524344982E-2</v>
      </c>
      <c r="I1375" s="12">
        <f>(PrincipalesVariables[[#This Row],[Dólar  mayorista]]-E1374)/E1374</f>
        <v>-2.8935185185185596E-3</v>
      </c>
      <c r="J1375" s="12">
        <f>(PrincipalesVariables[[#This Row],[Reservas internacionales]]-F1374)/F1374</f>
        <v>-1.0626771128521421E-3</v>
      </c>
    </row>
    <row r="1376" spans="1:10" ht="15.75" thickBot="1" x14ac:dyDescent="0.3">
      <c r="A1376" s="14">
        <v>42970</v>
      </c>
      <c r="B1376" s="15">
        <v>42970</v>
      </c>
      <c r="C1376" s="16">
        <v>873201</v>
      </c>
      <c r="D1376" s="10">
        <f>PrincipalesVariables[[#This Row],[Base monetaria]]/1000000</f>
        <v>0.873201</v>
      </c>
      <c r="E1376" s="10">
        <v>17.22</v>
      </c>
      <c r="F1376" s="11">
        <v>47783</v>
      </c>
      <c r="H1376" s="12">
        <f>(PrincipalesVariables[[#This Row],[Base monetaria]]-C1375)/C1375</f>
        <v>2.7848723437485646E-3</v>
      </c>
      <c r="I1376" s="12">
        <f>(PrincipalesVariables[[#This Row],[Dólar  mayorista]]-E1375)/E1375</f>
        <v>-5.8038305281494856E-4</v>
      </c>
      <c r="J1376" s="12">
        <f>(PrincipalesVariables[[#This Row],[Reservas internacionales]]-F1375)/F1375</f>
        <v>-3.2957176529484159E-3</v>
      </c>
    </row>
    <row r="1377" spans="1:10" ht="15.75" thickBot="1" x14ac:dyDescent="0.3">
      <c r="A1377" s="14">
        <v>42971</v>
      </c>
      <c r="B1377" s="15">
        <v>42971</v>
      </c>
      <c r="C1377" s="16">
        <v>859697</v>
      </c>
      <c r="D1377" s="10">
        <f>PrincipalesVariables[[#This Row],[Base monetaria]]/1000000</f>
        <v>0.85969700000000004</v>
      </c>
      <c r="E1377" s="10">
        <v>17.18</v>
      </c>
      <c r="F1377" s="11">
        <v>47908</v>
      </c>
      <c r="H1377" s="12">
        <f>(PrincipalesVariables[[#This Row],[Base monetaria]]-C1376)/C1376</f>
        <v>-1.5464938771256561E-2</v>
      </c>
      <c r="I1377" s="12">
        <f>(PrincipalesVariables[[#This Row],[Dólar  mayorista]]-E1376)/E1376</f>
        <v>-2.32288037166081E-3</v>
      </c>
      <c r="J1377" s="12">
        <f>(PrincipalesVariables[[#This Row],[Reservas internacionales]]-F1376)/F1376</f>
        <v>2.6159931356340119E-3</v>
      </c>
    </row>
    <row r="1378" spans="1:10" ht="15.75" thickBot="1" x14ac:dyDescent="0.3">
      <c r="A1378" s="14">
        <v>42972</v>
      </c>
      <c r="B1378" s="15">
        <v>42972</v>
      </c>
      <c r="C1378" s="16">
        <v>847667</v>
      </c>
      <c r="D1378" s="10">
        <f>PrincipalesVariables[[#This Row],[Base monetaria]]/1000000</f>
        <v>0.84766699999999995</v>
      </c>
      <c r="E1378" s="10">
        <v>17.22</v>
      </c>
      <c r="F1378" s="11">
        <v>49022</v>
      </c>
      <c r="H1378" s="12">
        <f>(PrincipalesVariables[[#This Row],[Base monetaria]]-C1377)/C1377</f>
        <v>-1.3993302291388711E-2</v>
      </c>
      <c r="I1378" s="12">
        <f>(PrincipalesVariables[[#This Row],[Dólar  mayorista]]-E1377)/E1377</f>
        <v>2.3282887077997177E-3</v>
      </c>
      <c r="J1378" s="12">
        <f>(PrincipalesVariables[[#This Row],[Reservas internacionales]]-F1377)/F1377</f>
        <v>2.3252901394339151E-2</v>
      </c>
    </row>
    <row r="1379" spans="1:10" ht="15.75" thickBot="1" x14ac:dyDescent="0.3">
      <c r="A1379" s="14">
        <v>42975</v>
      </c>
      <c r="B1379" s="15">
        <v>42975</v>
      </c>
      <c r="C1379" s="16">
        <v>859171</v>
      </c>
      <c r="D1379" s="10">
        <f>PrincipalesVariables[[#This Row],[Base monetaria]]/1000000</f>
        <v>0.85917100000000002</v>
      </c>
      <c r="E1379" s="10">
        <v>17.22</v>
      </c>
      <c r="F1379" s="11">
        <v>49381</v>
      </c>
      <c r="H1379" s="12">
        <f>(PrincipalesVariables[[#This Row],[Base monetaria]]-C1378)/C1378</f>
        <v>1.3571367058054637E-2</v>
      </c>
      <c r="I1379" s="12">
        <f>(PrincipalesVariables[[#This Row],[Dólar  mayorista]]-E1378)/E1378</f>
        <v>0</v>
      </c>
      <c r="J1379" s="12">
        <f>(PrincipalesVariables[[#This Row],[Reservas internacionales]]-F1378)/F1378</f>
        <v>7.323242625759863E-3</v>
      </c>
    </row>
    <row r="1380" spans="1:10" ht="15.75" thickBot="1" x14ac:dyDescent="0.3">
      <c r="A1380" s="14">
        <v>42976</v>
      </c>
      <c r="B1380" s="15">
        <v>42976</v>
      </c>
      <c r="C1380" s="16">
        <v>855470</v>
      </c>
      <c r="D1380" s="10">
        <f>PrincipalesVariables[[#This Row],[Base monetaria]]/1000000</f>
        <v>0.85546999999999995</v>
      </c>
      <c r="E1380" s="10">
        <v>17.309999999999999</v>
      </c>
      <c r="F1380" s="11">
        <v>49343</v>
      </c>
      <c r="H1380" s="12">
        <f>(PrincipalesVariables[[#This Row],[Base monetaria]]-C1379)/C1379</f>
        <v>-4.307640737408502E-3</v>
      </c>
      <c r="I1380" s="12">
        <f>(PrincipalesVariables[[#This Row],[Dólar  mayorista]]-E1379)/E1379</f>
        <v>5.2264808362369256E-3</v>
      </c>
      <c r="J1380" s="12">
        <f>(PrincipalesVariables[[#This Row],[Reservas internacionales]]-F1379)/F1379</f>
        <v>-7.6952674105425169E-4</v>
      </c>
    </row>
    <row r="1381" spans="1:10" ht="15.75" thickBot="1" x14ac:dyDescent="0.3">
      <c r="A1381" s="14">
        <v>42977</v>
      </c>
      <c r="B1381" s="15">
        <v>42977</v>
      </c>
      <c r="C1381" s="16">
        <v>847530</v>
      </c>
      <c r="D1381" s="10">
        <f>PrincipalesVariables[[#This Row],[Base monetaria]]/1000000</f>
        <v>0.84753000000000001</v>
      </c>
      <c r="E1381" s="10">
        <v>17.440000000000001</v>
      </c>
      <c r="F1381" s="11">
        <v>49235</v>
      </c>
      <c r="H1381" s="12">
        <f>(PrincipalesVariables[[#This Row],[Base monetaria]]-C1380)/C1380</f>
        <v>-9.2814476252820084E-3</v>
      </c>
      <c r="I1381" s="12">
        <f>(PrincipalesVariables[[#This Row],[Dólar  mayorista]]-E1380)/E1380</f>
        <v>7.5101097631428406E-3</v>
      </c>
      <c r="J1381" s="12">
        <f>(PrincipalesVariables[[#This Row],[Reservas internacionales]]-F1380)/F1380</f>
        <v>-2.1887603104797032E-3</v>
      </c>
    </row>
    <row r="1382" spans="1:10" ht="15.75" thickBot="1" x14ac:dyDescent="0.3">
      <c r="A1382" s="14">
        <v>42978</v>
      </c>
      <c r="B1382" s="15">
        <v>42978</v>
      </c>
      <c r="C1382" s="16">
        <v>838398</v>
      </c>
      <c r="D1382" s="10">
        <f>PrincipalesVariables[[#This Row],[Base monetaria]]/1000000</f>
        <v>0.83839799999999998</v>
      </c>
      <c r="E1382" s="10">
        <v>17.37</v>
      </c>
      <c r="F1382" s="11">
        <v>48877</v>
      </c>
      <c r="H1382" s="12">
        <f>(PrincipalesVariables[[#This Row],[Base monetaria]]-C1381)/C1381</f>
        <v>-1.0774839828678631E-2</v>
      </c>
      <c r="I1382" s="12">
        <f>(PrincipalesVariables[[#This Row],[Dólar  mayorista]]-E1381)/E1381</f>
        <v>-4.0137614678899241E-3</v>
      </c>
      <c r="J1382" s="12">
        <f>(PrincipalesVariables[[#This Row],[Reservas internacionales]]-F1381)/F1381</f>
        <v>-7.2712501269422162E-3</v>
      </c>
    </row>
    <row r="1383" spans="1:10" ht="15.75" thickBot="1" x14ac:dyDescent="0.3">
      <c r="A1383" s="14">
        <v>42979</v>
      </c>
      <c r="B1383" s="15">
        <v>42979</v>
      </c>
      <c r="C1383" s="16">
        <v>865617</v>
      </c>
      <c r="D1383" s="10">
        <f>PrincipalesVariables[[#This Row],[Base monetaria]]/1000000</f>
        <v>0.86561699999999997</v>
      </c>
      <c r="E1383" s="10">
        <v>17.239999999999998</v>
      </c>
      <c r="F1383" s="11">
        <v>49433</v>
      </c>
      <c r="H1383" s="12">
        <f>(PrincipalesVariables[[#This Row],[Base monetaria]]-C1382)/C1382</f>
        <v>3.2465487751640626E-2</v>
      </c>
      <c r="I1383" s="12">
        <f>(PrincipalesVariables[[#This Row],[Dólar  mayorista]]-E1382)/E1382</f>
        <v>-7.4841681059299109E-3</v>
      </c>
      <c r="J1383" s="12">
        <f>(PrincipalesVariables[[#This Row],[Reservas internacionales]]-F1382)/F1382</f>
        <v>1.1375493585940217E-2</v>
      </c>
    </row>
    <row r="1384" spans="1:10" ht="15.75" thickBot="1" x14ac:dyDescent="0.3">
      <c r="A1384" s="14">
        <v>42982</v>
      </c>
      <c r="B1384" s="15">
        <v>42982</v>
      </c>
      <c r="C1384" s="16">
        <v>868262</v>
      </c>
      <c r="D1384" s="10">
        <f>PrincipalesVariables[[#This Row],[Base monetaria]]/1000000</f>
        <v>0.86826199999999998</v>
      </c>
      <c r="E1384" s="10">
        <v>17.239999999999998</v>
      </c>
      <c r="F1384" s="11">
        <v>49477</v>
      </c>
      <c r="H1384" s="12">
        <f>(PrincipalesVariables[[#This Row],[Base monetaria]]-C1383)/C1383</f>
        <v>3.0556239075711315E-3</v>
      </c>
      <c r="I1384" s="12">
        <f>(PrincipalesVariables[[#This Row],[Dólar  mayorista]]-E1383)/E1383</f>
        <v>0</v>
      </c>
      <c r="J1384" s="12">
        <f>(PrincipalesVariables[[#This Row],[Reservas internacionales]]-F1383)/F1383</f>
        <v>8.9009366212853766E-4</v>
      </c>
    </row>
    <row r="1385" spans="1:10" ht="15.75" thickBot="1" x14ac:dyDescent="0.3">
      <c r="A1385" s="14">
        <v>42983</v>
      </c>
      <c r="B1385" s="15">
        <v>42983</v>
      </c>
      <c r="C1385" s="16">
        <v>873018</v>
      </c>
      <c r="D1385" s="10">
        <f>PrincipalesVariables[[#This Row],[Base monetaria]]/1000000</f>
        <v>0.87301799999999996</v>
      </c>
      <c r="E1385" s="10">
        <v>17.260000000000002</v>
      </c>
      <c r="F1385" s="11">
        <v>51296</v>
      </c>
      <c r="H1385" s="12">
        <f>(PrincipalesVariables[[#This Row],[Base monetaria]]-C1384)/C1384</f>
        <v>5.4776092930474904E-3</v>
      </c>
      <c r="I1385" s="12">
        <f>(PrincipalesVariables[[#This Row],[Dólar  mayorista]]-E1384)/E1384</f>
        <v>1.1600928074247754E-3</v>
      </c>
      <c r="J1385" s="12">
        <f>(PrincipalesVariables[[#This Row],[Reservas internacionales]]-F1384)/F1384</f>
        <v>3.6764557269034097E-2</v>
      </c>
    </row>
    <row r="1386" spans="1:10" ht="15.75" thickBot="1" x14ac:dyDescent="0.3">
      <c r="A1386" s="14">
        <v>42984</v>
      </c>
      <c r="B1386" s="15">
        <v>42984</v>
      </c>
      <c r="C1386" s="16">
        <v>866696</v>
      </c>
      <c r="D1386" s="10">
        <f>PrincipalesVariables[[#This Row],[Base monetaria]]/1000000</f>
        <v>0.86669600000000002</v>
      </c>
      <c r="E1386" s="10">
        <v>17.22</v>
      </c>
      <c r="F1386" s="11">
        <v>51317</v>
      </c>
      <c r="H1386" s="12">
        <f>(PrincipalesVariables[[#This Row],[Base monetaria]]-C1385)/C1385</f>
        <v>-7.2415459933243068E-3</v>
      </c>
      <c r="I1386" s="12">
        <f>(PrincipalesVariables[[#This Row],[Dólar  mayorista]]-E1385)/E1385</f>
        <v>-2.3174971031287772E-3</v>
      </c>
      <c r="J1386" s="12">
        <f>(PrincipalesVariables[[#This Row],[Reservas internacionales]]-F1385)/F1385</f>
        <v>4.0938864628820959E-4</v>
      </c>
    </row>
    <row r="1387" spans="1:10" ht="15.75" thickBot="1" x14ac:dyDescent="0.3">
      <c r="A1387" s="14">
        <v>42985</v>
      </c>
      <c r="B1387" s="15">
        <v>42985</v>
      </c>
      <c r="C1387" s="16">
        <v>860005</v>
      </c>
      <c r="D1387" s="10">
        <f>PrincipalesVariables[[#This Row],[Base monetaria]]/1000000</f>
        <v>0.86000500000000002</v>
      </c>
      <c r="E1387" s="10">
        <v>17.22</v>
      </c>
      <c r="F1387" s="11">
        <v>51240</v>
      </c>
      <c r="H1387" s="12">
        <f>(PrincipalesVariables[[#This Row],[Base monetaria]]-C1386)/C1386</f>
        <v>-7.7201233189030521E-3</v>
      </c>
      <c r="I1387" s="12">
        <f>(PrincipalesVariables[[#This Row],[Dólar  mayorista]]-E1386)/E1386</f>
        <v>0</v>
      </c>
      <c r="J1387" s="12">
        <f>(PrincipalesVariables[[#This Row],[Reservas internacionales]]-F1386)/F1386</f>
        <v>-1.5004774246351112E-3</v>
      </c>
    </row>
    <row r="1388" spans="1:10" ht="15.75" thickBot="1" x14ac:dyDescent="0.3">
      <c r="A1388" s="14">
        <v>42986</v>
      </c>
      <c r="B1388" s="15">
        <v>42986</v>
      </c>
      <c r="C1388" s="16">
        <v>857241</v>
      </c>
      <c r="D1388" s="10">
        <f>PrincipalesVariables[[#This Row],[Base monetaria]]/1000000</f>
        <v>0.85724100000000003</v>
      </c>
      <c r="E1388" s="10">
        <v>17.21</v>
      </c>
      <c r="F1388" s="11">
        <v>51274</v>
      </c>
      <c r="H1388" s="12">
        <f>(PrincipalesVariables[[#This Row],[Base monetaria]]-C1387)/C1387</f>
        <v>-3.2139348027046353E-3</v>
      </c>
      <c r="I1388" s="12">
        <f>(PrincipalesVariables[[#This Row],[Dólar  mayorista]]-E1387)/E1387</f>
        <v>-5.807200929150994E-4</v>
      </c>
      <c r="J1388" s="12">
        <f>(PrincipalesVariables[[#This Row],[Reservas internacionales]]-F1387)/F1387</f>
        <v>6.6354410616705699E-4</v>
      </c>
    </row>
    <row r="1389" spans="1:10" ht="15.75" thickBot="1" x14ac:dyDescent="0.3">
      <c r="A1389" s="14">
        <v>42989</v>
      </c>
      <c r="B1389" s="15">
        <v>42989</v>
      </c>
      <c r="C1389" s="16">
        <v>869677</v>
      </c>
      <c r="D1389" s="10">
        <f>PrincipalesVariables[[#This Row],[Base monetaria]]/1000000</f>
        <v>0.86967700000000003</v>
      </c>
      <c r="E1389" s="10">
        <v>17.2</v>
      </c>
      <c r="F1389" s="11">
        <v>51078</v>
      </c>
      <c r="H1389" s="12">
        <f>(PrincipalesVariables[[#This Row],[Base monetaria]]-C1388)/C1388</f>
        <v>1.4507005614523803E-2</v>
      </c>
      <c r="I1389" s="12">
        <f>(PrincipalesVariables[[#This Row],[Dólar  mayorista]]-E1388)/E1388</f>
        <v>-5.8105752469503563E-4</v>
      </c>
      <c r="J1389" s="12">
        <f>(PrincipalesVariables[[#This Row],[Reservas internacionales]]-F1388)/F1388</f>
        <v>-3.8226001482232711E-3</v>
      </c>
    </row>
    <row r="1390" spans="1:10" ht="15.75" thickBot="1" x14ac:dyDescent="0.3">
      <c r="A1390" s="14">
        <v>42990</v>
      </c>
      <c r="B1390" s="15">
        <v>42990</v>
      </c>
      <c r="C1390" s="16">
        <v>867844</v>
      </c>
      <c r="D1390" s="10">
        <f>PrincipalesVariables[[#This Row],[Base monetaria]]/1000000</f>
        <v>0.86784399999999995</v>
      </c>
      <c r="E1390" s="10">
        <v>17.11</v>
      </c>
      <c r="F1390" s="11">
        <v>50890</v>
      </c>
      <c r="H1390" s="12">
        <f>(PrincipalesVariables[[#This Row],[Base monetaria]]-C1389)/C1389</f>
        <v>-2.1076790578571127E-3</v>
      </c>
      <c r="I1390" s="12">
        <f>(PrincipalesVariables[[#This Row],[Dólar  mayorista]]-E1389)/E1389</f>
        <v>-5.2325581395348758E-3</v>
      </c>
      <c r="J1390" s="12">
        <f>(PrincipalesVariables[[#This Row],[Reservas internacionales]]-F1389)/F1389</f>
        <v>-3.6806452875993577E-3</v>
      </c>
    </row>
    <row r="1391" spans="1:10" ht="15.75" thickBot="1" x14ac:dyDescent="0.3">
      <c r="A1391" s="14">
        <v>42991</v>
      </c>
      <c r="B1391" s="15">
        <v>42991</v>
      </c>
      <c r="C1391" s="16">
        <v>867484</v>
      </c>
      <c r="D1391" s="10">
        <f>PrincipalesVariables[[#This Row],[Base monetaria]]/1000000</f>
        <v>0.86748400000000003</v>
      </c>
      <c r="E1391" s="10">
        <v>17.059999999999999</v>
      </c>
      <c r="F1391" s="11">
        <v>51043</v>
      </c>
      <c r="H1391" s="12">
        <f>(PrincipalesVariables[[#This Row],[Base monetaria]]-C1390)/C1390</f>
        <v>-4.1482109687916263E-4</v>
      </c>
      <c r="I1391" s="12">
        <f>(PrincipalesVariables[[#This Row],[Dólar  mayorista]]-E1390)/E1390</f>
        <v>-2.9222676797195039E-3</v>
      </c>
      <c r="J1391" s="12">
        <f>(PrincipalesVariables[[#This Row],[Reservas internacionales]]-F1390)/F1390</f>
        <v>3.0064845745726076E-3</v>
      </c>
    </row>
    <row r="1392" spans="1:10" ht="15.75" thickBot="1" x14ac:dyDescent="0.3">
      <c r="A1392" s="14">
        <v>42992</v>
      </c>
      <c r="B1392" s="15">
        <v>42992</v>
      </c>
      <c r="C1392" s="16">
        <v>861035</v>
      </c>
      <c r="D1392" s="10">
        <f>PrincipalesVariables[[#This Row],[Base monetaria]]/1000000</f>
        <v>0.86103499999999999</v>
      </c>
      <c r="E1392" s="10">
        <v>17.010000000000002</v>
      </c>
      <c r="F1392" s="11">
        <v>50975</v>
      </c>
      <c r="H1392" s="12">
        <f>(PrincipalesVariables[[#This Row],[Base monetaria]]-C1391)/C1391</f>
        <v>-7.4341428775631596E-3</v>
      </c>
      <c r="I1392" s="12">
        <f>(PrincipalesVariables[[#This Row],[Dólar  mayorista]]-E1391)/E1391</f>
        <v>-2.930832356389048E-3</v>
      </c>
      <c r="J1392" s="12">
        <f>(PrincipalesVariables[[#This Row],[Reservas internacionales]]-F1391)/F1391</f>
        <v>-1.332210097368885E-3</v>
      </c>
    </row>
    <row r="1393" spans="1:10" ht="15.75" thickBot="1" x14ac:dyDescent="0.3">
      <c r="A1393" s="14">
        <v>42993</v>
      </c>
      <c r="B1393" s="15">
        <v>42993</v>
      </c>
      <c r="C1393" s="16">
        <v>845236</v>
      </c>
      <c r="D1393" s="10">
        <f>PrincipalesVariables[[#This Row],[Base monetaria]]/1000000</f>
        <v>0.84523599999999999</v>
      </c>
      <c r="E1393" s="10">
        <v>16.97</v>
      </c>
      <c r="F1393" s="11">
        <v>51024</v>
      </c>
      <c r="H1393" s="12">
        <f>(PrincipalesVariables[[#This Row],[Base monetaria]]-C1392)/C1392</f>
        <v>-1.8348847607820819E-2</v>
      </c>
      <c r="I1393" s="12">
        <f>(PrincipalesVariables[[#This Row],[Dólar  mayorista]]-E1392)/E1392</f>
        <v>-2.351557907113621E-3</v>
      </c>
      <c r="J1393" s="12">
        <f>(PrincipalesVariables[[#This Row],[Reservas internacionales]]-F1392)/F1392</f>
        <v>9.6125551741049536E-4</v>
      </c>
    </row>
    <row r="1394" spans="1:10" ht="15.75" thickBot="1" x14ac:dyDescent="0.3">
      <c r="A1394" s="14">
        <v>42996</v>
      </c>
      <c r="B1394" s="15">
        <v>42996</v>
      </c>
      <c r="C1394" s="16">
        <v>863510</v>
      </c>
      <c r="D1394" s="10">
        <f>PrincipalesVariables[[#This Row],[Base monetaria]]/1000000</f>
        <v>0.86351</v>
      </c>
      <c r="E1394" s="10">
        <v>17.059999999999999</v>
      </c>
      <c r="F1394" s="11">
        <v>50839</v>
      </c>
      <c r="H1394" s="12">
        <f>(PrincipalesVariables[[#This Row],[Base monetaria]]-C1393)/C1393</f>
        <v>2.1619997255204464E-2</v>
      </c>
      <c r="I1394" s="12">
        <f>(PrincipalesVariables[[#This Row],[Dólar  mayorista]]-E1393)/E1393</f>
        <v>5.3034767236299274E-3</v>
      </c>
      <c r="J1394" s="12">
        <f>(PrincipalesVariables[[#This Row],[Reservas internacionales]]-F1393)/F1393</f>
        <v>-3.625744747569771E-3</v>
      </c>
    </row>
    <row r="1395" spans="1:10" ht="15.75" thickBot="1" x14ac:dyDescent="0.3">
      <c r="A1395" s="14">
        <v>42997</v>
      </c>
      <c r="B1395" s="15">
        <v>42997</v>
      </c>
      <c r="C1395" s="16">
        <v>857500</v>
      </c>
      <c r="D1395" s="10">
        <f>PrincipalesVariables[[#This Row],[Base monetaria]]/1000000</f>
        <v>0.85750000000000004</v>
      </c>
      <c r="E1395" s="10">
        <v>17.2</v>
      </c>
      <c r="F1395" s="11">
        <v>51112</v>
      </c>
      <c r="H1395" s="12">
        <f>(PrincipalesVariables[[#This Row],[Base monetaria]]-C1394)/C1394</f>
        <v>-6.9599657213002741E-3</v>
      </c>
      <c r="I1395" s="12">
        <f>(PrincipalesVariables[[#This Row],[Dólar  mayorista]]-E1394)/E1394</f>
        <v>8.2063305978898344E-3</v>
      </c>
      <c r="J1395" s="12">
        <f>(PrincipalesVariables[[#This Row],[Reservas internacionales]]-F1394)/F1394</f>
        <v>5.369893192234308E-3</v>
      </c>
    </row>
    <row r="1396" spans="1:10" ht="15.75" thickBot="1" x14ac:dyDescent="0.3">
      <c r="A1396" s="14">
        <v>42998</v>
      </c>
      <c r="B1396" s="15">
        <v>42998</v>
      </c>
      <c r="C1396" s="16">
        <v>926112</v>
      </c>
      <c r="D1396" s="10">
        <f>PrincipalesVariables[[#This Row],[Base monetaria]]/1000000</f>
        <v>0.92611200000000005</v>
      </c>
      <c r="E1396" s="10">
        <v>17.149999999999999</v>
      </c>
      <c r="F1396" s="11">
        <v>51366</v>
      </c>
      <c r="H1396" s="12">
        <f>(PrincipalesVariables[[#This Row],[Base monetaria]]-C1395)/C1395</f>
        <v>8.0013994169096214E-2</v>
      </c>
      <c r="I1396" s="12">
        <f>(PrincipalesVariables[[#This Row],[Dólar  mayorista]]-E1395)/E1395</f>
        <v>-2.9069767441860881E-3</v>
      </c>
      <c r="J1396" s="12">
        <f>(PrincipalesVariables[[#This Row],[Reservas internacionales]]-F1395)/F1395</f>
        <v>4.9694787916731882E-3</v>
      </c>
    </row>
    <row r="1397" spans="1:10" ht="15.75" thickBot="1" x14ac:dyDescent="0.3">
      <c r="A1397" s="14">
        <v>42999</v>
      </c>
      <c r="B1397" s="15">
        <v>42999</v>
      </c>
      <c r="C1397" s="16">
        <v>920080</v>
      </c>
      <c r="D1397" s="10">
        <f>PrincipalesVariables[[#This Row],[Base monetaria]]/1000000</f>
        <v>0.92008000000000001</v>
      </c>
      <c r="E1397" s="10">
        <v>17.28</v>
      </c>
      <c r="F1397" s="11">
        <v>51292</v>
      </c>
      <c r="H1397" s="12">
        <f>(PrincipalesVariables[[#This Row],[Base monetaria]]-C1396)/C1396</f>
        <v>-6.5132510970595352E-3</v>
      </c>
      <c r="I1397" s="12">
        <f>(PrincipalesVariables[[#This Row],[Dólar  mayorista]]-E1396)/E1396</f>
        <v>7.5801749271138521E-3</v>
      </c>
      <c r="J1397" s="12">
        <f>(PrincipalesVariables[[#This Row],[Reservas internacionales]]-F1396)/F1396</f>
        <v>-1.4406416695868863E-3</v>
      </c>
    </row>
    <row r="1398" spans="1:10" ht="15.75" thickBot="1" x14ac:dyDescent="0.3">
      <c r="A1398" s="14">
        <v>43000</v>
      </c>
      <c r="B1398" s="15">
        <v>43000</v>
      </c>
      <c r="C1398" s="16">
        <v>893615</v>
      </c>
      <c r="D1398" s="10">
        <f>PrincipalesVariables[[#This Row],[Base monetaria]]/1000000</f>
        <v>0.89361500000000005</v>
      </c>
      <c r="E1398" s="10">
        <v>17.3</v>
      </c>
      <c r="F1398" s="11">
        <v>51331</v>
      </c>
      <c r="H1398" s="12">
        <f>(PrincipalesVariables[[#This Row],[Base monetaria]]-C1397)/C1397</f>
        <v>-2.8763803147552388E-2</v>
      </c>
      <c r="I1398" s="12">
        <f>(PrincipalesVariables[[#This Row],[Dólar  mayorista]]-E1397)/E1397</f>
        <v>1.1574074074073826E-3</v>
      </c>
      <c r="J1398" s="12">
        <f>(PrincipalesVariables[[#This Row],[Reservas internacionales]]-F1397)/F1397</f>
        <v>7.6035249161662637E-4</v>
      </c>
    </row>
    <row r="1399" spans="1:10" ht="15.75" thickBot="1" x14ac:dyDescent="0.3">
      <c r="A1399" s="14">
        <v>43003</v>
      </c>
      <c r="B1399" s="15">
        <v>43003</v>
      </c>
      <c r="C1399" s="16">
        <v>880117</v>
      </c>
      <c r="D1399" s="10">
        <f>PrincipalesVariables[[#This Row],[Base monetaria]]/1000000</f>
        <v>0.88011700000000004</v>
      </c>
      <c r="E1399" s="10">
        <v>17.41</v>
      </c>
      <c r="F1399" s="11">
        <v>51158</v>
      </c>
      <c r="H1399" s="12">
        <f>(PrincipalesVariables[[#This Row],[Base monetaria]]-C1398)/C1398</f>
        <v>-1.5104938927838051E-2</v>
      </c>
      <c r="I1399" s="12">
        <f>(PrincipalesVariables[[#This Row],[Dólar  mayorista]]-E1398)/E1398</f>
        <v>6.3583815028901399E-3</v>
      </c>
      <c r="J1399" s="12">
        <f>(PrincipalesVariables[[#This Row],[Reservas internacionales]]-F1398)/F1398</f>
        <v>-3.3702830648146345E-3</v>
      </c>
    </row>
    <row r="1400" spans="1:10" ht="15.75" thickBot="1" x14ac:dyDescent="0.3">
      <c r="A1400" s="14">
        <v>43004</v>
      </c>
      <c r="B1400" s="15">
        <v>43004</v>
      </c>
      <c r="C1400" s="16">
        <v>903590</v>
      </c>
      <c r="D1400" s="10">
        <f>PrincipalesVariables[[#This Row],[Base monetaria]]/1000000</f>
        <v>0.90359</v>
      </c>
      <c r="E1400" s="10">
        <v>17.61</v>
      </c>
      <c r="F1400" s="11">
        <v>50971</v>
      </c>
      <c r="H1400" s="12">
        <f>(PrincipalesVariables[[#This Row],[Base monetaria]]-C1399)/C1399</f>
        <v>2.6670317696397182E-2</v>
      </c>
      <c r="I1400" s="12">
        <f>(PrincipalesVariables[[#This Row],[Dólar  mayorista]]-E1399)/E1399</f>
        <v>1.1487650775416386E-2</v>
      </c>
      <c r="J1400" s="12">
        <f>(PrincipalesVariables[[#This Row],[Reservas internacionales]]-F1399)/F1399</f>
        <v>-3.655342272958286E-3</v>
      </c>
    </row>
    <row r="1401" spans="1:10" ht="15.75" thickBot="1" x14ac:dyDescent="0.3">
      <c r="A1401" s="14">
        <v>43005</v>
      </c>
      <c r="B1401" s="15">
        <v>43005</v>
      </c>
      <c r="C1401" s="16">
        <v>886981</v>
      </c>
      <c r="D1401" s="10">
        <f>PrincipalesVariables[[#This Row],[Base monetaria]]/1000000</f>
        <v>0.88698100000000002</v>
      </c>
      <c r="E1401" s="10">
        <v>17.57</v>
      </c>
      <c r="F1401" s="11">
        <v>50889</v>
      </c>
      <c r="H1401" s="12">
        <f>(PrincipalesVariables[[#This Row],[Base monetaria]]-C1400)/C1400</f>
        <v>-1.838112418242787E-2</v>
      </c>
      <c r="I1401" s="12">
        <f>(PrincipalesVariables[[#This Row],[Dólar  mayorista]]-E1400)/E1400</f>
        <v>-2.2714366837023933E-3</v>
      </c>
      <c r="J1401" s="12">
        <f>(PrincipalesVariables[[#This Row],[Reservas internacionales]]-F1400)/F1400</f>
        <v>-1.608757921170862E-3</v>
      </c>
    </row>
    <row r="1402" spans="1:10" ht="15.75" thickBot="1" x14ac:dyDescent="0.3">
      <c r="A1402" s="14">
        <v>43006</v>
      </c>
      <c r="B1402" s="15">
        <v>43006</v>
      </c>
      <c r="C1402" s="16">
        <v>875223</v>
      </c>
      <c r="D1402" s="10">
        <f>PrincipalesVariables[[#This Row],[Base monetaria]]/1000000</f>
        <v>0.87522299999999997</v>
      </c>
      <c r="E1402" s="10">
        <v>17.559999999999999</v>
      </c>
      <c r="F1402" s="11">
        <v>50515</v>
      </c>
      <c r="H1402" s="12">
        <f>(PrincipalesVariables[[#This Row],[Base monetaria]]-C1401)/C1401</f>
        <v>-1.3256202782246745E-2</v>
      </c>
      <c r="I1402" s="12">
        <f>(PrincipalesVariables[[#This Row],[Dólar  mayorista]]-E1401)/E1401</f>
        <v>-5.6915196357436326E-4</v>
      </c>
      <c r="J1402" s="12">
        <f>(PrincipalesVariables[[#This Row],[Reservas internacionales]]-F1401)/F1401</f>
        <v>-7.349328931596219E-3</v>
      </c>
    </row>
    <row r="1403" spans="1:10" ht="15.75" thickBot="1" x14ac:dyDescent="0.3">
      <c r="A1403" s="14">
        <v>43007</v>
      </c>
      <c r="B1403" s="15">
        <v>43007</v>
      </c>
      <c r="C1403" s="16">
        <v>868105</v>
      </c>
      <c r="D1403" s="10">
        <f>PrincipalesVariables[[#This Row],[Base monetaria]]/1000000</f>
        <v>0.86810500000000002</v>
      </c>
      <c r="E1403" s="10">
        <v>17.32</v>
      </c>
      <c r="F1403" s="11">
        <v>50237</v>
      </c>
      <c r="H1403" s="12">
        <f>(PrincipalesVariables[[#This Row],[Base monetaria]]-C1402)/C1402</f>
        <v>-8.1327844446501055E-3</v>
      </c>
      <c r="I1403" s="12">
        <f>(PrincipalesVariables[[#This Row],[Dólar  mayorista]]-E1402)/E1402</f>
        <v>-1.3667425968109251E-2</v>
      </c>
      <c r="J1403" s="12">
        <f>(PrincipalesVariables[[#This Row],[Reservas internacionales]]-F1402)/F1402</f>
        <v>-5.5033158467781848E-3</v>
      </c>
    </row>
    <row r="1404" spans="1:10" ht="15.75" thickBot="1" x14ac:dyDescent="0.3">
      <c r="A1404" s="14">
        <v>43010</v>
      </c>
      <c r="B1404" s="15">
        <v>43010</v>
      </c>
      <c r="C1404" s="16">
        <v>891638</v>
      </c>
      <c r="D1404" s="10">
        <f>PrincipalesVariables[[#This Row],[Base monetaria]]/1000000</f>
        <v>0.89163800000000004</v>
      </c>
      <c r="E1404" s="10">
        <v>17.350000000000001</v>
      </c>
      <c r="F1404" s="11">
        <v>50646</v>
      </c>
      <c r="H1404" s="12">
        <f>(PrincipalesVariables[[#This Row],[Base monetaria]]-C1403)/C1403</f>
        <v>2.7108471901440494E-2</v>
      </c>
      <c r="I1404" s="12">
        <f>(PrincipalesVariables[[#This Row],[Dólar  mayorista]]-E1403)/E1403</f>
        <v>1.7321016166282411E-3</v>
      </c>
      <c r="J1404" s="12">
        <f>(PrincipalesVariables[[#This Row],[Reservas internacionales]]-F1403)/F1403</f>
        <v>8.1414097179369795E-3</v>
      </c>
    </row>
    <row r="1405" spans="1:10" ht="15.75" thickBot="1" x14ac:dyDescent="0.3">
      <c r="A1405" s="14">
        <v>43011</v>
      </c>
      <c r="B1405" s="15">
        <v>43011</v>
      </c>
      <c r="C1405" s="16">
        <v>885708</v>
      </c>
      <c r="D1405" s="10">
        <f>PrincipalesVariables[[#This Row],[Base monetaria]]/1000000</f>
        <v>0.88570800000000005</v>
      </c>
      <c r="E1405" s="10">
        <v>17.43</v>
      </c>
      <c r="F1405" s="11">
        <v>50655</v>
      </c>
      <c r="H1405" s="12">
        <f>(PrincipalesVariables[[#This Row],[Base monetaria]]-C1404)/C1404</f>
        <v>-6.6506811060093891E-3</v>
      </c>
      <c r="I1405" s="12">
        <f>(PrincipalesVariables[[#This Row],[Dólar  mayorista]]-E1404)/E1404</f>
        <v>4.6109510086454345E-3</v>
      </c>
      <c r="J1405" s="12">
        <f>(PrincipalesVariables[[#This Row],[Reservas internacionales]]-F1404)/F1404</f>
        <v>1.7770406349958536E-4</v>
      </c>
    </row>
    <row r="1406" spans="1:10" ht="15.75" thickBot="1" x14ac:dyDescent="0.3">
      <c r="A1406" s="14">
        <v>43012</v>
      </c>
      <c r="B1406" s="15">
        <v>43012</v>
      </c>
      <c r="C1406" s="16">
        <v>902049</v>
      </c>
      <c r="D1406" s="10">
        <f>PrincipalesVariables[[#This Row],[Base monetaria]]/1000000</f>
        <v>0.90204899999999999</v>
      </c>
      <c r="E1406" s="10">
        <v>17.36</v>
      </c>
      <c r="F1406" s="11">
        <v>50726</v>
      </c>
      <c r="H1406" s="12">
        <f>(PrincipalesVariables[[#This Row],[Base monetaria]]-C1405)/C1405</f>
        <v>1.8449647062011409E-2</v>
      </c>
      <c r="I1406" s="12">
        <f>(PrincipalesVariables[[#This Row],[Dólar  mayorista]]-E1405)/E1405</f>
        <v>-4.0160642570281286E-3</v>
      </c>
      <c r="J1406" s="12">
        <f>(PrincipalesVariables[[#This Row],[Reservas internacionales]]-F1405)/F1405</f>
        <v>1.4016385351890237E-3</v>
      </c>
    </row>
    <row r="1407" spans="1:10" ht="15.75" thickBot="1" x14ac:dyDescent="0.3">
      <c r="A1407" s="14">
        <v>43013</v>
      </c>
      <c r="B1407" s="15">
        <v>43013</v>
      </c>
      <c r="C1407" s="16">
        <v>903674</v>
      </c>
      <c r="D1407" s="10">
        <f>PrincipalesVariables[[#This Row],[Base monetaria]]/1000000</f>
        <v>0.90367399999999998</v>
      </c>
      <c r="E1407" s="10">
        <v>17.34</v>
      </c>
      <c r="F1407" s="11">
        <v>50847</v>
      </c>
      <c r="H1407" s="12">
        <f>(PrincipalesVariables[[#This Row],[Base monetaria]]-C1406)/C1406</f>
        <v>1.8014542447250647E-3</v>
      </c>
      <c r="I1407" s="12">
        <f>(PrincipalesVariables[[#This Row],[Dólar  mayorista]]-E1406)/E1406</f>
        <v>-1.1520737327188695E-3</v>
      </c>
      <c r="J1407" s="12">
        <f>(PrincipalesVariables[[#This Row],[Reservas internacionales]]-F1406)/F1406</f>
        <v>2.3853645073532311E-3</v>
      </c>
    </row>
    <row r="1408" spans="1:10" ht="15.75" thickBot="1" x14ac:dyDescent="0.3">
      <c r="A1408" s="14">
        <v>43014</v>
      </c>
      <c r="B1408" s="15">
        <v>43014</v>
      </c>
      <c r="C1408" s="16">
        <v>895331</v>
      </c>
      <c r="D1408" s="10">
        <f>PrincipalesVariables[[#This Row],[Base monetaria]]/1000000</f>
        <v>0.89533099999999999</v>
      </c>
      <c r="E1408" s="10">
        <v>17.510000000000002</v>
      </c>
      <c r="F1408" s="11">
        <v>50860</v>
      </c>
      <c r="H1408" s="12">
        <f>(PrincipalesVariables[[#This Row],[Base monetaria]]-C1407)/C1407</f>
        <v>-9.2323116522108634E-3</v>
      </c>
      <c r="I1408" s="12">
        <f>(PrincipalesVariables[[#This Row],[Dólar  mayorista]]-E1407)/E1407</f>
        <v>9.8039215686275497E-3</v>
      </c>
      <c r="J1408" s="12">
        <f>(PrincipalesVariables[[#This Row],[Reservas internacionales]]-F1407)/F1407</f>
        <v>2.5566896768737583E-4</v>
      </c>
    </row>
    <row r="1409" spans="1:10" ht="15.75" thickBot="1" x14ac:dyDescent="0.3">
      <c r="A1409" s="14">
        <v>43017</v>
      </c>
      <c r="B1409" s="15">
        <v>43017</v>
      </c>
      <c r="C1409" s="16">
        <v>896488</v>
      </c>
      <c r="D1409" s="10">
        <f>PrincipalesVariables[[#This Row],[Base monetaria]]/1000000</f>
        <v>0.89648799999999995</v>
      </c>
      <c r="E1409" s="10">
        <v>17.47</v>
      </c>
      <c r="F1409" s="11">
        <v>50892</v>
      </c>
      <c r="H1409" s="12">
        <f>(PrincipalesVariables[[#This Row],[Base monetaria]]-C1408)/C1408</f>
        <v>1.2922595107284346E-3</v>
      </c>
      <c r="I1409" s="12">
        <f>(PrincipalesVariables[[#This Row],[Dólar  mayorista]]-E1408)/E1408</f>
        <v>-2.2844089091948998E-3</v>
      </c>
      <c r="J1409" s="12">
        <f>(PrincipalesVariables[[#This Row],[Reservas internacionales]]-F1408)/F1408</f>
        <v>6.2917813605977194E-4</v>
      </c>
    </row>
    <row r="1410" spans="1:10" ht="15.75" thickBot="1" x14ac:dyDescent="0.3">
      <c r="A1410" s="14">
        <v>43018</v>
      </c>
      <c r="B1410" s="15">
        <v>43018</v>
      </c>
      <c r="C1410" s="16">
        <v>886368</v>
      </c>
      <c r="D1410" s="10">
        <f>PrincipalesVariables[[#This Row],[Base monetaria]]/1000000</f>
        <v>0.88636800000000004</v>
      </c>
      <c r="E1410" s="10">
        <v>17.440000000000001</v>
      </c>
      <c r="F1410" s="11">
        <v>51077</v>
      </c>
      <c r="H1410" s="12">
        <f>(PrincipalesVariables[[#This Row],[Base monetaria]]-C1409)/C1409</f>
        <v>-1.128849465915885E-2</v>
      </c>
      <c r="I1410" s="12">
        <f>(PrincipalesVariables[[#This Row],[Dólar  mayorista]]-E1409)/E1409</f>
        <v>-1.7172295363478869E-3</v>
      </c>
      <c r="J1410" s="12">
        <f>(PrincipalesVariables[[#This Row],[Reservas internacionales]]-F1409)/F1409</f>
        <v>3.6351489428593886E-3</v>
      </c>
    </row>
    <row r="1411" spans="1:10" ht="15.75" thickBot="1" x14ac:dyDescent="0.3">
      <c r="A1411" s="14">
        <v>43019</v>
      </c>
      <c r="B1411" s="15">
        <v>43019</v>
      </c>
      <c r="C1411" s="16">
        <v>888141</v>
      </c>
      <c r="D1411" s="10">
        <f>PrincipalesVariables[[#This Row],[Base monetaria]]/1000000</f>
        <v>0.88814099999999996</v>
      </c>
      <c r="E1411" s="10">
        <v>17.43</v>
      </c>
      <c r="F1411" s="11">
        <v>50943</v>
      </c>
      <c r="H1411" s="12">
        <f>(PrincipalesVariables[[#This Row],[Base monetaria]]-C1410)/C1410</f>
        <v>2.0002978446875337E-3</v>
      </c>
      <c r="I1411" s="12">
        <f>(PrincipalesVariables[[#This Row],[Dólar  mayorista]]-E1410)/E1410</f>
        <v>-5.7339449541293362E-4</v>
      </c>
      <c r="J1411" s="12">
        <f>(PrincipalesVariables[[#This Row],[Reservas internacionales]]-F1410)/F1410</f>
        <v>-2.6234900248644204E-3</v>
      </c>
    </row>
    <row r="1412" spans="1:10" ht="15.75" thickBot="1" x14ac:dyDescent="0.3">
      <c r="A1412" s="14">
        <v>43020</v>
      </c>
      <c r="B1412" s="15">
        <v>43020</v>
      </c>
      <c r="C1412" s="16">
        <v>889324</v>
      </c>
      <c r="D1412" s="10">
        <f>PrincipalesVariables[[#This Row],[Base monetaria]]/1000000</f>
        <v>0.889324</v>
      </c>
      <c r="E1412" s="10">
        <v>17.43</v>
      </c>
      <c r="F1412" s="11">
        <v>51913</v>
      </c>
      <c r="H1412" s="12">
        <f>(PrincipalesVariables[[#This Row],[Base monetaria]]-C1411)/C1411</f>
        <v>1.3319957078887249E-3</v>
      </c>
      <c r="I1412" s="12">
        <f>(PrincipalesVariables[[#This Row],[Dólar  mayorista]]-E1411)/E1411</f>
        <v>0</v>
      </c>
      <c r="J1412" s="12">
        <f>(PrincipalesVariables[[#This Row],[Reservas internacionales]]-F1411)/F1411</f>
        <v>1.9040888836542803E-2</v>
      </c>
    </row>
    <row r="1413" spans="1:10" ht="15.75" thickBot="1" x14ac:dyDescent="0.3">
      <c r="A1413" s="14">
        <v>43021</v>
      </c>
      <c r="B1413" s="15">
        <v>43021</v>
      </c>
      <c r="C1413" s="16">
        <v>881027</v>
      </c>
      <c r="D1413" s="10">
        <f>PrincipalesVariables[[#This Row],[Base monetaria]]/1000000</f>
        <v>0.881027</v>
      </c>
      <c r="E1413" s="10">
        <v>17.36</v>
      </c>
      <c r="F1413" s="11">
        <v>52852</v>
      </c>
      <c r="H1413" s="12">
        <f>(PrincipalesVariables[[#This Row],[Base monetaria]]-C1412)/C1412</f>
        <v>-9.3295581812702678E-3</v>
      </c>
      <c r="I1413" s="12">
        <f>(PrincipalesVariables[[#This Row],[Dólar  mayorista]]-E1412)/E1412</f>
        <v>-4.0160642570281286E-3</v>
      </c>
      <c r="J1413" s="12">
        <f>(PrincipalesVariables[[#This Row],[Reservas internacionales]]-F1412)/F1412</f>
        <v>1.8087954847533373E-2</v>
      </c>
    </row>
    <row r="1414" spans="1:10" ht="15.75" thickBot="1" x14ac:dyDescent="0.3">
      <c r="A1414" s="14">
        <v>43025</v>
      </c>
      <c r="B1414" s="15">
        <v>43025</v>
      </c>
      <c r="C1414" s="16">
        <v>873237</v>
      </c>
      <c r="D1414" s="10">
        <f>PrincipalesVariables[[#This Row],[Base monetaria]]/1000000</f>
        <v>0.87323700000000004</v>
      </c>
      <c r="E1414" s="10">
        <v>17.38</v>
      </c>
      <c r="F1414" s="11">
        <v>52591</v>
      </c>
      <c r="H1414" s="12">
        <f>(PrincipalesVariables[[#This Row],[Base monetaria]]-C1413)/C1413</f>
        <v>-8.8419537653216078E-3</v>
      </c>
      <c r="I1414" s="12">
        <f>(PrincipalesVariables[[#This Row],[Dólar  mayorista]]-E1413)/E1413</f>
        <v>1.1520737327188695E-3</v>
      </c>
      <c r="J1414" s="12">
        <f>(PrincipalesVariables[[#This Row],[Reservas internacionales]]-F1413)/F1413</f>
        <v>-4.9383183228638465E-3</v>
      </c>
    </row>
    <row r="1415" spans="1:10" ht="15.75" thickBot="1" x14ac:dyDescent="0.3">
      <c r="A1415" s="14">
        <v>43026</v>
      </c>
      <c r="B1415" s="15">
        <v>43026</v>
      </c>
      <c r="C1415" s="16">
        <v>913086</v>
      </c>
      <c r="D1415" s="10">
        <f>PrincipalesVariables[[#This Row],[Base monetaria]]/1000000</f>
        <v>0.91308599999999995</v>
      </c>
      <c r="E1415" s="10">
        <v>17.329999999999998</v>
      </c>
      <c r="F1415" s="11">
        <v>52456</v>
      </c>
      <c r="H1415" s="12">
        <f>(PrincipalesVariables[[#This Row],[Base monetaria]]-C1414)/C1414</f>
        <v>4.5633659590695312E-2</v>
      </c>
      <c r="I1415" s="12">
        <f>(PrincipalesVariables[[#This Row],[Dólar  mayorista]]-E1414)/E1414</f>
        <v>-2.8768699654776013E-3</v>
      </c>
      <c r="J1415" s="12">
        <f>(PrincipalesVariables[[#This Row],[Reservas internacionales]]-F1414)/F1414</f>
        <v>-2.5669791409176474E-3</v>
      </c>
    </row>
    <row r="1416" spans="1:10" ht="15.75" thickBot="1" x14ac:dyDescent="0.3">
      <c r="A1416" s="14">
        <v>43027</v>
      </c>
      <c r="B1416" s="15">
        <v>43027</v>
      </c>
      <c r="C1416" s="16">
        <v>892574</v>
      </c>
      <c r="D1416" s="10">
        <f>PrincipalesVariables[[#This Row],[Base monetaria]]/1000000</f>
        <v>0.89257399999999998</v>
      </c>
      <c r="E1416" s="10">
        <v>17.399999999999999</v>
      </c>
      <c r="F1416" s="11">
        <v>52501</v>
      </c>
      <c r="H1416" s="12">
        <f>(PrincipalesVariables[[#This Row],[Base monetaria]]-C1415)/C1415</f>
        <v>-2.2464477606709554E-2</v>
      </c>
      <c r="I1416" s="12">
        <f>(PrincipalesVariables[[#This Row],[Dólar  mayorista]]-E1415)/E1415</f>
        <v>4.0392383150606058E-3</v>
      </c>
      <c r="J1416" s="12">
        <f>(PrincipalesVariables[[#This Row],[Reservas internacionales]]-F1415)/F1415</f>
        <v>8.5786182705505564E-4</v>
      </c>
    </row>
    <row r="1417" spans="1:10" ht="15.75" thickBot="1" x14ac:dyDescent="0.3">
      <c r="A1417" s="14">
        <v>43028</v>
      </c>
      <c r="B1417" s="15">
        <v>43028</v>
      </c>
      <c r="C1417" s="16">
        <v>888043</v>
      </c>
      <c r="D1417" s="10">
        <f>PrincipalesVariables[[#This Row],[Base monetaria]]/1000000</f>
        <v>0.88804300000000003</v>
      </c>
      <c r="E1417" s="10">
        <v>17.47</v>
      </c>
      <c r="F1417" s="11">
        <v>51942</v>
      </c>
      <c r="H1417" s="12">
        <f>(PrincipalesVariables[[#This Row],[Base monetaria]]-C1416)/C1416</f>
        <v>-5.0763298057079865E-3</v>
      </c>
      <c r="I1417" s="12">
        <f>(PrincipalesVariables[[#This Row],[Dólar  mayorista]]-E1416)/E1416</f>
        <v>4.0229885057471429E-3</v>
      </c>
      <c r="J1417" s="12">
        <f>(PrincipalesVariables[[#This Row],[Reservas internacionales]]-F1416)/F1416</f>
        <v>-1.0647416239690673E-2</v>
      </c>
    </row>
    <row r="1418" spans="1:10" ht="15.75" thickBot="1" x14ac:dyDescent="0.3">
      <c r="A1418" s="14">
        <v>43031</v>
      </c>
      <c r="B1418" s="15">
        <v>43031</v>
      </c>
      <c r="C1418" s="16">
        <v>891574</v>
      </c>
      <c r="D1418" s="10">
        <f>PrincipalesVariables[[#This Row],[Base monetaria]]/1000000</f>
        <v>0.89157399999999998</v>
      </c>
      <c r="E1418" s="10">
        <v>17.32</v>
      </c>
      <c r="F1418" s="11">
        <v>51986</v>
      </c>
      <c r="H1418" s="12">
        <f>(PrincipalesVariables[[#This Row],[Base monetaria]]-C1417)/C1417</f>
        <v>3.9761588121295932E-3</v>
      </c>
      <c r="I1418" s="12">
        <f>(PrincipalesVariables[[#This Row],[Dólar  mayorista]]-E1417)/E1417</f>
        <v>-8.5861476817400452E-3</v>
      </c>
      <c r="J1418" s="12">
        <f>(PrincipalesVariables[[#This Row],[Reservas internacionales]]-F1417)/F1417</f>
        <v>8.4709868699703512E-4</v>
      </c>
    </row>
    <row r="1419" spans="1:10" ht="15.75" thickBot="1" x14ac:dyDescent="0.3">
      <c r="A1419" s="14">
        <v>43032</v>
      </c>
      <c r="B1419" s="15">
        <v>43032</v>
      </c>
      <c r="C1419" s="16">
        <v>885290</v>
      </c>
      <c r="D1419" s="10">
        <f>PrincipalesVariables[[#This Row],[Base monetaria]]/1000000</f>
        <v>0.88529000000000002</v>
      </c>
      <c r="E1419" s="10">
        <v>17.5</v>
      </c>
      <c r="F1419" s="11">
        <v>51921</v>
      </c>
      <c r="H1419" s="12">
        <f>(PrincipalesVariables[[#This Row],[Base monetaria]]-C1418)/C1418</f>
        <v>-7.048209122293831E-3</v>
      </c>
      <c r="I1419" s="12">
        <f>(PrincipalesVariables[[#This Row],[Dólar  mayorista]]-E1418)/E1418</f>
        <v>1.0392609699769037E-2</v>
      </c>
      <c r="J1419" s="12">
        <f>(PrincipalesVariables[[#This Row],[Reservas internacionales]]-F1418)/F1418</f>
        <v>-1.250336629092448E-3</v>
      </c>
    </row>
    <row r="1420" spans="1:10" ht="15.75" thickBot="1" x14ac:dyDescent="0.3">
      <c r="A1420" s="14">
        <v>43033</v>
      </c>
      <c r="B1420" s="15">
        <v>43033</v>
      </c>
      <c r="C1420" s="16">
        <v>874105</v>
      </c>
      <c r="D1420" s="10">
        <f>PrincipalesVariables[[#This Row],[Base monetaria]]/1000000</f>
        <v>0.87410500000000002</v>
      </c>
      <c r="E1420" s="10">
        <v>17.45</v>
      </c>
      <c r="F1420" s="11">
        <v>51884</v>
      </c>
      <c r="H1420" s="12">
        <f>(PrincipalesVariables[[#This Row],[Base monetaria]]-C1419)/C1419</f>
        <v>-1.2634278033186865E-2</v>
      </c>
      <c r="I1420" s="12">
        <f>(PrincipalesVariables[[#This Row],[Dólar  mayorista]]-E1419)/E1419</f>
        <v>-2.8571428571428979E-3</v>
      </c>
      <c r="J1420" s="12">
        <f>(PrincipalesVariables[[#This Row],[Reservas internacionales]]-F1419)/F1419</f>
        <v>-7.1262109743649006E-4</v>
      </c>
    </row>
    <row r="1421" spans="1:10" ht="15.75" thickBot="1" x14ac:dyDescent="0.3">
      <c r="A1421" s="14">
        <v>43034</v>
      </c>
      <c r="B1421" s="15">
        <v>43034</v>
      </c>
      <c r="C1421" s="16">
        <v>869971</v>
      </c>
      <c r="D1421" s="10">
        <f>PrincipalesVariables[[#This Row],[Base monetaria]]/1000000</f>
        <v>0.86997100000000005</v>
      </c>
      <c r="E1421" s="10">
        <v>17.53</v>
      </c>
      <c r="F1421" s="11">
        <v>51864</v>
      </c>
      <c r="H1421" s="12">
        <f>(PrincipalesVariables[[#This Row],[Base monetaria]]-C1420)/C1420</f>
        <v>-4.7294089382854459E-3</v>
      </c>
      <c r="I1421" s="12">
        <f>(PrincipalesVariables[[#This Row],[Dólar  mayorista]]-E1420)/E1420</f>
        <v>4.5845272206304789E-3</v>
      </c>
      <c r="J1421" s="12">
        <f>(PrincipalesVariables[[#This Row],[Reservas internacionales]]-F1420)/F1420</f>
        <v>-3.8547529103384473E-4</v>
      </c>
    </row>
    <row r="1422" spans="1:10" ht="15.75" thickBot="1" x14ac:dyDescent="0.3">
      <c r="A1422" s="14">
        <v>43035</v>
      </c>
      <c r="B1422" s="15">
        <v>43035</v>
      </c>
      <c r="C1422" s="16">
        <v>895482</v>
      </c>
      <c r="D1422" s="10">
        <f>PrincipalesVariables[[#This Row],[Base monetaria]]/1000000</f>
        <v>0.895482</v>
      </c>
      <c r="E1422" s="10">
        <v>17.68</v>
      </c>
      <c r="F1422" s="11">
        <v>51903</v>
      </c>
      <c r="H1422" s="12">
        <f>(PrincipalesVariables[[#This Row],[Base monetaria]]-C1421)/C1421</f>
        <v>2.9323965971279502E-2</v>
      </c>
      <c r="I1422" s="12">
        <f>(PrincipalesVariables[[#This Row],[Dólar  mayorista]]-E1421)/E1421</f>
        <v>8.5567598402737349E-3</v>
      </c>
      <c r="J1422" s="12">
        <f>(PrincipalesVariables[[#This Row],[Reservas internacionales]]-F1421)/F1421</f>
        <v>7.5196668209162425E-4</v>
      </c>
    </row>
    <row r="1423" spans="1:10" ht="15.75" thickBot="1" x14ac:dyDescent="0.3">
      <c r="A1423" s="14">
        <v>43038</v>
      </c>
      <c r="B1423" s="15">
        <v>43038</v>
      </c>
      <c r="C1423" s="16">
        <v>881242</v>
      </c>
      <c r="D1423" s="10">
        <f>PrincipalesVariables[[#This Row],[Base monetaria]]/1000000</f>
        <v>0.88124199999999997</v>
      </c>
      <c r="E1423" s="10">
        <v>17.66</v>
      </c>
      <c r="F1423" s="11">
        <v>51995</v>
      </c>
      <c r="H1423" s="12">
        <f>(PrincipalesVariables[[#This Row],[Base monetaria]]-C1422)/C1422</f>
        <v>-1.5902050515811596E-2</v>
      </c>
      <c r="I1423" s="12">
        <f>(PrincipalesVariables[[#This Row],[Dólar  mayorista]]-E1422)/E1422</f>
        <v>-1.1312217194569894E-3</v>
      </c>
      <c r="J1423" s="12">
        <f>(PrincipalesVariables[[#This Row],[Reservas internacionales]]-F1422)/F1422</f>
        <v>1.7725372329152457E-3</v>
      </c>
    </row>
    <row r="1424" spans="1:10" ht="15.75" thickBot="1" x14ac:dyDescent="0.3">
      <c r="A1424" s="14">
        <v>43039</v>
      </c>
      <c r="B1424" s="15">
        <v>43039</v>
      </c>
      <c r="C1424" s="16">
        <v>870104</v>
      </c>
      <c r="D1424" s="10">
        <f>PrincipalesVariables[[#This Row],[Base monetaria]]/1000000</f>
        <v>0.87010399999999999</v>
      </c>
      <c r="E1424" s="10">
        <v>17.670000000000002</v>
      </c>
      <c r="F1424" s="11">
        <v>51810</v>
      </c>
      <c r="H1424" s="12">
        <f>(PrincipalesVariables[[#This Row],[Base monetaria]]-C1423)/C1423</f>
        <v>-1.2638979985066532E-2</v>
      </c>
      <c r="I1424" s="12">
        <f>(PrincipalesVariables[[#This Row],[Dólar  mayorista]]-E1423)/E1423</f>
        <v>5.6625141562862758E-4</v>
      </c>
      <c r="J1424" s="12">
        <f>(PrincipalesVariables[[#This Row],[Reservas internacionales]]-F1423)/F1423</f>
        <v>-3.5580344263871524E-3</v>
      </c>
    </row>
    <row r="1425" spans="1:10" ht="15.75" thickBot="1" x14ac:dyDescent="0.3">
      <c r="A1425" s="14">
        <v>43040</v>
      </c>
      <c r="B1425" s="15">
        <v>43040</v>
      </c>
      <c r="C1425" s="16">
        <v>906649</v>
      </c>
      <c r="D1425" s="10">
        <f>PrincipalesVariables[[#This Row],[Base monetaria]]/1000000</f>
        <v>0.90664900000000004</v>
      </c>
      <c r="E1425" s="10">
        <v>17.649999999999999</v>
      </c>
      <c r="F1425" s="11">
        <v>52124</v>
      </c>
      <c r="H1425" s="12">
        <f>(PrincipalesVariables[[#This Row],[Base monetaria]]-C1424)/C1424</f>
        <v>4.2000726349953568E-2</v>
      </c>
      <c r="I1425" s="12">
        <f>(PrincipalesVariables[[#This Row],[Dólar  mayorista]]-E1424)/E1424</f>
        <v>-1.1318619128468095E-3</v>
      </c>
      <c r="J1425" s="12">
        <f>(PrincipalesVariables[[#This Row],[Reservas internacionales]]-F1424)/F1424</f>
        <v>6.0606060606060606E-3</v>
      </c>
    </row>
    <row r="1426" spans="1:10" ht="15.75" thickBot="1" x14ac:dyDescent="0.3">
      <c r="A1426" s="14">
        <v>43041</v>
      </c>
      <c r="B1426" s="15">
        <v>43041</v>
      </c>
      <c r="C1426" s="16">
        <v>919768</v>
      </c>
      <c r="D1426" s="10">
        <f>PrincipalesVariables[[#This Row],[Base monetaria]]/1000000</f>
        <v>0.91976800000000003</v>
      </c>
      <c r="E1426" s="10">
        <v>17.57</v>
      </c>
      <c r="F1426" s="11">
        <v>52210</v>
      </c>
      <c r="H1426" s="12">
        <f>(PrincipalesVariables[[#This Row],[Base monetaria]]-C1425)/C1425</f>
        <v>1.4469767241788167E-2</v>
      </c>
      <c r="I1426" s="12">
        <f>(PrincipalesVariables[[#This Row],[Dólar  mayorista]]-E1425)/E1425</f>
        <v>-4.532577903682623E-3</v>
      </c>
      <c r="J1426" s="12">
        <f>(PrincipalesVariables[[#This Row],[Reservas internacionales]]-F1425)/F1425</f>
        <v>1.6499117489064538E-3</v>
      </c>
    </row>
    <row r="1427" spans="1:10" ht="15.75" thickBot="1" x14ac:dyDescent="0.3">
      <c r="A1427" s="14">
        <v>43042</v>
      </c>
      <c r="B1427" s="15">
        <v>43042</v>
      </c>
      <c r="C1427" s="16">
        <v>917840</v>
      </c>
      <c r="D1427" s="10">
        <f>PrincipalesVariables[[#This Row],[Base monetaria]]/1000000</f>
        <v>0.91783999999999999</v>
      </c>
      <c r="E1427" s="10">
        <v>17.559999999999999</v>
      </c>
      <c r="F1427" s="11">
        <v>52066</v>
      </c>
      <c r="H1427" s="12">
        <f>(PrincipalesVariables[[#This Row],[Base monetaria]]-C1426)/C1426</f>
        <v>-2.0961807760217794E-3</v>
      </c>
      <c r="I1427" s="12">
        <f>(PrincipalesVariables[[#This Row],[Dólar  mayorista]]-E1426)/E1426</f>
        <v>-5.6915196357436326E-4</v>
      </c>
      <c r="J1427" s="12">
        <f>(PrincipalesVariables[[#This Row],[Reservas internacionales]]-F1426)/F1426</f>
        <v>-2.7580923194790272E-3</v>
      </c>
    </row>
    <row r="1428" spans="1:10" ht="15.75" thickBot="1" x14ac:dyDescent="0.3">
      <c r="A1428" s="14">
        <v>43046</v>
      </c>
      <c r="B1428" s="15">
        <v>43046</v>
      </c>
      <c r="C1428" s="16">
        <v>917895</v>
      </c>
      <c r="D1428" s="10">
        <f>PrincipalesVariables[[#This Row],[Base monetaria]]/1000000</f>
        <v>0.91789500000000002</v>
      </c>
      <c r="E1428" s="10">
        <v>17.670000000000002</v>
      </c>
      <c r="F1428" s="11">
        <v>51563</v>
      </c>
      <c r="H1428" s="12">
        <f>(PrincipalesVariables[[#This Row],[Base monetaria]]-C1427)/C1427</f>
        <v>5.9923298178331732E-5</v>
      </c>
      <c r="I1428" s="12">
        <f>(PrincipalesVariables[[#This Row],[Dólar  mayorista]]-E1427)/E1427</f>
        <v>6.2642369020502846E-3</v>
      </c>
      <c r="J1428" s="12">
        <f>(PrincipalesVariables[[#This Row],[Reservas internacionales]]-F1427)/F1427</f>
        <v>-9.6608151192716929E-3</v>
      </c>
    </row>
    <row r="1429" spans="1:10" ht="15.75" thickBot="1" x14ac:dyDescent="0.3">
      <c r="A1429" s="14">
        <v>43047</v>
      </c>
      <c r="B1429" s="15">
        <v>43047</v>
      </c>
      <c r="C1429" s="16">
        <v>915529</v>
      </c>
      <c r="D1429" s="10">
        <f>PrincipalesVariables[[#This Row],[Base monetaria]]/1000000</f>
        <v>0.91552900000000004</v>
      </c>
      <c r="E1429" s="10">
        <v>17.559999999999999</v>
      </c>
      <c r="F1429" s="11">
        <v>51599</v>
      </c>
      <c r="H1429" s="12">
        <f>(PrincipalesVariables[[#This Row],[Base monetaria]]-C1428)/C1428</f>
        <v>-2.5776368756775013E-3</v>
      </c>
      <c r="I1429" s="12">
        <f>(PrincipalesVariables[[#This Row],[Dólar  mayorista]]-E1428)/E1428</f>
        <v>-6.2252405206566479E-3</v>
      </c>
      <c r="J1429" s="12">
        <f>(PrincipalesVariables[[#This Row],[Reservas internacionales]]-F1428)/F1428</f>
        <v>6.9817504799953457E-4</v>
      </c>
    </row>
    <row r="1430" spans="1:10" ht="15.75" thickBot="1" x14ac:dyDescent="0.3">
      <c r="A1430" s="14">
        <v>43048</v>
      </c>
      <c r="B1430" s="15">
        <v>43048</v>
      </c>
      <c r="C1430" s="16">
        <v>918735</v>
      </c>
      <c r="D1430" s="10">
        <f>PrincipalesVariables[[#This Row],[Base monetaria]]/1000000</f>
        <v>0.91873499999999997</v>
      </c>
      <c r="E1430" s="10">
        <v>17.54</v>
      </c>
      <c r="F1430" s="11">
        <v>54748</v>
      </c>
      <c r="H1430" s="12">
        <f>(PrincipalesVariables[[#This Row],[Base monetaria]]-C1429)/C1429</f>
        <v>3.5018005983425975E-3</v>
      </c>
      <c r="I1430" s="12">
        <f>(PrincipalesVariables[[#This Row],[Dólar  mayorista]]-E1429)/E1429</f>
        <v>-1.1389521640090875E-3</v>
      </c>
      <c r="J1430" s="12">
        <f>(PrincipalesVariables[[#This Row],[Reservas internacionales]]-F1429)/F1429</f>
        <v>6.1028314502219037E-2</v>
      </c>
    </row>
    <row r="1431" spans="1:10" ht="15.75" thickBot="1" x14ac:dyDescent="0.3">
      <c r="A1431" s="14">
        <v>43049</v>
      </c>
      <c r="B1431" s="15">
        <v>43049</v>
      </c>
      <c r="C1431" s="16">
        <v>912694</v>
      </c>
      <c r="D1431" s="10">
        <f>PrincipalesVariables[[#This Row],[Base monetaria]]/1000000</f>
        <v>0.91269400000000001</v>
      </c>
      <c r="E1431" s="10">
        <v>17.52</v>
      </c>
      <c r="F1431" s="11">
        <v>54730</v>
      </c>
      <c r="H1431" s="12">
        <f>(PrincipalesVariables[[#This Row],[Base monetaria]]-C1430)/C1430</f>
        <v>-6.5753454478168355E-3</v>
      </c>
      <c r="I1431" s="12">
        <f>(PrincipalesVariables[[#This Row],[Dólar  mayorista]]-E1430)/E1430</f>
        <v>-1.1402508551881171E-3</v>
      </c>
      <c r="J1431" s="12">
        <f>(PrincipalesVariables[[#This Row],[Reservas internacionales]]-F1430)/F1430</f>
        <v>-3.2877913348432821E-4</v>
      </c>
    </row>
    <row r="1432" spans="1:10" ht="15.75" thickBot="1" x14ac:dyDescent="0.3">
      <c r="A1432" s="14">
        <v>43052</v>
      </c>
      <c r="B1432" s="15">
        <v>43052</v>
      </c>
      <c r="C1432" s="16">
        <v>905592</v>
      </c>
      <c r="D1432" s="10">
        <f>PrincipalesVariables[[#This Row],[Base monetaria]]/1000000</f>
        <v>0.90559199999999995</v>
      </c>
      <c r="E1432" s="10">
        <v>17.54</v>
      </c>
      <c r="F1432" s="11">
        <v>54750</v>
      </c>
      <c r="H1432" s="12">
        <f>(PrincipalesVariables[[#This Row],[Base monetaria]]-C1431)/C1431</f>
        <v>-7.7813593603113422E-3</v>
      </c>
      <c r="I1432" s="12">
        <f>(PrincipalesVariables[[#This Row],[Dólar  mayorista]]-E1431)/E1431</f>
        <v>1.1415525114155008E-3</v>
      </c>
      <c r="J1432" s="12">
        <f>(PrincipalesVariables[[#This Row],[Reservas internacionales]]-F1431)/F1431</f>
        <v>3.6543029417138682E-4</v>
      </c>
    </row>
    <row r="1433" spans="1:10" ht="15.75" thickBot="1" x14ac:dyDescent="0.3">
      <c r="A1433" s="14">
        <v>43053</v>
      </c>
      <c r="B1433" s="15">
        <v>43053</v>
      </c>
      <c r="C1433" s="16">
        <v>898104</v>
      </c>
      <c r="D1433" s="10">
        <f>PrincipalesVariables[[#This Row],[Base monetaria]]/1000000</f>
        <v>0.89810400000000001</v>
      </c>
      <c r="E1433" s="10">
        <v>17.489999999999998</v>
      </c>
      <c r="F1433" s="11">
        <v>54746</v>
      </c>
      <c r="H1433" s="12">
        <f>(PrincipalesVariables[[#This Row],[Base monetaria]]-C1432)/C1432</f>
        <v>-8.2686242811332248E-3</v>
      </c>
      <c r="I1433" s="12">
        <f>(PrincipalesVariables[[#This Row],[Dólar  mayorista]]-E1432)/E1432</f>
        <v>-2.8506271379703943E-3</v>
      </c>
      <c r="J1433" s="12">
        <f>(PrincipalesVariables[[#This Row],[Reservas internacionales]]-F1432)/F1432</f>
        <v>-7.3059360730593609E-5</v>
      </c>
    </row>
    <row r="1434" spans="1:10" ht="15.75" thickBot="1" x14ac:dyDescent="0.3">
      <c r="A1434" s="14">
        <v>43054</v>
      </c>
      <c r="B1434" s="15">
        <v>43054</v>
      </c>
      <c r="C1434" s="16">
        <v>932528</v>
      </c>
      <c r="D1434" s="10">
        <f>PrincipalesVariables[[#This Row],[Base monetaria]]/1000000</f>
        <v>0.93252800000000002</v>
      </c>
      <c r="E1434" s="10">
        <v>17.53</v>
      </c>
      <c r="F1434" s="11">
        <v>54653</v>
      </c>
      <c r="H1434" s="12">
        <f>(PrincipalesVariables[[#This Row],[Base monetaria]]-C1433)/C1433</f>
        <v>3.8329636656779173E-2</v>
      </c>
      <c r="I1434" s="12">
        <f>(PrincipalesVariables[[#This Row],[Dólar  mayorista]]-E1433)/E1433</f>
        <v>2.287021154945838E-3</v>
      </c>
      <c r="J1434" s="12">
        <f>(PrincipalesVariables[[#This Row],[Reservas internacionales]]-F1433)/F1433</f>
        <v>-1.6987542468856172E-3</v>
      </c>
    </row>
    <row r="1435" spans="1:10" ht="15.75" thickBot="1" x14ac:dyDescent="0.3">
      <c r="A1435" s="14">
        <v>43055</v>
      </c>
      <c r="B1435" s="15">
        <v>43055</v>
      </c>
      <c r="C1435" s="16">
        <v>900986</v>
      </c>
      <c r="D1435" s="10">
        <f>PrincipalesVariables[[#This Row],[Base monetaria]]/1000000</f>
        <v>0.90098599999999995</v>
      </c>
      <c r="E1435" s="10">
        <v>17.489999999999998</v>
      </c>
      <c r="F1435" s="11">
        <v>54571</v>
      </c>
      <c r="H1435" s="12">
        <f>(PrincipalesVariables[[#This Row],[Base monetaria]]-C1434)/C1434</f>
        <v>-3.3824185440008238E-2</v>
      </c>
      <c r="I1435" s="12">
        <f>(PrincipalesVariables[[#This Row],[Dólar  mayorista]]-E1434)/E1434</f>
        <v>-2.2818026240731715E-3</v>
      </c>
      <c r="J1435" s="12">
        <f>(PrincipalesVariables[[#This Row],[Reservas internacionales]]-F1434)/F1434</f>
        <v>-1.5003750937734434E-3</v>
      </c>
    </row>
    <row r="1436" spans="1:10" ht="15.75" thickBot="1" x14ac:dyDescent="0.3">
      <c r="A1436" s="14">
        <v>43056</v>
      </c>
      <c r="B1436" s="15">
        <v>43056</v>
      </c>
      <c r="C1436" s="16">
        <v>884329</v>
      </c>
      <c r="D1436" s="10">
        <f>PrincipalesVariables[[#This Row],[Base monetaria]]/1000000</f>
        <v>0.88432900000000003</v>
      </c>
      <c r="E1436" s="10">
        <v>17.489999999999998</v>
      </c>
      <c r="F1436" s="11">
        <v>54503</v>
      </c>
      <c r="H1436" s="12">
        <f>(PrincipalesVariables[[#This Row],[Base monetaria]]-C1435)/C1435</f>
        <v>-1.848752366851427E-2</v>
      </c>
      <c r="I1436" s="12">
        <f>(PrincipalesVariables[[#This Row],[Dólar  mayorista]]-E1435)/E1435</f>
        <v>0</v>
      </c>
      <c r="J1436" s="12">
        <f>(PrincipalesVariables[[#This Row],[Reservas internacionales]]-F1435)/F1435</f>
        <v>-1.2460830844221291E-3</v>
      </c>
    </row>
    <row r="1437" spans="1:10" ht="15.75" thickBot="1" x14ac:dyDescent="0.3">
      <c r="A1437" s="14">
        <v>43060</v>
      </c>
      <c r="B1437" s="15">
        <v>43060</v>
      </c>
      <c r="C1437" s="16">
        <v>893222</v>
      </c>
      <c r="D1437" s="10">
        <f>PrincipalesVariables[[#This Row],[Base monetaria]]/1000000</f>
        <v>0.89322199999999996</v>
      </c>
      <c r="E1437" s="10">
        <v>17.510000000000002</v>
      </c>
      <c r="F1437" s="11">
        <v>54599</v>
      </c>
      <c r="H1437" s="12">
        <f>(PrincipalesVariables[[#This Row],[Base monetaria]]-C1436)/C1436</f>
        <v>1.0056212111103446E-2</v>
      </c>
      <c r="I1437" s="12">
        <f>(PrincipalesVariables[[#This Row],[Dólar  mayorista]]-E1436)/E1436</f>
        <v>1.1435105774730205E-3</v>
      </c>
      <c r="J1437" s="12">
        <f>(PrincipalesVariables[[#This Row],[Reservas internacionales]]-F1436)/F1436</f>
        <v>1.761370933710071E-3</v>
      </c>
    </row>
    <row r="1438" spans="1:10" ht="15.75" thickBot="1" x14ac:dyDescent="0.3">
      <c r="A1438" s="14">
        <v>43061</v>
      </c>
      <c r="B1438" s="15">
        <v>43061</v>
      </c>
      <c r="C1438" s="16">
        <v>901952</v>
      </c>
      <c r="D1438" s="10">
        <f>PrincipalesVariables[[#This Row],[Base monetaria]]/1000000</f>
        <v>0.90195199999999998</v>
      </c>
      <c r="E1438" s="10">
        <v>17.47</v>
      </c>
      <c r="F1438" s="11">
        <v>55004</v>
      </c>
      <c r="H1438" s="12">
        <f>(PrincipalesVariables[[#This Row],[Base monetaria]]-C1437)/C1437</f>
        <v>9.7736061135977395E-3</v>
      </c>
      <c r="I1438" s="12">
        <f>(PrincipalesVariables[[#This Row],[Dólar  mayorista]]-E1437)/E1437</f>
        <v>-2.2844089091948998E-3</v>
      </c>
      <c r="J1438" s="12">
        <f>(PrincipalesVariables[[#This Row],[Reservas internacionales]]-F1437)/F1437</f>
        <v>7.417718273228447E-3</v>
      </c>
    </row>
    <row r="1439" spans="1:10" ht="15.75" thickBot="1" x14ac:dyDescent="0.3">
      <c r="A1439" s="14">
        <v>43062</v>
      </c>
      <c r="B1439" s="15">
        <v>43062</v>
      </c>
      <c r="C1439" s="16">
        <v>905977</v>
      </c>
      <c r="D1439" s="10">
        <f>PrincipalesVariables[[#This Row],[Base monetaria]]/1000000</f>
        <v>0.90597700000000003</v>
      </c>
      <c r="E1439" s="10">
        <v>17.420000000000002</v>
      </c>
      <c r="F1439" s="11">
        <v>54928</v>
      </c>
      <c r="H1439" s="12">
        <f>(PrincipalesVariables[[#This Row],[Base monetaria]]-C1438)/C1438</f>
        <v>4.4625434612928401E-3</v>
      </c>
      <c r="I1439" s="12">
        <f>(PrincipalesVariables[[#This Row],[Dólar  mayorista]]-E1438)/E1438</f>
        <v>-2.862049227246546E-3</v>
      </c>
      <c r="J1439" s="12">
        <f>(PrincipalesVariables[[#This Row],[Reservas internacionales]]-F1438)/F1438</f>
        <v>-1.381717693258672E-3</v>
      </c>
    </row>
    <row r="1440" spans="1:10" ht="15.75" thickBot="1" x14ac:dyDescent="0.3">
      <c r="A1440" s="14">
        <v>43063</v>
      </c>
      <c r="B1440" s="15">
        <v>43063</v>
      </c>
      <c r="C1440" s="16">
        <v>920645</v>
      </c>
      <c r="D1440" s="10">
        <f>PrincipalesVariables[[#This Row],[Base monetaria]]/1000000</f>
        <v>0.92064500000000005</v>
      </c>
      <c r="E1440" s="10">
        <v>17.37</v>
      </c>
      <c r="F1440" s="11">
        <v>54968</v>
      </c>
      <c r="H1440" s="12">
        <f>(PrincipalesVariables[[#This Row],[Base monetaria]]-C1439)/C1439</f>
        <v>1.6190256485539921E-2</v>
      </c>
      <c r="I1440" s="12">
        <f>(PrincipalesVariables[[#This Row],[Dólar  mayorista]]-E1439)/E1439</f>
        <v>-2.8702640642939556E-3</v>
      </c>
      <c r="J1440" s="12">
        <f>(PrincipalesVariables[[#This Row],[Reservas internacionales]]-F1439)/F1439</f>
        <v>7.2822604136323912E-4</v>
      </c>
    </row>
    <row r="1441" spans="1:10" ht="15.75" thickBot="1" x14ac:dyDescent="0.3">
      <c r="A1441" s="14">
        <v>43066</v>
      </c>
      <c r="B1441" s="15">
        <v>43066</v>
      </c>
      <c r="C1441" s="16">
        <v>902242</v>
      </c>
      <c r="D1441" s="10">
        <f>PrincipalesVariables[[#This Row],[Base monetaria]]/1000000</f>
        <v>0.90224199999999999</v>
      </c>
      <c r="E1441" s="10">
        <v>17.329999999999998</v>
      </c>
      <c r="F1441" s="11">
        <v>54919</v>
      </c>
      <c r="H1441" s="12">
        <f>(PrincipalesVariables[[#This Row],[Base monetaria]]-C1440)/C1440</f>
        <v>-1.9989246669454567E-2</v>
      </c>
      <c r="I1441" s="12">
        <f>(PrincipalesVariables[[#This Row],[Dólar  mayorista]]-E1440)/E1440</f>
        <v>-2.302820955670852E-3</v>
      </c>
      <c r="J1441" s="12">
        <f>(PrincipalesVariables[[#This Row],[Reservas internacionales]]-F1440)/F1440</f>
        <v>-8.9142773977586955E-4</v>
      </c>
    </row>
    <row r="1442" spans="1:10" ht="15.75" thickBot="1" x14ac:dyDescent="0.3">
      <c r="A1442" s="14">
        <v>43067</v>
      </c>
      <c r="B1442" s="15">
        <v>43067</v>
      </c>
      <c r="C1442" s="16">
        <v>890630</v>
      </c>
      <c r="D1442" s="10">
        <f>PrincipalesVariables[[#This Row],[Base monetaria]]/1000000</f>
        <v>0.89063000000000003</v>
      </c>
      <c r="E1442" s="10">
        <v>17.329999999999998</v>
      </c>
      <c r="F1442" s="11">
        <v>54764</v>
      </c>
      <c r="H1442" s="12">
        <f>(PrincipalesVariables[[#This Row],[Base monetaria]]-C1441)/C1441</f>
        <v>-1.2870161220603785E-2</v>
      </c>
      <c r="I1442" s="12">
        <f>(PrincipalesVariables[[#This Row],[Dólar  mayorista]]-E1441)/E1441</f>
        <v>0</v>
      </c>
      <c r="J1442" s="12">
        <f>(PrincipalesVariables[[#This Row],[Reservas internacionales]]-F1441)/F1441</f>
        <v>-2.8223383528469198E-3</v>
      </c>
    </row>
    <row r="1443" spans="1:10" ht="15.75" thickBot="1" x14ac:dyDescent="0.3">
      <c r="A1443" s="14">
        <v>43068</v>
      </c>
      <c r="B1443" s="15">
        <v>43068</v>
      </c>
      <c r="C1443" s="16">
        <v>895668</v>
      </c>
      <c r="D1443" s="10">
        <f>PrincipalesVariables[[#This Row],[Base monetaria]]/1000000</f>
        <v>0.89566800000000002</v>
      </c>
      <c r="E1443" s="10">
        <v>17.420000000000002</v>
      </c>
      <c r="F1443" s="11">
        <v>54662</v>
      </c>
      <c r="H1443" s="12">
        <f>(PrincipalesVariables[[#This Row],[Base monetaria]]-C1442)/C1442</f>
        <v>5.6566699976421187E-3</v>
      </c>
      <c r="I1443" s="12">
        <f>(PrincipalesVariables[[#This Row],[Dólar  mayorista]]-E1442)/E1442</f>
        <v>5.1933064050780969E-3</v>
      </c>
      <c r="J1443" s="12">
        <f>(PrincipalesVariables[[#This Row],[Reservas internacionales]]-F1442)/F1442</f>
        <v>-1.8625374333503762E-3</v>
      </c>
    </row>
    <row r="1444" spans="1:10" ht="15.75" thickBot="1" x14ac:dyDescent="0.3">
      <c r="A1444" s="14">
        <v>43069</v>
      </c>
      <c r="B1444" s="15">
        <v>43069</v>
      </c>
      <c r="C1444" s="16">
        <v>880313</v>
      </c>
      <c r="D1444" s="10">
        <f>PrincipalesVariables[[#This Row],[Base monetaria]]/1000000</f>
        <v>0.88031300000000001</v>
      </c>
      <c r="E1444" s="10">
        <v>17.38</v>
      </c>
      <c r="F1444" s="11">
        <v>54563</v>
      </c>
      <c r="H1444" s="12">
        <f>(PrincipalesVariables[[#This Row],[Base monetaria]]-C1443)/C1443</f>
        <v>-1.7143629112572962E-2</v>
      </c>
      <c r="I1444" s="12">
        <f>(PrincipalesVariables[[#This Row],[Dólar  mayorista]]-E1443)/E1443</f>
        <v>-2.2962112514352869E-3</v>
      </c>
      <c r="J1444" s="12">
        <f>(PrincipalesVariables[[#This Row],[Reservas internacionales]]-F1443)/F1443</f>
        <v>-1.8111302184332808E-3</v>
      </c>
    </row>
    <row r="1445" spans="1:10" ht="15.75" thickBot="1" x14ac:dyDescent="0.3">
      <c r="A1445" s="14">
        <v>43070</v>
      </c>
      <c r="B1445" s="15">
        <v>43070</v>
      </c>
      <c r="C1445" s="16">
        <v>931301</v>
      </c>
      <c r="D1445" s="10">
        <f>PrincipalesVariables[[#This Row],[Base monetaria]]/1000000</f>
        <v>0.93130100000000005</v>
      </c>
      <c r="E1445" s="10">
        <v>17.260000000000002</v>
      </c>
      <c r="F1445" s="11">
        <v>54905</v>
      </c>
      <c r="H1445" s="12">
        <f>(PrincipalesVariables[[#This Row],[Base monetaria]]-C1444)/C1444</f>
        <v>5.7920307890488951E-2</v>
      </c>
      <c r="I1445" s="12">
        <f>(PrincipalesVariables[[#This Row],[Dólar  mayorista]]-E1444)/E1444</f>
        <v>-6.904487917145998E-3</v>
      </c>
      <c r="J1445" s="12">
        <f>(PrincipalesVariables[[#This Row],[Reservas internacionales]]-F1444)/F1444</f>
        <v>6.267983798544801E-3</v>
      </c>
    </row>
    <row r="1446" spans="1:10" ht="15.75" thickBot="1" x14ac:dyDescent="0.3">
      <c r="A1446" s="14">
        <v>43073</v>
      </c>
      <c r="B1446" s="15">
        <v>43073</v>
      </c>
      <c r="C1446" s="16">
        <v>932681</v>
      </c>
      <c r="D1446" s="10">
        <f>PrincipalesVariables[[#This Row],[Base monetaria]]/1000000</f>
        <v>0.93268099999999998</v>
      </c>
      <c r="E1446" s="10">
        <v>17.260000000000002</v>
      </c>
      <c r="F1446" s="11">
        <v>54849</v>
      </c>
      <c r="H1446" s="12">
        <f>(PrincipalesVariables[[#This Row],[Base monetaria]]-C1445)/C1445</f>
        <v>1.4817980438118288E-3</v>
      </c>
      <c r="I1446" s="12">
        <f>(PrincipalesVariables[[#This Row],[Dólar  mayorista]]-E1445)/E1445</f>
        <v>0</v>
      </c>
      <c r="J1446" s="12">
        <f>(PrincipalesVariables[[#This Row],[Reservas internacionales]]-F1445)/F1445</f>
        <v>-1.0199435388398143E-3</v>
      </c>
    </row>
    <row r="1447" spans="1:10" ht="15.75" thickBot="1" x14ac:dyDescent="0.3">
      <c r="A1447" s="14">
        <v>43074</v>
      </c>
      <c r="B1447" s="15">
        <v>43074</v>
      </c>
      <c r="C1447" s="16">
        <v>937979</v>
      </c>
      <c r="D1447" s="10">
        <f>PrincipalesVariables[[#This Row],[Base monetaria]]/1000000</f>
        <v>0.93797900000000001</v>
      </c>
      <c r="E1447" s="10">
        <v>17.350000000000001</v>
      </c>
      <c r="F1447" s="11">
        <v>54749</v>
      </c>
      <c r="H1447" s="12">
        <f>(PrincipalesVariables[[#This Row],[Base monetaria]]-C1446)/C1446</f>
        <v>5.6803987644221338E-3</v>
      </c>
      <c r="I1447" s="12">
        <f>(PrincipalesVariables[[#This Row],[Dólar  mayorista]]-E1446)/E1446</f>
        <v>5.2143684820393889E-3</v>
      </c>
      <c r="J1447" s="12">
        <f>(PrincipalesVariables[[#This Row],[Reservas internacionales]]-F1446)/F1446</f>
        <v>-1.8231872960309213E-3</v>
      </c>
    </row>
    <row r="1448" spans="1:10" ht="15.75" thickBot="1" x14ac:dyDescent="0.3">
      <c r="A1448" s="14">
        <v>43075</v>
      </c>
      <c r="B1448" s="15">
        <v>43075</v>
      </c>
      <c r="C1448" s="16">
        <v>937721</v>
      </c>
      <c r="D1448" s="10">
        <f>PrincipalesVariables[[#This Row],[Base monetaria]]/1000000</f>
        <v>0.93772100000000003</v>
      </c>
      <c r="E1448" s="10">
        <v>17.29</v>
      </c>
      <c r="F1448" s="11">
        <v>54816</v>
      </c>
      <c r="H1448" s="12">
        <f>(PrincipalesVariables[[#This Row],[Base monetaria]]-C1447)/C1447</f>
        <v>-2.7505946295172922E-4</v>
      </c>
      <c r="I1448" s="12">
        <f>(PrincipalesVariables[[#This Row],[Dólar  mayorista]]-E1447)/E1447</f>
        <v>-3.4582132564842808E-3</v>
      </c>
      <c r="J1448" s="12">
        <f>(PrincipalesVariables[[#This Row],[Reservas internacionales]]-F1447)/F1447</f>
        <v>1.2237666441396191E-3</v>
      </c>
    </row>
    <row r="1449" spans="1:10" ht="15.75" thickBot="1" x14ac:dyDescent="0.3">
      <c r="A1449" s="14">
        <v>43076</v>
      </c>
      <c r="B1449" s="15">
        <v>43076</v>
      </c>
      <c r="C1449" s="16">
        <v>947103</v>
      </c>
      <c r="D1449" s="10">
        <f>PrincipalesVariables[[#This Row],[Base monetaria]]/1000000</f>
        <v>0.94710300000000003</v>
      </c>
      <c r="E1449" s="10">
        <v>17.309999999999999</v>
      </c>
      <c r="F1449" s="11">
        <v>55163</v>
      </c>
      <c r="H1449" s="12">
        <f>(PrincipalesVariables[[#This Row],[Base monetaria]]-C1448)/C1448</f>
        <v>1.0005108129177015E-2</v>
      </c>
      <c r="I1449" s="12">
        <f>(PrincipalesVariables[[#This Row],[Dólar  mayorista]]-E1448)/E1448</f>
        <v>1.1567379988432374E-3</v>
      </c>
      <c r="J1449" s="12">
        <f>(PrincipalesVariables[[#This Row],[Reservas internacionales]]-F1448)/F1448</f>
        <v>6.3302685347343844E-3</v>
      </c>
    </row>
    <row r="1450" spans="1:10" ht="15.75" thickBot="1" x14ac:dyDescent="0.3">
      <c r="A1450" s="14">
        <v>43080</v>
      </c>
      <c r="B1450" s="15">
        <v>43080</v>
      </c>
      <c r="C1450" s="16">
        <v>948193</v>
      </c>
      <c r="D1450" s="10">
        <f>PrincipalesVariables[[#This Row],[Base monetaria]]/1000000</f>
        <v>0.94819299999999995</v>
      </c>
      <c r="E1450" s="10">
        <v>17.27</v>
      </c>
      <c r="F1450" s="11">
        <v>55300</v>
      </c>
      <c r="H1450" s="12">
        <f>(PrincipalesVariables[[#This Row],[Base monetaria]]-C1449)/C1449</f>
        <v>1.1508779932066524E-3</v>
      </c>
      <c r="I1450" s="12">
        <f>(PrincipalesVariables[[#This Row],[Dólar  mayorista]]-E1449)/E1449</f>
        <v>-2.3108030040438561E-3</v>
      </c>
      <c r="J1450" s="12">
        <f>(PrincipalesVariables[[#This Row],[Reservas internacionales]]-F1449)/F1449</f>
        <v>2.4835487555064082E-3</v>
      </c>
    </row>
    <row r="1451" spans="1:10" ht="15.75" thickBot="1" x14ac:dyDescent="0.3">
      <c r="A1451" s="14">
        <v>43081</v>
      </c>
      <c r="B1451" s="15">
        <v>43081</v>
      </c>
      <c r="C1451" s="16">
        <v>954030</v>
      </c>
      <c r="D1451" s="10">
        <f>PrincipalesVariables[[#This Row],[Base monetaria]]/1000000</f>
        <v>0.95403000000000004</v>
      </c>
      <c r="E1451" s="10">
        <v>17.260000000000002</v>
      </c>
      <c r="F1451" s="11">
        <v>55308</v>
      </c>
      <c r="H1451" s="12">
        <f>(PrincipalesVariables[[#This Row],[Base monetaria]]-C1450)/C1450</f>
        <v>6.1559197336407247E-3</v>
      </c>
      <c r="I1451" s="12">
        <f>(PrincipalesVariables[[#This Row],[Dólar  mayorista]]-E1450)/E1450</f>
        <v>-5.7903879559918997E-4</v>
      </c>
      <c r="J1451" s="12">
        <f>(PrincipalesVariables[[#This Row],[Reservas internacionales]]-F1450)/F1450</f>
        <v>1.4466546112115733E-4</v>
      </c>
    </row>
    <row r="1452" spans="1:10" ht="15.75" thickBot="1" x14ac:dyDescent="0.3">
      <c r="A1452" s="14">
        <v>43082</v>
      </c>
      <c r="B1452" s="15">
        <v>43082</v>
      </c>
      <c r="C1452" s="16">
        <v>964194</v>
      </c>
      <c r="D1452" s="10">
        <f>PrincipalesVariables[[#This Row],[Base monetaria]]/1000000</f>
        <v>0.964194</v>
      </c>
      <c r="E1452" s="10">
        <v>17.32</v>
      </c>
      <c r="F1452" s="11">
        <v>55417</v>
      </c>
      <c r="H1452" s="12">
        <f>(PrincipalesVariables[[#This Row],[Base monetaria]]-C1451)/C1451</f>
        <v>1.0653753026634382E-2</v>
      </c>
      <c r="I1452" s="12">
        <f>(PrincipalesVariables[[#This Row],[Dólar  mayorista]]-E1451)/E1451</f>
        <v>3.4762456546928574E-3</v>
      </c>
      <c r="J1452" s="12">
        <f>(PrincipalesVariables[[#This Row],[Reservas internacionales]]-F1451)/F1451</f>
        <v>1.9707818037173644E-3</v>
      </c>
    </row>
    <row r="1453" spans="1:10" ht="15.75" thickBot="1" x14ac:dyDescent="0.3">
      <c r="A1453" s="14">
        <v>43083</v>
      </c>
      <c r="B1453" s="15">
        <v>43083</v>
      </c>
      <c r="C1453" s="16">
        <v>961114</v>
      </c>
      <c r="D1453" s="10">
        <f>PrincipalesVariables[[#This Row],[Base monetaria]]/1000000</f>
        <v>0.96111400000000002</v>
      </c>
      <c r="E1453" s="10">
        <v>17.36</v>
      </c>
      <c r="F1453" s="11">
        <v>55502</v>
      </c>
      <c r="H1453" s="12">
        <f>(PrincipalesVariables[[#This Row],[Base monetaria]]-C1452)/C1452</f>
        <v>-3.1943778949049674E-3</v>
      </c>
      <c r="I1453" s="12">
        <f>(PrincipalesVariables[[#This Row],[Dólar  mayorista]]-E1452)/E1452</f>
        <v>2.3094688221708512E-3</v>
      </c>
      <c r="J1453" s="12">
        <f>(PrincipalesVariables[[#This Row],[Reservas internacionales]]-F1452)/F1452</f>
        <v>1.5338253604489597E-3</v>
      </c>
    </row>
    <row r="1454" spans="1:10" ht="15.75" thickBot="1" x14ac:dyDescent="0.3">
      <c r="A1454" s="14">
        <v>43084</v>
      </c>
      <c r="B1454" s="15">
        <v>43084</v>
      </c>
      <c r="C1454" s="16">
        <v>993396</v>
      </c>
      <c r="D1454" s="10">
        <f>PrincipalesVariables[[#This Row],[Base monetaria]]/1000000</f>
        <v>0.99339599999999995</v>
      </c>
      <c r="E1454" s="10">
        <v>17.55</v>
      </c>
      <c r="F1454" s="11">
        <v>55997</v>
      </c>
      <c r="H1454" s="12">
        <f>(PrincipalesVariables[[#This Row],[Base monetaria]]-C1453)/C1453</f>
        <v>3.3588107134013237E-2</v>
      </c>
      <c r="I1454" s="12">
        <f>(PrincipalesVariables[[#This Row],[Dólar  mayorista]]-E1453)/E1453</f>
        <v>1.0944700460829567E-2</v>
      </c>
      <c r="J1454" s="12">
        <f>(PrincipalesVariables[[#This Row],[Reservas internacionales]]-F1453)/F1453</f>
        <v>8.9185975280170089E-3</v>
      </c>
    </row>
    <row r="1455" spans="1:10" ht="15.75" thickBot="1" x14ac:dyDescent="0.3">
      <c r="A1455" s="14">
        <v>43087</v>
      </c>
      <c r="B1455" s="15">
        <v>43087</v>
      </c>
      <c r="C1455" s="16">
        <v>991376</v>
      </c>
      <c r="D1455" s="10">
        <f>PrincipalesVariables[[#This Row],[Base monetaria]]/1000000</f>
        <v>0.99137600000000003</v>
      </c>
      <c r="E1455" s="10">
        <v>17.559999999999999</v>
      </c>
      <c r="F1455" s="11">
        <v>55906</v>
      </c>
      <c r="H1455" s="12">
        <f>(PrincipalesVariables[[#This Row],[Base monetaria]]-C1454)/C1454</f>
        <v>-2.0334287635545142E-3</v>
      </c>
      <c r="I1455" s="12">
        <f>(PrincipalesVariables[[#This Row],[Dólar  mayorista]]-E1454)/E1454</f>
        <v>5.6980056980045646E-4</v>
      </c>
      <c r="J1455" s="12">
        <f>(PrincipalesVariables[[#This Row],[Reservas internacionales]]-F1454)/F1454</f>
        <v>-1.6250870582352626E-3</v>
      </c>
    </row>
    <row r="1456" spans="1:10" ht="15.75" thickBot="1" x14ac:dyDescent="0.3">
      <c r="A1456" s="14">
        <v>43088</v>
      </c>
      <c r="B1456" s="15">
        <v>43088</v>
      </c>
      <c r="C1456" s="16">
        <v>988201</v>
      </c>
      <c r="D1456" s="10">
        <f>PrincipalesVariables[[#This Row],[Base monetaria]]/1000000</f>
        <v>0.988201</v>
      </c>
      <c r="E1456" s="10">
        <v>17.57</v>
      </c>
      <c r="F1456" s="11">
        <v>55932</v>
      </c>
      <c r="H1456" s="12">
        <f>(PrincipalesVariables[[#This Row],[Base monetaria]]-C1455)/C1455</f>
        <v>-3.2026193896160489E-3</v>
      </c>
      <c r="I1456" s="12">
        <f>(PrincipalesVariables[[#This Row],[Dólar  mayorista]]-E1455)/E1455</f>
        <v>5.694760820046449E-4</v>
      </c>
      <c r="J1456" s="12">
        <f>(PrincipalesVariables[[#This Row],[Reservas internacionales]]-F1455)/F1455</f>
        <v>4.6506636139233715E-4</v>
      </c>
    </row>
    <row r="1457" spans="1:10" ht="15.75" thickBot="1" x14ac:dyDescent="0.3">
      <c r="A1457" s="14">
        <v>43089</v>
      </c>
      <c r="B1457" s="15">
        <v>43089</v>
      </c>
      <c r="C1457" s="16">
        <v>1076940</v>
      </c>
      <c r="D1457" s="10">
        <f>PrincipalesVariables[[#This Row],[Base monetaria]]/1000000</f>
        <v>1.07694</v>
      </c>
      <c r="E1457" s="10">
        <v>17.78</v>
      </c>
      <c r="F1457" s="11">
        <v>56086</v>
      </c>
      <c r="H1457" s="12">
        <f>(PrincipalesVariables[[#This Row],[Base monetaria]]-C1456)/C1456</f>
        <v>8.9798532889563965E-2</v>
      </c>
      <c r="I1457" s="12">
        <f>(PrincipalesVariables[[#This Row],[Dólar  mayorista]]-E1456)/E1456</f>
        <v>1.1952191235059809E-2</v>
      </c>
      <c r="J1457" s="12">
        <f>(PrincipalesVariables[[#This Row],[Reservas internacionales]]-F1456)/F1456</f>
        <v>2.7533433454909532E-3</v>
      </c>
    </row>
    <row r="1458" spans="1:10" ht="15.75" thickBot="1" x14ac:dyDescent="0.3">
      <c r="A1458" s="14">
        <v>43090</v>
      </c>
      <c r="B1458" s="15">
        <v>43090</v>
      </c>
      <c r="C1458" s="16">
        <v>1035387</v>
      </c>
      <c r="D1458" s="10">
        <f>PrincipalesVariables[[#This Row],[Base monetaria]]/1000000</f>
        <v>1.0353870000000001</v>
      </c>
      <c r="E1458" s="10">
        <v>17.87</v>
      </c>
      <c r="F1458" s="11">
        <v>56224</v>
      </c>
      <c r="H1458" s="12">
        <f>(PrincipalesVariables[[#This Row],[Base monetaria]]-C1457)/C1457</f>
        <v>-3.8584322246364697E-2</v>
      </c>
      <c r="I1458" s="12">
        <f>(PrincipalesVariables[[#This Row],[Dólar  mayorista]]-E1457)/E1457</f>
        <v>5.0618672665916674E-3</v>
      </c>
      <c r="J1458" s="12">
        <f>(PrincipalesVariables[[#This Row],[Reservas internacionales]]-F1457)/F1457</f>
        <v>2.460507078415291E-3</v>
      </c>
    </row>
    <row r="1459" spans="1:10" ht="15.75" thickBot="1" x14ac:dyDescent="0.3">
      <c r="A1459" s="14">
        <v>43091</v>
      </c>
      <c r="B1459" s="15">
        <v>43091</v>
      </c>
      <c r="C1459" s="16">
        <v>1032122</v>
      </c>
      <c r="D1459" s="10">
        <f>PrincipalesVariables[[#This Row],[Base monetaria]]/1000000</f>
        <v>1.032122</v>
      </c>
      <c r="E1459" s="10">
        <v>18.010000000000002</v>
      </c>
      <c r="F1459" s="11">
        <v>56415</v>
      </c>
      <c r="H1459" s="12">
        <f>(PrincipalesVariables[[#This Row],[Base monetaria]]-C1458)/C1458</f>
        <v>-3.153410270749005E-3</v>
      </c>
      <c r="I1459" s="12">
        <f>(PrincipalesVariables[[#This Row],[Dólar  mayorista]]-E1458)/E1458</f>
        <v>7.8343592613318719E-3</v>
      </c>
      <c r="J1459" s="12">
        <f>(PrincipalesVariables[[#This Row],[Reservas internacionales]]-F1458)/F1458</f>
        <v>3.3971257825839499E-3</v>
      </c>
    </row>
    <row r="1460" spans="1:10" ht="15.75" thickBot="1" x14ac:dyDescent="0.3">
      <c r="A1460" s="14">
        <v>43095</v>
      </c>
      <c r="B1460" s="15">
        <v>43095</v>
      </c>
      <c r="C1460" s="16">
        <v>1024971</v>
      </c>
      <c r="D1460" s="10">
        <f>PrincipalesVariables[[#This Row],[Base monetaria]]/1000000</f>
        <v>1.0249710000000001</v>
      </c>
      <c r="E1460" s="10">
        <v>18.25</v>
      </c>
      <c r="F1460" s="11">
        <v>56339</v>
      </c>
      <c r="H1460" s="12">
        <f>(PrincipalesVariables[[#This Row],[Base monetaria]]-C1459)/C1459</f>
        <v>-6.9284445055913932E-3</v>
      </c>
      <c r="I1460" s="12">
        <f>(PrincipalesVariables[[#This Row],[Dólar  mayorista]]-E1459)/E1459</f>
        <v>1.3325930038867208E-2</v>
      </c>
      <c r="J1460" s="12">
        <f>(PrincipalesVariables[[#This Row],[Reservas internacionales]]-F1459)/F1459</f>
        <v>-1.3471594434104404E-3</v>
      </c>
    </row>
    <row r="1461" spans="1:10" ht="15.75" thickBot="1" x14ac:dyDescent="0.3">
      <c r="A1461" s="14">
        <v>43096</v>
      </c>
      <c r="B1461" s="15">
        <v>43096</v>
      </c>
      <c r="C1461" s="16">
        <v>1005380</v>
      </c>
      <c r="D1461" s="10">
        <f>PrincipalesVariables[[#This Row],[Base monetaria]]/1000000</f>
        <v>1.0053799999999999</v>
      </c>
      <c r="E1461" s="10">
        <v>18.440000000000001</v>
      </c>
      <c r="F1461" s="11">
        <v>56280</v>
      </c>
      <c r="H1461" s="12">
        <f>(PrincipalesVariables[[#This Row],[Base monetaria]]-C1460)/C1460</f>
        <v>-1.9113711509886621E-2</v>
      </c>
      <c r="I1461" s="12">
        <f>(PrincipalesVariables[[#This Row],[Dólar  mayorista]]-E1460)/E1460</f>
        <v>1.0410958904109658E-2</v>
      </c>
      <c r="J1461" s="12">
        <f>(PrincipalesVariables[[#This Row],[Reservas internacionales]]-F1460)/F1460</f>
        <v>-1.0472319352491169E-3</v>
      </c>
    </row>
    <row r="1462" spans="1:10" ht="15.75" thickBot="1" x14ac:dyDescent="0.3">
      <c r="A1462" s="14">
        <v>43097</v>
      </c>
      <c r="B1462" s="15">
        <v>43097</v>
      </c>
      <c r="C1462" s="16">
        <v>1009954</v>
      </c>
      <c r="D1462" s="10">
        <f>PrincipalesVariables[[#This Row],[Base monetaria]]/1000000</f>
        <v>1.009954</v>
      </c>
      <c r="E1462" s="10">
        <v>18.829999999999998</v>
      </c>
      <c r="F1462" s="11">
        <v>56149</v>
      </c>
      <c r="H1462" s="12">
        <f>(PrincipalesVariables[[#This Row],[Base monetaria]]-C1461)/C1461</f>
        <v>4.5495235632298237E-3</v>
      </c>
      <c r="I1462" s="12">
        <f>(PrincipalesVariables[[#This Row],[Dólar  mayorista]]-E1461)/E1461</f>
        <v>2.1149674620390291E-2</v>
      </c>
      <c r="J1462" s="12">
        <f>(PrincipalesVariables[[#This Row],[Reservas internacionales]]-F1461)/F1461</f>
        <v>-2.3276474769012082E-3</v>
      </c>
    </row>
    <row r="1463" spans="1:10" ht="15.75" thickBot="1" x14ac:dyDescent="0.3">
      <c r="A1463" s="14">
        <v>43098</v>
      </c>
      <c r="B1463" s="15">
        <v>43098</v>
      </c>
      <c r="C1463" s="16">
        <v>1001113</v>
      </c>
      <c r="D1463" s="10">
        <f>PrincipalesVariables[[#This Row],[Base monetaria]]/1000000</f>
        <v>1.0011129999999999</v>
      </c>
      <c r="E1463" s="10">
        <v>18.77</v>
      </c>
      <c r="F1463" s="11">
        <v>55055</v>
      </c>
      <c r="H1463" s="12">
        <f>(PrincipalesVariables[[#This Row],[Base monetaria]]-C1462)/C1462</f>
        <v>-8.7538640373719997E-3</v>
      </c>
      <c r="I1463" s="12">
        <f>(PrincipalesVariables[[#This Row],[Dólar  mayorista]]-E1462)/E1462</f>
        <v>-3.1864046733934533E-3</v>
      </c>
      <c r="J1463" s="12">
        <f>(PrincipalesVariables[[#This Row],[Reservas internacionales]]-F1462)/F1462</f>
        <v>-1.9483873265774991E-2</v>
      </c>
    </row>
    <row r="1464" spans="1:10" ht="15.75" thickBot="1" x14ac:dyDescent="0.3">
      <c r="A1464" s="14">
        <v>43102</v>
      </c>
      <c r="B1464" s="15">
        <v>43102</v>
      </c>
      <c r="C1464" s="16">
        <v>1078571</v>
      </c>
      <c r="D1464" s="10">
        <f>PrincipalesVariables[[#This Row],[Base monetaria]]/1000000</f>
        <v>1.0785709999999999</v>
      </c>
      <c r="E1464" s="10">
        <v>18.55</v>
      </c>
      <c r="F1464" s="11">
        <v>55731</v>
      </c>
      <c r="H1464" s="12">
        <f>(PrincipalesVariables[[#This Row],[Base monetaria]]-C1463)/C1463</f>
        <v>7.7371885091892717E-2</v>
      </c>
      <c r="I1464" s="12">
        <f>(PrincipalesVariables[[#This Row],[Dólar  mayorista]]-E1463)/E1463</f>
        <v>-1.1720831113478896E-2</v>
      </c>
      <c r="J1464" s="12">
        <f>(PrincipalesVariables[[#This Row],[Reservas internacionales]]-F1463)/F1463</f>
        <v>1.2278630460448641E-2</v>
      </c>
    </row>
    <row r="1465" spans="1:10" ht="15.75" thickBot="1" x14ac:dyDescent="0.3">
      <c r="A1465" s="14">
        <v>43103</v>
      </c>
      <c r="B1465" s="15">
        <v>43103</v>
      </c>
      <c r="C1465" s="16">
        <v>1062257</v>
      </c>
      <c r="D1465" s="10">
        <f>PrincipalesVariables[[#This Row],[Base monetaria]]/1000000</f>
        <v>1.062257</v>
      </c>
      <c r="E1465" s="10">
        <v>18.420000000000002</v>
      </c>
      <c r="F1465" s="11">
        <v>55706</v>
      </c>
      <c r="H1465" s="12">
        <f>(PrincipalesVariables[[#This Row],[Base monetaria]]-C1464)/C1464</f>
        <v>-1.5125568924067122E-2</v>
      </c>
      <c r="I1465" s="12">
        <f>(PrincipalesVariables[[#This Row],[Dólar  mayorista]]-E1464)/E1464</f>
        <v>-7.0080862533692181E-3</v>
      </c>
      <c r="J1465" s="12">
        <f>(PrincipalesVariables[[#This Row],[Reservas internacionales]]-F1464)/F1464</f>
        <v>-4.4858337370583696E-4</v>
      </c>
    </row>
    <row r="1466" spans="1:10" ht="15.75" thickBot="1" x14ac:dyDescent="0.3">
      <c r="A1466" s="14">
        <v>43104</v>
      </c>
      <c r="B1466" s="15">
        <v>43104</v>
      </c>
      <c r="C1466" s="16">
        <v>1045362</v>
      </c>
      <c r="D1466" s="10">
        <f>PrincipalesVariables[[#This Row],[Base monetaria]]/1000000</f>
        <v>1.0453619999999999</v>
      </c>
      <c r="E1466" s="10">
        <v>18.61</v>
      </c>
      <c r="F1466" s="11">
        <v>55623</v>
      </c>
      <c r="H1466" s="12">
        <f>(PrincipalesVariables[[#This Row],[Base monetaria]]-C1465)/C1465</f>
        <v>-1.5904813995106647E-2</v>
      </c>
      <c r="I1466" s="12">
        <f>(PrincipalesVariables[[#This Row],[Dólar  mayorista]]-E1465)/E1465</f>
        <v>1.0314875135721917E-2</v>
      </c>
      <c r="J1466" s="12">
        <f>(PrincipalesVariables[[#This Row],[Reservas internacionales]]-F1465)/F1465</f>
        <v>-1.4899651743079741E-3</v>
      </c>
    </row>
    <row r="1467" spans="1:10" ht="15.75" thickBot="1" x14ac:dyDescent="0.3">
      <c r="A1467" s="14">
        <v>43105</v>
      </c>
      <c r="B1467" s="15">
        <v>43105</v>
      </c>
      <c r="C1467" s="16">
        <v>1039731</v>
      </c>
      <c r="D1467" s="10">
        <f>PrincipalesVariables[[#This Row],[Base monetaria]]/1000000</f>
        <v>1.039731</v>
      </c>
      <c r="E1467" s="10">
        <v>18.86</v>
      </c>
      <c r="F1467" s="11">
        <v>55459</v>
      </c>
      <c r="H1467" s="12">
        <f>(PrincipalesVariables[[#This Row],[Base monetaria]]-C1466)/C1466</f>
        <v>-5.3866507487358448E-3</v>
      </c>
      <c r="I1467" s="12">
        <f>(PrincipalesVariables[[#This Row],[Dólar  mayorista]]-E1466)/E1466</f>
        <v>1.3433637829124127E-2</v>
      </c>
      <c r="J1467" s="12">
        <f>(PrincipalesVariables[[#This Row],[Reservas internacionales]]-F1466)/F1466</f>
        <v>-2.9484206173705121E-3</v>
      </c>
    </row>
    <row r="1468" spans="1:10" ht="15.75" thickBot="1" x14ac:dyDescent="0.3">
      <c r="A1468" s="14">
        <v>43108</v>
      </c>
      <c r="B1468" s="15">
        <v>43108</v>
      </c>
      <c r="C1468" s="16">
        <v>1026705</v>
      </c>
      <c r="D1468" s="10">
        <f>PrincipalesVariables[[#This Row],[Base monetaria]]/1000000</f>
        <v>1.026705</v>
      </c>
      <c r="E1468" s="10">
        <v>19.07</v>
      </c>
      <c r="F1468" s="11">
        <v>55261</v>
      </c>
      <c r="H1468" s="12">
        <f>(PrincipalesVariables[[#This Row],[Base monetaria]]-C1467)/C1467</f>
        <v>-1.2528240477585068E-2</v>
      </c>
      <c r="I1468" s="12">
        <f>(PrincipalesVariables[[#This Row],[Dólar  mayorista]]-E1467)/E1467</f>
        <v>1.1134676564156992E-2</v>
      </c>
      <c r="J1468" s="12">
        <f>(PrincipalesVariables[[#This Row],[Reservas internacionales]]-F1467)/F1467</f>
        <v>-3.5702050163183615E-3</v>
      </c>
    </row>
    <row r="1469" spans="1:10" ht="15.75" thickBot="1" x14ac:dyDescent="0.3">
      <c r="A1469" s="14">
        <v>43109</v>
      </c>
      <c r="B1469" s="15">
        <v>43109</v>
      </c>
      <c r="C1469" s="16">
        <v>1017952</v>
      </c>
      <c r="D1469" s="10">
        <f>PrincipalesVariables[[#This Row],[Base monetaria]]/1000000</f>
        <v>1.017952</v>
      </c>
      <c r="E1469" s="10">
        <v>19.05</v>
      </c>
      <c r="F1469" s="11">
        <v>55130</v>
      </c>
      <c r="H1469" s="12">
        <f>(PrincipalesVariables[[#This Row],[Base monetaria]]-C1468)/C1468</f>
        <v>-8.5253310347178594E-3</v>
      </c>
      <c r="I1469" s="12">
        <f>(PrincipalesVariables[[#This Row],[Dólar  mayorista]]-E1468)/E1468</f>
        <v>-1.0487676979548807E-3</v>
      </c>
      <c r="J1469" s="12">
        <f>(PrincipalesVariables[[#This Row],[Reservas internacionales]]-F1468)/F1468</f>
        <v>-2.3705687555418829E-3</v>
      </c>
    </row>
    <row r="1470" spans="1:10" ht="15.75" thickBot="1" x14ac:dyDescent="0.3">
      <c r="A1470" s="14">
        <v>43110</v>
      </c>
      <c r="B1470" s="15">
        <v>43110</v>
      </c>
      <c r="C1470" s="16">
        <v>1026787</v>
      </c>
      <c r="D1470" s="10">
        <f>PrincipalesVariables[[#This Row],[Base monetaria]]/1000000</f>
        <v>1.0267869999999999</v>
      </c>
      <c r="E1470" s="10">
        <v>18.72</v>
      </c>
      <c r="F1470" s="11">
        <v>55022</v>
      </c>
      <c r="H1470" s="12">
        <f>(PrincipalesVariables[[#This Row],[Base monetaria]]-C1469)/C1469</f>
        <v>8.679191160290466E-3</v>
      </c>
      <c r="I1470" s="12">
        <f>(PrincipalesVariables[[#This Row],[Dólar  mayorista]]-E1469)/E1469</f>
        <v>-1.7322834645669388E-2</v>
      </c>
      <c r="J1470" s="12">
        <f>(PrincipalesVariables[[#This Row],[Reservas internacionales]]-F1469)/F1469</f>
        <v>-1.9590059858516236E-3</v>
      </c>
    </row>
    <row r="1471" spans="1:10" ht="15.75" thickBot="1" x14ac:dyDescent="0.3">
      <c r="A1471" s="14">
        <v>43111</v>
      </c>
      <c r="B1471" s="15">
        <v>43111</v>
      </c>
      <c r="C1471" s="16">
        <v>1032955</v>
      </c>
      <c r="D1471" s="10">
        <f>PrincipalesVariables[[#This Row],[Base monetaria]]/1000000</f>
        <v>1.0329550000000001</v>
      </c>
      <c r="E1471" s="10">
        <v>18.649999999999999</v>
      </c>
      <c r="F1471" s="11">
        <v>63906</v>
      </c>
      <c r="H1471" s="12">
        <f>(PrincipalesVariables[[#This Row],[Base monetaria]]-C1470)/C1470</f>
        <v>6.0070881302548632E-3</v>
      </c>
      <c r="I1471" s="12">
        <f>(PrincipalesVariables[[#This Row],[Dólar  mayorista]]-E1470)/E1470</f>
        <v>-3.7393162393162547E-3</v>
      </c>
      <c r="J1471" s="12">
        <f>(PrincipalesVariables[[#This Row],[Reservas internacionales]]-F1470)/F1470</f>
        <v>0.16146268765221183</v>
      </c>
    </row>
    <row r="1472" spans="1:10" ht="15.75" thickBot="1" x14ac:dyDescent="0.3">
      <c r="A1472" s="14">
        <v>43112</v>
      </c>
      <c r="B1472" s="15">
        <v>43112</v>
      </c>
      <c r="C1472" s="16">
        <v>1027204</v>
      </c>
      <c r="D1472" s="10">
        <f>PrincipalesVariables[[#This Row],[Base monetaria]]/1000000</f>
        <v>1.027204</v>
      </c>
      <c r="E1472" s="10">
        <v>18.72</v>
      </c>
      <c r="F1472" s="11">
        <v>63683</v>
      </c>
      <c r="H1472" s="12">
        <f>(PrincipalesVariables[[#This Row],[Base monetaria]]-C1471)/C1471</f>
        <v>-5.5675223025204394E-3</v>
      </c>
      <c r="I1472" s="12">
        <f>(PrincipalesVariables[[#This Row],[Dólar  mayorista]]-E1471)/E1471</f>
        <v>3.7533512064343317E-3</v>
      </c>
      <c r="J1472" s="12">
        <f>(PrincipalesVariables[[#This Row],[Reservas internacionales]]-F1471)/F1471</f>
        <v>-3.4895002034237787E-3</v>
      </c>
    </row>
    <row r="1473" spans="1:10" ht="15.75" thickBot="1" x14ac:dyDescent="0.3">
      <c r="A1473" s="14">
        <v>43115</v>
      </c>
      <c r="B1473" s="15">
        <v>43115</v>
      </c>
      <c r="C1473" s="16">
        <v>1016341</v>
      </c>
      <c r="D1473" s="10">
        <f>PrincipalesVariables[[#This Row],[Base monetaria]]/1000000</f>
        <v>1.0163409999999999</v>
      </c>
      <c r="E1473" s="10">
        <v>18.72</v>
      </c>
      <c r="F1473" s="11">
        <v>63746</v>
      </c>
      <c r="H1473" s="12">
        <f>(PrincipalesVariables[[#This Row],[Base monetaria]]-C1472)/C1472</f>
        <v>-1.0575309286178792E-2</v>
      </c>
      <c r="I1473" s="12">
        <f>(PrincipalesVariables[[#This Row],[Dólar  mayorista]]-E1472)/E1472</f>
        <v>0</v>
      </c>
      <c r="J1473" s="12">
        <f>(PrincipalesVariables[[#This Row],[Reservas internacionales]]-F1472)/F1472</f>
        <v>9.8927500274798605E-4</v>
      </c>
    </row>
    <row r="1474" spans="1:10" ht="15.75" thickBot="1" x14ac:dyDescent="0.3">
      <c r="A1474" s="14">
        <v>43116</v>
      </c>
      <c r="B1474" s="15">
        <v>43116</v>
      </c>
      <c r="C1474" s="16">
        <v>1010245</v>
      </c>
      <c r="D1474" s="10">
        <f>PrincipalesVariables[[#This Row],[Base monetaria]]/1000000</f>
        <v>1.0102450000000001</v>
      </c>
      <c r="E1474" s="10">
        <v>18.829999999999998</v>
      </c>
      <c r="F1474" s="11">
        <v>63588</v>
      </c>
      <c r="H1474" s="12">
        <f>(PrincipalesVariables[[#This Row],[Base monetaria]]-C1473)/C1473</f>
        <v>-5.9979868961303343E-3</v>
      </c>
      <c r="I1474" s="12">
        <f>(PrincipalesVariables[[#This Row],[Dólar  mayorista]]-E1473)/E1473</f>
        <v>5.8760683760683457E-3</v>
      </c>
      <c r="J1474" s="12">
        <f>(PrincipalesVariables[[#This Row],[Reservas internacionales]]-F1473)/F1473</f>
        <v>-2.4785868917265399E-3</v>
      </c>
    </row>
    <row r="1475" spans="1:10" ht="15.75" thickBot="1" x14ac:dyDescent="0.3">
      <c r="A1475" s="14">
        <v>43117</v>
      </c>
      <c r="B1475" s="15">
        <v>43117</v>
      </c>
      <c r="C1475" s="16">
        <v>1060588</v>
      </c>
      <c r="D1475" s="10">
        <f>PrincipalesVariables[[#This Row],[Base monetaria]]/1000000</f>
        <v>1.0605880000000001</v>
      </c>
      <c r="E1475" s="10">
        <v>18.89</v>
      </c>
      <c r="F1475" s="11">
        <v>63504</v>
      </c>
      <c r="H1475" s="12">
        <f>(PrincipalesVariables[[#This Row],[Base monetaria]]-C1474)/C1474</f>
        <v>4.9832466381917261E-2</v>
      </c>
      <c r="I1475" s="12">
        <f>(PrincipalesVariables[[#This Row],[Dólar  mayorista]]-E1474)/E1474</f>
        <v>3.1864046733936419E-3</v>
      </c>
      <c r="J1475" s="12">
        <f>(PrincipalesVariables[[#This Row],[Reservas internacionales]]-F1474)/F1474</f>
        <v>-1.321003963011889E-3</v>
      </c>
    </row>
    <row r="1476" spans="1:10" ht="15.75" thickBot="1" x14ac:dyDescent="0.3">
      <c r="A1476" s="14">
        <v>43118</v>
      </c>
      <c r="B1476" s="15">
        <v>43118</v>
      </c>
      <c r="C1476" s="16">
        <v>1041866</v>
      </c>
      <c r="D1476" s="10">
        <f>PrincipalesVariables[[#This Row],[Base monetaria]]/1000000</f>
        <v>1.041866</v>
      </c>
      <c r="E1476" s="10">
        <v>18.850000000000001</v>
      </c>
      <c r="F1476" s="11">
        <v>63378</v>
      </c>
      <c r="H1476" s="12">
        <f>(PrincipalesVariables[[#This Row],[Base monetaria]]-C1475)/C1475</f>
        <v>-1.7652472024952195E-2</v>
      </c>
      <c r="I1476" s="12">
        <f>(PrincipalesVariables[[#This Row],[Dólar  mayorista]]-E1475)/E1475</f>
        <v>-2.117522498676503E-3</v>
      </c>
      <c r="J1476" s="12">
        <f>(PrincipalesVariables[[#This Row],[Reservas internacionales]]-F1475)/F1475</f>
        <v>-1.984126984126984E-3</v>
      </c>
    </row>
    <row r="1477" spans="1:10" ht="15.75" thickBot="1" x14ac:dyDescent="0.3">
      <c r="A1477" s="14">
        <v>43119</v>
      </c>
      <c r="B1477" s="15">
        <v>43119</v>
      </c>
      <c r="C1477" s="16">
        <v>1033152</v>
      </c>
      <c r="D1477" s="10">
        <f>PrincipalesVariables[[#This Row],[Base monetaria]]/1000000</f>
        <v>1.0331520000000001</v>
      </c>
      <c r="E1477" s="10">
        <v>18.96</v>
      </c>
      <c r="F1477" s="11">
        <v>63225</v>
      </c>
      <c r="H1477" s="12">
        <f>(PrincipalesVariables[[#This Row],[Base monetaria]]-C1476)/C1476</f>
        <v>-8.3638394956741073E-3</v>
      </c>
      <c r="I1477" s="12">
        <f>(PrincipalesVariables[[#This Row],[Dólar  mayorista]]-E1476)/E1476</f>
        <v>5.8355437665782188E-3</v>
      </c>
      <c r="J1477" s="12">
        <f>(PrincipalesVariables[[#This Row],[Reservas internacionales]]-F1476)/F1476</f>
        <v>-2.4140869071286567E-3</v>
      </c>
    </row>
    <row r="1478" spans="1:10" ht="15.75" thickBot="1" x14ac:dyDescent="0.3">
      <c r="A1478" s="14">
        <v>43122</v>
      </c>
      <c r="B1478" s="15">
        <v>43122</v>
      </c>
      <c r="C1478" s="16">
        <v>1030290</v>
      </c>
      <c r="D1478" s="10">
        <f>PrincipalesVariables[[#This Row],[Base monetaria]]/1000000</f>
        <v>1.0302899999999999</v>
      </c>
      <c r="E1478" s="10">
        <v>19.07</v>
      </c>
      <c r="F1478" s="11">
        <v>63148</v>
      </c>
      <c r="H1478" s="12">
        <f>(PrincipalesVariables[[#This Row],[Base monetaria]]-C1477)/C1477</f>
        <v>-2.7701635383757667E-3</v>
      </c>
      <c r="I1478" s="12">
        <f>(PrincipalesVariables[[#This Row],[Dólar  mayorista]]-E1477)/E1477</f>
        <v>5.8016877637130501E-3</v>
      </c>
      <c r="J1478" s="12">
        <f>(PrincipalesVariables[[#This Row],[Reservas internacionales]]-F1477)/F1477</f>
        <v>-1.2178726769474101E-3</v>
      </c>
    </row>
    <row r="1479" spans="1:10" ht="15.75" thickBot="1" x14ac:dyDescent="0.3">
      <c r="A1479" s="14">
        <v>43123</v>
      </c>
      <c r="B1479" s="15">
        <v>43123</v>
      </c>
      <c r="C1479" s="16">
        <v>1012001</v>
      </c>
      <c r="D1479" s="10">
        <f>PrincipalesVariables[[#This Row],[Base monetaria]]/1000000</f>
        <v>1.0120009999999999</v>
      </c>
      <c r="E1479" s="10">
        <v>19.32</v>
      </c>
      <c r="F1479" s="11">
        <v>63122</v>
      </c>
      <c r="H1479" s="12">
        <f>(PrincipalesVariables[[#This Row],[Base monetaria]]-C1478)/C1478</f>
        <v>-1.7751312737190501E-2</v>
      </c>
      <c r="I1479" s="12">
        <f>(PrincipalesVariables[[#This Row],[Dólar  mayorista]]-E1478)/E1478</f>
        <v>1.3109596224436287E-2</v>
      </c>
      <c r="J1479" s="12">
        <f>(PrincipalesVariables[[#This Row],[Reservas internacionales]]-F1478)/F1478</f>
        <v>-4.1173117121682395E-4</v>
      </c>
    </row>
    <row r="1480" spans="1:10" ht="15.75" thickBot="1" x14ac:dyDescent="0.3">
      <c r="A1480" s="14">
        <v>43124</v>
      </c>
      <c r="B1480" s="15">
        <v>43124</v>
      </c>
      <c r="C1480" s="16">
        <v>1001854</v>
      </c>
      <c r="D1480" s="10">
        <f>PrincipalesVariables[[#This Row],[Base monetaria]]/1000000</f>
        <v>1.001854</v>
      </c>
      <c r="E1480" s="10">
        <v>19.53</v>
      </c>
      <c r="F1480" s="11">
        <v>63167</v>
      </c>
      <c r="H1480" s="12">
        <f>(PrincipalesVariables[[#This Row],[Base monetaria]]-C1479)/C1479</f>
        <v>-1.0026669934120618E-2</v>
      </c>
      <c r="I1480" s="12">
        <f>(PrincipalesVariables[[#This Row],[Dólar  mayorista]]-E1479)/E1479</f>
        <v>1.0869565217391349E-2</v>
      </c>
      <c r="J1480" s="12">
        <f>(PrincipalesVariables[[#This Row],[Reservas internacionales]]-F1479)/F1479</f>
        <v>7.1290516777034948E-4</v>
      </c>
    </row>
    <row r="1481" spans="1:10" ht="15.75" thickBot="1" x14ac:dyDescent="0.3">
      <c r="A1481" s="14">
        <v>43125</v>
      </c>
      <c r="B1481" s="15">
        <v>43125</v>
      </c>
      <c r="C1481" s="16">
        <v>1030909</v>
      </c>
      <c r="D1481" s="10">
        <f>PrincipalesVariables[[#This Row],[Base monetaria]]/1000000</f>
        <v>1.0309090000000001</v>
      </c>
      <c r="E1481" s="10">
        <v>19.489999999999998</v>
      </c>
      <c r="F1481" s="11">
        <v>62943</v>
      </c>
      <c r="H1481" s="12">
        <f>(PrincipalesVariables[[#This Row],[Base monetaria]]-C1480)/C1480</f>
        <v>2.9001231716397798E-2</v>
      </c>
      <c r="I1481" s="12">
        <f>(PrincipalesVariables[[#This Row],[Dólar  mayorista]]-E1480)/E1480</f>
        <v>-2.0481310803892832E-3</v>
      </c>
      <c r="J1481" s="12">
        <f>(PrincipalesVariables[[#This Row],[Reservas internacionales]]-F1480)/F1480</f>
        <v>-3.5461554292589483E-3</v>
      </c>
    </row>
    <row r="1482" spans="1:10" ht="15.75" thickBot="1" x14ac:dyDescent="0.3">
      <c r="A1482" s="14">
        <v>43126</v>
      </c>
      <c r="B1482" s="15">
        <v>43126</v>
      </c>
      <c r="C1482" s="16">
        <v>1018995</v>
      </c>
      <c r="D1482" s="10">
        <f>PrincipalesVariables[[#This Row],[Base monetaria]]/1000000</f>
        <v>1.0189950000000001</v>
      </c>
      <c r="E1482" s="10">
        <v>19.52</v>
      </c>
      <c r="F1482" s="11">
        <v>62533</v>
      </c>
      <c r="H1482" s="12">
        <f>(PrincipalesVariables[[#This Row],[Base monetaria]]-C1481)/C1481</f>
        <v>-1.1556791142574175E-2</v>
      </c>
      <c r="I1482" s="12">
        <f>(PrincipalesVariables[[#This Row],[Dólar  mayorista]]-E1481)/E1481</f>
        <v>1.5392508978964155E-3</v>
      </c>
      <c r="J1482" s="12">
        <f>(PrincipalesVariables[[#This Row],[Reservas internacionales]]-F1481)/F1481</f>
        <v>-6.5138299731503108E-3</v>
      </c>
    </row>
    <row r="1483" spans="1:10" ht="15.75" thickBot="1" x14ac:dyDescent="0.3">
      <c r="A1483" s="14">
        <v>43129</v>
      </c>
      <c r="B1483" s="15">
        <v>43129</v>
      </c>
      <c r="C1483" s="16">
        <v>1005001</v>
      </c>
      <c r="D1483" s="10">
        <f>PrincipalesVariables[[#This Row],[Base monetaria]]/1000000</f>
        <v>1.005001</v>
      </c>
      <c r="E1483" s="10">
        <v>19.57</v>
      </c>
      <c r="F1483" s="11">
        <v>62403</v>
      </c>
      <c r="H1483" s="12">
        <f>(PrincipalesVariables[[#This Row],[Base monetaria]]-C1482)/C1482</f>
        <v>-1.3733139024234663E-2</v>
      </c>
      <c r="I1483" s="12">
        <f>(PrincipalesVariables[[#This Row],[Dólar  mayorista]]-E1482)/E1482</f>
        <v>2.5614754098361022E-3</v>
      </c>
      <c r="J1483" s="12">
        <f>(PrincipalesVariables[[#This Row],[Reservas internacionales]]-F1482)/F1482</f>
        <v>-2.0789023395647098E-3</v>
      </c>
    </row>
    <row r="1484" spans="1:10" ht="15.75" thickBot="1" x14ac:dyDescent="0.3">
      <c r="A1484" s="14">
        <v>43130</v>
      </c>
      <c r="B1484" s="15">
        <v>43130</v>
      </c>
      <c r="C1484" s="16">
        <v>1002954</v>
      </c>
      <c r="D1484" s="10">
        <f>PrincipalesVariables[[#This Row],[Base monetaria]]/1000000</f>
        <v>1.0029539999999999</v>
      </c>
      <c r="E1484" s="10">
        <v>19.600000000000001</v>
      </c>
      <c r="F1484" s="11">
        <v>62242</v>
      </c>
      <c r="H1484" s="12">
        <f>(PrincipalesVariables[[#This Row],[Base monetaria]]-C1483)/C1483</f>
        <v>-2.0368138937175186E-3</v>
      </c>
      <c r="I1484" s="12">
        <f>(PrincipalesVariables[[#This Row],[Dólar  mayorista]]-E1483)/E1483</f>
        <v>1.532958610117585E-3</v>
      </c>
      <c r="J1484" s="12">
        <f>(PrincipalesVariables[[#This Row],[Reservas internacionales]]-F1483)/F1483</f>
        <v>-2.5800041664663558E-3</v>
      </c>
    </row>
    <row r="1485" spans="1:10" ht="15.75" thickBot="1" x14ac:dyDescent="0.3">
      <c r="A1485" s="14">
        <v>43131</v>
      </c>
      <c r="B1485" s="15">
        <v>43131</v>
      </c>
      <c r="C1485" s="16">
        <v>966089</v>
      </c>
      <c r="D1485" s="10">
        <f>PrincipalesVariables[[#This Row],[Base monetaria]]/1000000</f>
        <v>0.96608899999999998</v>
      </c>
      <c r="E1485" s="10">
        <v>19.649999999999999</v>
      </c>
      <c r="F1485" s="11">
        <v>62024</v>
      </c>
      <c r="H1485" s="12">
        <f>(PrincipalesVariables[[#This Row],[Base monetaria]]-C1484)/C1484</f>
        <v>-3.6756421530798021E-2</v>
      </c>
      <c r="I1485" s="12">
        <f>(PrincipalesVariables[[#This Row],[Dólar  mayorista]]-E1484)/E1484</f>
        <v>2.5510204081631203E-3</v>
      </c>
      <c r="J1485" s="12">
        <f>(PrincipalesVariables[[#This Row],[Reservas internacionales]]-F1484)/F1484</f>
        <v>-3.5024581472317727E-3</v>
      </c>
    </row>
    <row r="1486" spans="1:10" ht="15.75" thickBot="1" x14ac:dyDescent="0.3">
      <c r="A1486" s="14">
        <v>43132</v>
      </c>
      <c r="B1486" s="15">
        <v>43132</v>
      </c>
      <c r="C1486" s="16">
        <v>1025020</v>
      </c>
      <c r="D1486" s="10">
        <f>PrincipalesVariables[[#This Row],[Base monetaria]]/1000000</f>
        <v>1.02502</v>
      </c>
      <c r="E1486" s="10">
        <v>19.47</v>
      </c>
      <c r="F1486" s="11">
        <v>62174</v>
      </c>
      <c r="H1486" s="12">
        <f>(PrincipalesVariables[[#This Row],[Base monetaria]]-C1485)/C1485</f>
        <v>6.0999555941533334E-2</v>
      </c>
      <c r="I1486" s="12">
        <f>(PrincipalesVariables[[#This Row],[Dólar  mayorista]]-E1485)/E1485</f>
        <v>-9.1603053435114368E-3</v>
      </c>
      <c r="J1486" s="12">
        <f>(PrincipalesVariables[[#This Row],[Reservas internacionales]]-F1485)/F1485</f>
        <v>2.4184186766413002E-3</v>
      </c>
    </row>
    <row r="1487" spans="1:10" ht="15.75" thickBot="1" x14ac:dyDescent="0.3">
      <c r="A1487" s="14">
        <v>43133</v>
      </c>
      <c r="B1487" s="15">
        <v>43133</v>
      </c>
      <c r="C1487" s="16">
        <v>1023959</v>
      </c>
      <c r="D1487" s="10">
        <f>PrincipalesVariables[[#This Row],[Base monetaria]]/1000000</f>
        <v>1.0239590000000001</v>
      </c>
      <c r="E1487" s="10">
        <v>19.5</v>
      </c>
      <c r="F1487" s="11">
        <v>62216</v>
      </c>
      <c r="H1487" s="12">
        <f>(PrincipalesVariables[[#This Row],[Base monetaria]]-C1486)/C1486</f>
        <v>-1.0351017541121148E-3</v>
      </c>
      <c r="I1487" s="12">
        <f>(PrincipalesVariables[[#This Row],[Dólar  mayorista]]-E1486)/E1486</f>
        <v>1.540832049306684E-3</v>
      </c>
      <c r="J1487" s="12">
        <f>(PrincipalesVariables[[#This Row],[Reservas internacionales]]-F1486)/F1486</f>
        <v>6.755235307363207E-4</v>
      </c>
    </row>
    <row r="1488" spans="1:10" ht="15.75" thickBot="1" x14ac:dyDescent="0.3">
      <c r="A1488" s="14">
        <v>43136</v>
      </c>
      <c r="B1488" s="15">
        <v>43136</v>
      </c>
      <c r="C1488" s="16">
        <v>1032983</v>
      </c>
      <c r="D1488" s="10">
        <f>PrincipalesVariables[[#This Row],[Base monetaria]]/1000000</f>
        <v>1.032983</v>
      </c>
      <c r="E1488" s="10">
        <v>19.53</v>
      </c>
      <c r="F1488" s="11">
        <v>62228</v>
      </c>
      <c r="H1488" s="12">
        <f>(PrincipalesVariables[[#This Row],[Base monetaria]]-C1487)/C1487</f>
        <v>8.8128528583664E-3</v>
      </c>
      <c r="I1488" s="12">
        <f>(PrincipalesVariables[[#This Row],[Dólar  mayorista]]-E1487)/E1487</f>
        <v>1.5384615384615968E-3</v>
      </c>
      <c r="J1488" s="12">
        <f>(PrincipalesVariables[[#This Row],[Reservas internacionales]]-F1487)/F1487</f>
        <v>1.9287643050019287E-4</v>
      </c>
    </row>
    <row r="1489" spans="1:10" ht="15.75" thickBot="1" x14ac:dyDescent="0.3">
      <c r="A1489" s="14">
        <v>43137</v>
      </c>
      <c r="B1489" s="15">
        <v>43137</v>
      </c>
      <c r="C1489" s="16">
        <v>1027403</v>
      </c>
      <c r="D1489" s="10">
        <f>PrincipalesVariables[[#This Row],[Base monetaria]]/1000000</f>
        <v>1.0274030000000001</v>
      </c>
      <c r="E1489" s="10">
        <v>19.690000000000001</v>
      </c>
      <c r="F1489" s="11">
        <v>62367</v>
      </c>
      <c r="H1489" s="12">
        <f>(PrincipalesVariables[[#This Row],[Base monetaria]]-C1488)/C1488</f>
        <v>-5.4018313950955632E-3</v>
      </c>
      <c r="I1489" s="12">
        <f>(PrincipalesVariables[[#This Row],[Dólar  mayorista]]-E1488)/E1488</f>
        <v>8.1925243215565866E-3</v>
      </c>
      <c r="J1489" s="12">
        <f>(PrincipalesVariables[[#This Row],[Reservas internacionales]]-F1488)/F1488</f>
        <v>2.2337211544642284E-3</v>
      </c>
    </row>
    <row r="1490" spans="1:10" ht="15.75" thickBot="1" x14ac:dyDescent="0.3">
      <c r="A1490" s="14">
        <v>43138</v>
      </c>
      <c r="B1490" s="15">
        <v>43138</v>
      </c>
      <c r="C1490" s="16">
        <v>1069189</v>
      </c>
      <c r="D1490" s="10">
        <f>PrincipalesVariables[[#This Row],[Base monetaria]]/1000000</f>
        <v>1.0691889999999999</v>
      </c>
      <c r="E1490" s="10">
        <v>19.62</v>
      </c>
      <c r="F1490" s="11">
        <v>62622</v>
      </c>
      <c r="H1490" s="12">
        <f>(PrincipalesVariables[[#This Row],[Base monetaria]]-C1489)/C1489</f>
        <v>4.0671479448668148E-2</v>
      </c>
      <c r="I1490" s="12">
        <f>(PrincipalesVariables[[#This Row],[Dólar  mayorista]]-E1489)/E1489</f>
        <v>-3.5551041137633459E-3</v>
      </c>
      <c r="J1490" s="12">
        <f>(PrincipalesVariables[[#This Row],[Reservas internacionales]]-F1489)/F1489</f>
        <v>4.0887007552070807E-3</v>
      </c>
    </row>
    <row r="1491" spans="1:10" ht="15.75" thickBot="1" x14ac:dyDescent="0.3">
      <c r="A1491" s="14">
        <v>43139</v>
      </c>
      <c r="B1491" s="15">
        <v>43139</v>
      </c>
      <c r="C1491" s="16">
        <v>1055962</v>
      </c>
      <c r="D1491" s="10">
        <f>PrincipalesVariables[[#This Row],[Base monetaria]]/1000000</f>
        <v>1.0559620000000001</v>
      </c>
      <c r="E1491" s="10">
        <v>19.84</v>
      </c>
      <c r="F1491" s="11">
        <v>62565</v>
      </c>
      <c r="H1491" s="12">
        <f>(PrincipalesVariables[[#This Row],[Base monetaria]]-C1490)/C1490</f>
        <v>-1.2371058811865817E-2</v>
      </c>
      <c r="I1491" s="12">
        <f>(PrincipalesVariables[[#This Row],[Dólar  mayorista]]-E1490)/E1490</f>
        <v>1.1213047910295558E-2</v>
      </c>
      <c r="J1491" s="12">
        <f>(PrincipalesVariables[[#This Row],[Reservas internacionales]]-F1490)/F1490</f>
        <v>-9.1022324422726834E-4</v>
      </c>
    </row>
    <row r="1492" spans="1:10" ht="15.75" thickBot="1" x14ac:dyDescent="0.3">
      <c r="A1492" s="14">
        <v>43140</v>
      </c>
      <c r="B1492" s="15">
        <v>43140</v>
      </c>
      <c r="C1492" s="16">
        <v>1066095</v>
      </c>
      <c r="D1492" s="10">
        <f>PrincipalesVariables[[#This Row],[Base monetaria]]/1000000</f>
        <v>1.066095</v>
      </c>
      <c r="E1492" s="10">
        <v>20.13</v>
      </c>
      <c r="F1492" s="11">
        <v>62587</v>
      </c>
      <c r="H1492" s="12">
        <f>(PrincipalesVariables[[#This Row],[Base monetaria]]-C1491)/C1491</f>
        <v>9.5959892496131488E-3</v>
      </c>
      <c r="I1492" s="12">
        <f>(PrincipalesVariables[[#This Row],[Dólar  mayorista]]-E1491)/E1491</f>
        <v>1.4616935483870925E-2</v>
      </c>
      <c r="J1492" s="12">
        <f>(PrincipalesVariables[[#This Row],[Reservas internacionales]]-F1491)/F1491</f>
        <v>3.5163430032765925E-4</v>
      </c>
    </row>
    <row r="1493" spans="1:10" ht="15.75" thickBot="1" x14ac:dyDescent="0.3">
      <c r="A1493" s="14">
        <v>43145</v>
      </c>
      <c r="B1493" s="15">
        <v>43145</v>
      </c>
      <c r="C1493" s="16">
        <v>1024438</v>
      </c>
      <c r="D1493" s="10">
        <f>PrincipalesVariables[[#This Row],[Base monetaria]]/1000000</f>
        <v>1.024438</v>
      </c>
      <c r="E1493" s="10">
        <v>20.03</v>
      </c>
      <c r="F1493" s="11">
        <v>62665</v>
      </c>
      <c r="H1493" s="12">
        <f>(PrincipalesVariables[[#This Row],[Base monetaria]]-C1492)/C1492</f>
        <v>-3.9074378924955092E-2</v>
      </c>
      <c r="I1493" s="12">
        <f>(PrincipalesVariables[[#This Row],[Dólar  mayorista]]-E1492)/E1492</f>
        <v>-4.9677098857425668E-3</v>
      </c>
      <c r="J1493" s="12">
        <f>(PrincipalesVariables[[#This Row],[Reservas internacionales]]-F1492)/F1492</f>
        <v>1.2462651988432102E-3</v>
      </c>
    </row>
    <row r="1494" spans="1:10" ht="15.75" thickBot="1" x14ac:dyDescent="0.3">
      <c r="A1494" s="14">
        <v>43146</v>
      </c>
      <c r="B1494" s="15">
        <v>43146</v>
      </c>
      <c r="C1494" s="16">
        <v>1018499</v>
      </c>
      <c r="D1494" s="10">
        <f>PrincipalesVariables[[#This Row],[Base monetaria]]/1000000</f>
        <v>1.018499</v>
      </c>
      <c r="E1494" s="10">
        <v>19.739999999999998</v>
      </c>
      <c r="F1494" s="11">
        <v>62460</v>
      </c>
      <c r="H1494" s="12">
        <f>(PrincipalesVariables[[#This Row],[Base monetaria]]-C1493)/C1493</f>
        <v>-5.7973249723262902E-3</v>
      </c>
      <c r="I1494" s="12">
        <f>(PrincipalesVariables[[#This Row],[Dólar  mayorista]]-E1493)/E1493</f>
        <v>-1.4478282576135931E-2</v>
      </c>
      <c r="J1494" s="12">
        <f>(PrincipalesVariables[[#This Row],[Reservas internacionales]]-F1493)/F1493</f>
        <v>-3.2713636000957472E-3</v>
      </c>
    </row>
    <row r="1495" spans="1:10" ht="15.75" thickBot="1" x14ac:dyDescent="0.3">
      <c r="A1495" s="14">
        <v>43147</v>
      </c>
      <c r="B1495" s="15">
        <v>43147</v>
      </c>
      <c r="C1495" s="16">
        <v>992238</v>
      </c>
      <c r="D1495" s="10">
        <f>PrincipalesVariables[[#This Row],[Base monetaria]]/1000000</f>
        <v>0.99223799999999995</v>
      </c>
      <c r="E1495" s="10">
        <v>19.670000000000002</v>
      </c>
      <c r="F1495" s="11">
        <v>62313</v>
      </c>
      <c r="H1495" s="12">
        <f>(PrincipalesVariables[[#This Row],[Base monetaria]]-C1494)/C1494</f>
        <v>-2.5784021388337151E-2</v>
      </c>
      <c r="I1495" s="12">
        <f>(PrincipalesVariables[[#This Row],[Dólar  mayorista]]-E1494)/E1494</f>
        <v>-3.5460992907799765E-3</v>
      </c>
      <c r="J1495" s="12">
        <f>(PrincipalesVariables[[#This Row],[Reservas internacionales]]-F1494)/F1494</f>
        <v>-2.3535062439961575E-3</v>
      </c>
    </row>
    <row r="1496" spans="1:10" ht="15.75" thickBot="1" x14ac:dyDescent="0.3">
      <c r="A1496" s="14">
        <v>43150</v>
      </c>
      <c r="B1496" s="15">
        <v>43150</v>
      </c>
      <c r="C1496" s="16">
        <v>985104</v>
      </c>
      <c r="D1496" s="10">
        <f>PrincipalesVariables[[#This Row],[Base monetaria]]/1000000</f>
        <v>0.98510399999999998</v>
      </c>
      <c r="E1496" s="10">
        <v>19.84</v>
      </c>
      <c r="F1496" s="11">
        <v>62292</v>
      </c>
      <c r="H1496" s="12">
        <f>(PrincipalesVariables[[#This Row],[Base monetaria]]-C1495)/C1495</f>
        <v>-7.1898072841394909E-3</v>
      </c>
      <c r="I1496" s="12">
        <f>(PrincipalesVariables[[#This Row],[Dólar  mayorista]]-E1495)/E1495</f>
        <v>8.6426029486526765E-3</v>
      </c>
      <c r="J1496" s="12">
        <f>(PrincipalesVariables[[#This Row],[Reservas internacionales]]-F1495)/F1495</f>
        <v>-3.37008328920129E-4</v>
      </c>
    </row>
    <row r="1497" spans="1:10" ht="15.75" thickBot="1" x14ac:dyDescent="0.3">
      <c r="A1497" s="14">
        <v>43151</v>
      </c>
      <c r="B1497" s="15">
        <v>43151</v>
      </c>
      <c r="C1497" s="16">
        <v>971200</v>
      </c>
      <c r="D1497" s="10">
        <f>PrincipalesVariables[[#This Row],[Base monetaria]]/1000000</f>
        <v>0.97119999999999995</v>
      </c>
      <c r="E1497" s="10">
        <v>19.940000000000001</v>
      </c>
      <c r="F1497" s="11">
        <v>62217</v>
      </c>
      <c r="H1497" s="12">
        <f>(PrincipalesVariables[[#This Row],[Base monetaria]]-C1496)/C1496</f>
        <v>-1.4114245805519012E-2</v>
      </c>
      <c r="I1497" s="12">
        <f>(PrincipalesVariables[[#This Row],[Dólar  mayorista]]-E1496)/E1496</f>
        <v>5.0403225806452331E-3</v>
      </c>
      <c r="J1497" s="12">
        <f>(PrincipalesVariables[[#This Row],[Reservas internacionales]]-F1496)/F1496</f>
        <v>-1.2040069350799461E-3</v>
      </c>
    </row>
    <row r="1498" spans="1:10" ht="15.75" thickBot="1" x14ac:dyDescent="0.3">
      <c r="A1498" s="14">
        <v>43152</v>
      </c>
      <c r="B1498" s="15">
        <v>43152</v>
      </c>
      <c r="C1498" s="16">
        <v>1061699</v>
      </c>
      <c r="D1498" s="10">
        <f>PrincipalesVariables[[#This Row],[Base monetaria]]/1000000</f>
        <v>1.0616989999999999</v>
      </c>
      <c r="E1498" s="10">
        <v>19.920000000000002</v>
      </c>
      <c r="F1498" s="11">
        <v>62268</v>
      </c>
      <c r="H1498" s="12">
        <f>(PrincipalesVariables[[#This Row],[Base monetaria]]-C1497)/C1497</f>
        <v>9.3182660626029659E-2</v>
      </c>
      <c r="I1498" s="12">
        <f>(PrincipalesVariables[[#This Row],[Dólar  mayorista]]-E1497)/E1497</f>
        <v>-1.0030090270812223E-3</v>
      </c>
      <c r="J1498" s="12">
        <f>(PrincipalesVariables[[#This Row],[Reservas internacionales]]-F1497)/F1497</f>
        <v>8.1971165437099184E-4</v>
      </c>
    </row>
    <row r="1499" spans="1:10" ht="15.75" thickBot="1" x14ac:dyDescent="0.3">
      <c r="A1499" s="14">
        <v>43153</v>
      </c>
      <c r="B1499" s="15">
        <v>43153</v>
      </c>
      <c r="C1499" s="16">
        <v>1028353</v>
      </c>
      <c r="D1499" s="10">
        <f>PrincipalesVariables[[#This Row],[Base monetaria]]/1000000</f>
        <v>1.0283530000000001</v>
      </c>
      <c r="E1499" s="10">
        <v>19.940000000000001</v>
      </c>
      <c r="F1499" s="11">
        <v>62226</v>
      </c>
      <c r="H1499" s="12">
        <f>(PrincipalesVariables[[#This Row],[Base monetaria]]-C1498)/C1498</f>
        <v>-3.1408148637231459E-2</v>
      </c>
      <c r="I1499" s="12">
        <f>(PrincipalesVariables[[#This Row],[Dólar  mayorista]]-E1498)/E1498</f>
        <v>1.0040160642570066E-3</v>
      </c>
      <c r="J1499" s="12">
        <f>(PrincipalesVariables[[#This Row],[Reservas internacionales]]-F1498)/F1498</f>
        <v>-6.7450375794950862E-4</v>
      </c>
    </row>
    <row r="1500" spans="1:10" ht="15.75" thickBot="1" x14ac:dyDescent="0.3">
      <c r="A1500" s="14">
        <v>43154</v>
      </c>
      <c r="B1500" s="15">
        <v>43154</v>
      </c>
      <c r="C1500" s="16">
        <v>1033154</v>
      </c>
      <c r="D1500" s="10">
        <f>PrincipalesVariables[[#This Row],[Base monetaria]]/1000000</f>
        <v>1.0331539999999999</v>
      </c>
      <c r="E1500" s="10">
        <v>19.97</v>
      </c>
      <c r="F1500" s="11">
        <v>62118</v>
      </c>
      <c r="H1500" s="12">
        <f>(PrincipalesVariables[[#This Row],[Base monetaria]]-C1499)/C1499</f>
        <v>4.6686303244119478E-3</v>
      </c>
      <c r="I1500" s="12">
        <f>(PrincipalesVariables[[#This Row],[Dólar  mayorista]]-E1499)/E1499</f>
        <v>1.5045135406217443E-3</v>
      </c>
      <c r="J1500" s="12">
        <f>(PrincipalesVariables[[#This Row],[Reservas internacionales]]-F1499)/F1499</f>
        <v>-1.7356089094590686E-3</v>
      </c>
    </row>
    <row r="1501" spans="1:10" ht="15.75" thickBot="1" x14ac:dyDescent="0.3">
      <c r="A1501" s="14">
        <v>43157</v>
      </c>
      <c r="B1501" s="15">
        <v>43157</v>
      </c>
      <c r="C1501" s="16">
        <v>1015872</v>
      </c>
      <c r="D1501" s="10">
        <f>PrincipalesVariables[[#This Row],[Base monetaria]]/1000000</f>
        <v>1.0158720000000001</v>
      </c>
      <c r="E1501" s="10">
        <v>20.04</v>
      </c>
      <c r="F1501" s="11">
        <v>62124</v>
      </c>
      <c r="H1501" s="12">
        <f>(PrincipalesVariables[[#This Row],[Base monetaria]]-C1500)/C1500</f>
        <v>-1.6727419145645277E-2</v>
      </c>
      <c r="I1501" s="12">
        <f>(PrincipalesVariables[[#This Row],[Dólar  mayorista]]-E1500)/E1500</f>
        <v>3.5052578868302597E-3</v>
      </c>
      <c r="J1501" s="12">
        <f>(PrincipalesVariables[[#This Row],[Reservas internacionales]]-F1500)/F1500</f>
        <v>9.6590360282043858E-5</v>
      </c>
    </row>
    <row r="1502" spans="1:10" ht="15.75" thickBot="1" x14ac:dyDescent="0.3">
      <c r="A1502" s="14">
        <v>43158</v>
      </c>
      <c r="B1502" s="15">
        <v>43158</v>
      </c>
      <c r="C1502" s="16">
        <v>1006724</v>
      </c>
      <c r="D1502" s="10">
        <f>PrincipalesVariables[[#This Row],[Base monetaria]]/1000000</f>
        <v>1.006724</v>
      </c>
      <c r="E1502" s="10">
        <v>20.16</v>
      </c>
      <c r="F1502" s="11">
        <v>61815</v>
      </c>
      <c r="H1502" s="12">
        <f>(PrincipalesVariables[[#This Row],[Base monetaria]]-C1501)/C1501</f>
        <v>-9.0050715050715054E-3</v>
      </c>
      <c r="I1502" s="12">
        <f>(PrincipalesVariables[[#This Row],[Dólar  mayorista]]-E1501)/E1501</f>
        <v>5.9880239520958582E-3</v>
      </c>
      <c r="J1502" s="12">
        <f>(PrincipalesVariables[[#This Row],[Reservas internacionales]]-F1501)/F1501</f>
        <v>-4.9739231214989375E-3</v>
      </c>
    </row>
    <row r="1503" spans="1:10" ht="15.75" thickBot="1" x14ac:dyDescent="0.3">
      <c r="A1503" s="14">
        <v>43159</v>
      </c>
      <c r="B1503" s="15">
        <v>43159</v>
      </c>
      <c r="C1503" s="16">
        <v>1002919</v>
      </c>
      <c r="D1503" s="10">
        <f>PrincipalesVariables[[#This Row],[Base monetaria]]/1000000</f>
        <v>1.0029189999999999</v>
      </c>
      <c r="E1503" s="10">
        <v>20.12</v>
      </c>
      <c r="F1503" s="11">
        <v>61509</v>
      </c>
      <c r="H1503" s="12">
        <f>(PrincipalesVariables[[#This Row],[Base monetaria]]-C1502)/C1502</f>
        <v>-3.7795860633103016E-3</v>
      </c>
      <c r="I1503" s="12">
        <f>(PrincipalesVariables[[#This Row],[Dólar  mayorista]]-E1502)/E1502</f>
        <v>-1.9841269841269419E-3</v>
      </c>
      <c r="J1503" s="12">
        <f>(PrincipalesVariables[[#This Row],[Reservas internacionales]]-F1502)/F1502</f>
        <v>-4.9502547925260858E-3</v>
      </c>
    </row>
    <row r="1504" spans="1:10" ht="15.75" thickBot="1" x14ac:dyDescent="0.3">
      <c r="A1504" s="14">
        <v>43160</v>
      </c>
      <c r="B1504" s="15">
        <v>43160</v>
      </c>
      <c r="C1504" s="16">
        <v>1068068</v>
      </c>
      <c r="D1504" s="10">
        <f>PrincipalesVariables[[#This Row],[Base monetaria]]/1000000</f>
        <v>1.068068</v>
      </c>
      <c r="E1504" s="10">
        <v>20.16</v>
      </c>
      <c r="F1504" s="11">
        <v>61450</v>
      </c>
      <c r="H1504" s="12">
        <f>(PrincipalesVariables[[#This Row],[Base monetaria]]-C1503)/C1503</f>
        <v>6.4959383559390141E-2</v>
      </c>
      <c r="I1504" s="12">
        <f>(PrincipalesVariables[[#This Row],[Dólar  mayorista]]-E1503)/E1503</f>
        <v>1.9880715705764985E-3</v>
      </c>
      <c r="J1504" s="12">
        <f>(PrincipalesVariables[[#This Row],[Reservas internacionales]]-F1503)/F1503</f>
        <v>-9.5920922141475235E-4</v>
      </c>
    </row>
    <row r="1505" spans="1:10" ht="15.75" thickBot="1" x14ac:dyDescent="0.3">
      <c r="A1505" s="14">
        <v>43161</v>
      </c>
      <c r="B1505" s="15">
        <v>43161</v>
      </c>
      <c r="C1505" s="16">
        <v>1080581</v>
      </c>
      <c r="D1505" s="10">
        <f>PrincipalesVariables[[#This Row],[Base monetaria]]/1000000</f>
        <v>1.080581</v>
      </c>
      <c r="E1505" s="10">
        <v>20.23</v>
      </c>
      <c r="F1505" s="11">
        <v>61767</v>
      </c>
      <c r="H1505" s="12">
        <f>(PrincipalesVariables[[#This Row],[Base monetaria]]-C1504)/C1504</f>
        <v>1.1715546201178203E-2</v>
      </c>
      <c r="I1505" s="12">
        <f>(PrincipalesVariables[[#This Row],[Dólar  mayorista]]-E1504)/E1504</f>
        <v>3.4722222222222363E-3</v>
      </c>
      <c r="J1505" s="12">
        <f>(PrincipalesVariables[[#This Row],[Reservas internacionales]]-F1504)/F1504</f>
        <v>5.1586655817737999E-3</v>
      </c>
    </row>
    <row r="1506" spans="1:10" ht="15.75" thickBot="1" x14ac:dyDescent="0.3">
      <c r="A1506" s="14">
        <v>43164</v>
      </c>
      <c r="B1506" s="15">
        <v>43164</v>
      </c>
      <c r="C1506" s="16">
        <v>1040540</v>
      </c>
      <c r="D1506" s="10">
        <f>PrincipalesVariables[[#This Row],[Base monetaria]]/1000000</f>
        <v>1.04054</v>
      </c>
      <c r="E1506" s="10">
        <v>20.29</v>
      </c>
      <c r="F1506" s="11">
        <v>61707</v>
      </c>
      <c r="H1506" s="12">
        <f>(PrincipalesVariables[[#This Row],[Base monetaria]]-C1505)/C1505</f>
        <v>-3.7055065747037937E-2</v>
      </c>
      <c r="I1506" s="12">
        <f>(PrincipalesVariables[[#This Row],[Dólar  mayorista]]-E1505)/E1505</f>
        <v>2.9658922392485775E-3</v>
      </c>
      <c r="J1506" s="12">
        <f>(PrincipalesVariables[[#This Row],[Reservas internacionales]]-F1505)/F1505</f>
        <v>-9.7139249113604347E-4</v>
      </c>
    </row>
    <row r="1507" spans="1:10" ht="15.75" thickBot="1" x14ac:dyDescent="0.3">
      <c r="A1507" s="14">
        <v>43165</v>
      </c>
      <c r="B1507" s="15">
        <v>43165</v>
      </c>
      <c r="C1507" s="16">
        <v>1037274</v>
      </c>
      <c r="D1507" s="10">
        <f>PrincipalesVariables[[#This Row],[Base monetaria]]/1000000</f>
        <v>1.037274</v>
      </c>
      <c r="E1507" s="10">
        <v>20.2</v>
      </c>
      <c r="F1507" s="11">
        <v>62456</v>
      </c>
      <c r="H1507" s="12">
        <f>(PrincipalesVariables[[#This Row],[Base monetaria]]-C1506)/C1506</f>
        <v>-3.1387548772752608E-3</v>
      </c>
      <c r="I1507" s="12">
        <f>(PrincipalesVariables[[#This Row],[Dólar  mayorista]]-E1506)/E1506</f>
        <v>-4.4356826022671197E-3</v>
      </c>
      <c r="J1507" s="12">
        <f>(PrincipalesVariables[[#This Row],[Reservas internacionales]]-F1506)/F1506</f>
        <v>1.2138007033237721E-2</v>
      </c>
    </row>
    <row r="1508" spans="1:10" ht="15.75" thickBot="1" x14ac:dyDescent="0.3">
      <c r="A1508" s="14">
        <v>43166</v>
      </c>
      <c r="B1508" s="15">
        <v>43166</v>
      </c>
      <c r="C1508" s="16">
        <v>1039916</v>
      </c>
      <c r="D1508" s="10">
        <f>PrincipalesVariables[[#This Row],[Base monetaria]]/1000000</f>
        <v>1.0399160000000001</v>
      </c>
      <c r="E1508" s="10">
        <v>20.350000000000001</v>
      </c>
      <c r="F1508" s="11">
        <v>62610</v>
      </c>
      <c r="H1508" s="12">
        <f>(PrincipalesVariables[[#This Row],[Base monetaria]]-C1507)/C1507</f>
        <v>2.5470608537377783E-3</v>
      </c>
      <c r="I1508" s="12">
        <f>(PrincipalesVariables[[#This Row],[Dólar  mayorista]]-E1507)/E1507</f>
        <v>7.4257425742575312E-3</v>
      </c>
      <c r="J1508" s="12">
        <f>(PrincipalesVariables[[#This Row],[Reservas internacionales]]-F1507)/F1507</f>
        <v>2.4657358780581528E-3</v>
      </c>
    </row>
    <row r="1509" spans="1:10" ht="15.75" thickBot="1" x14ac:dyDescent="0.3">
      <c r="A1509" s="14">
        <v>43167</v>
      </c>
      <c r="B1509" s="15">
        <v>43167</v>
      </c>
      <c r="C1509" s="16">
        <v>1041995</v>
      </c>
      <c r="D1509" s="10">
        <f>PrincipalesVariables[[#This Row],[Base monetaria]]/1000000</f>
        <v>1.041995</v>
      </c>
      <c r="E1509" s="10">
        <v>20.39</v>
      </c>
      <c r="F1509" s="11">
        <v>62515</v>
      </c>
      <c r="H1509" s="12">
        <f>(PrincipalesVariables[[#This Row],[Base monetaria]]-C1508)/C1508</f>
        <v>1.999199935379396E-3</v>
      </c>
      <c r="I1509" s="12">
        <f>(PrincipalesVariables[[#This Row],[Dólar  mayorista]]-E1508)/E1508</f>
        <v>1.9656019656019235E-3</v>
      </c>
      <c r="J1509" s="12">
        <f>(PrincipalesVariables[[#This Row],[Reservas internacionales]]-F1508)/F1508</f>
        <v>-1.5173295000798595E-3</v>
      </c>
    </row>
    <row r="1510" spans="1:10" ht="15.75" thickBot="1" x14ac:dyDescent="0.3">
      <c r="A1510" s="14">
        <v>43168</v>
      </c>
      <c r="B1510" s="15">
        <v>43168</v>
      </c>
      <c r="C1510" s="16">
        <v>1039480</v>
      </c>
      <c r="D1510" s="10">
        <f>PrincipalesVariables[[#This Row],[Base monetaria]]/1000000</f>
        <v>1.03948</v>
      </c>
      <c r="E1510" s="10">
        <v>20.27</v>
      </c>
      <c r="F1510" s="11">
        <v>62414</v>
      </c>
      <c r="H1510" s="12">
        <f>(PrincipalesVariables[[#This Row],[Base monetaria]]-C1509)/C1509</f>
        <v>-2.4136392209175668E-3</v>
      </c>
      <c r="I1510" s="12">
        <f>(PrincipalesVariables[[#This Row],[Dólar  mayorista]]-E1509)/E1509</f>
        <v>-5.8852378616969592E-3</v>
      </c>
      <c r="J1510" s="12">
        <f>(PrincipalesVariables[[#This Row],[Reservas internacionales]]-F1509)/F1509</f>
        <v>-1.6156122530592658E-3</v>
      </c>
    </row>
    <row r="1511" spans="1:10" ht="15.75" thickBot="1" x14ac:dyDescent="0.3">
      <c r="A1511" s="14">
        <v>43171</v>
      </c>
      <c r="B1511" s="15">
        <v>43171</v>
      </c>
      <c r="C1511" s="16">
        <v>1063372</v>
      </c>
      <c r="D1511" s="10">
        <f>PrincipalesVariables[[#This Row],[Base monetaria]]/1000000</f>
        <v>1.063372</v>
      </c>
      <c r="E1511" s="10">
        <v>20.22</v>
      </c>
      <c r="F1511" s="11">
        <v>62364</v>
      </c>
      <c r="H1511" s="12">
        <f>(PrincipalesVariables[[#This Row],[Base monetaria]]-C1510)/C1510</f>
        <v>2.2984569207680765E-2</v>
      </c>
      <c r="I1511" s="12">
        <f>(PrincipalesVariables[[#This Row],[Dólar  mayorista]]-E1510)/E1510</f>
        <v>-2.466699555994115E-3</v>
      </c>
      <c r="J1511" s="12">
        <f>(PrincipalesVariables[[#This Row],[Reservas internacionales]]-F1510)/F1510</f>
        <v>-8.011023167879001E-4</v>
      </c>
    </row>
    <row r="1512" spans="1:10" ht="15.75" thickBot="1" x14ac:dyDescent="0.3">
      <c r="A1512" s="14">
        <v>43172</v>
      </c>
      <c r="B1512" s="15">
        <v>43172</v>
      </c>
      <c r="C1512" s="16">
        <v>1060355</v>
      </c>
      <c r="D1512" s="10">
        <f>PrincipalesVariables[[#This Row],[Base monetaria]]/1000000</f>
        <v>1.0603549999999999</v>
      </c>
      <c r="E1512" s="10">
        <v>20.190000000000001</v>
      </c>
      <c r="F1512" s="11">
        <v>62390</v>
      </c>
      <c r="H1512" s="12">
        <f>(PrincipalesVariables[[#This Row],[Base monetaria]]-C1511)/C1511</f>
        <v>-2.8372009042931354E-3</v>
      </c>
      <c r="I1512" s="12">
        <f>(PrincipalesVariables[[#This Row],[Dólar  mayorista]]-E1511)/E1511</f>
        <v>-1.4836795252224325E-3</v>
      </c>
      <c r="J1512" s="12">
        <f>(PrincipalesVariables[[#This Row],[Reservas internacionales]]-F1511)/F1511</f>
        <v>4.1690719004553909E-4</v>
      </c>
    </row>
    <row r="1513" spans="1:10" ht="15.75" thickBot="1" x14ac:dyDescent="0.3">
      <c r="A1513" s="14">
        <v>43173</v>
      </c>
      <c r="B1513" s="15">
        <v>43173</v>
      </c>
      <c r="C1513" s="16">
        <v>1076463</v>
      </c>
      <c r="D1513" s="10">
        <f>PrincipalesVariables[[#This Row],[Base monetaria]]/1000000</f>
        <v>1.0764629999999999</v>
      </c>
      <c r="E1513" s="10">
        <v>20.190000000000001</v>
      </c>
      <c r="F1513" s="11">
        <v>62235</v>
      </c>
      <c r="H1513" s="12">
        <f>(PrincipalesVariables[[#This Row],[Base monetaria]]-C1512)/C1512</f>
        <v>1.5191138816717043E-2</v>
      </c>
      <c r="I1513" s="12">
        <f>(PrincipalesVariables[[#This Row],[Dólar  mayorista]]-E1512)/E1512</f>
        <v>0</v>
      </c>
      <c r="J1513" s="12">
        <f>(PrincipalesVariables[[#This Row],[Reservas internacionales]]-F1512)/F1512</f>
        <v>-2.4843724955922425E-3</v>
      </c>
    </row>
    <row r="1514" spans="1:10" ht="15.75" thickBot="1" x14ac:dyDescent="0.3">
      <c r="A1514" s="14">
        <v>43174</v>
      </c>
      <c r="B1514" s="15">
        <v>43174</v>
      </c>
      <c r="C1514" s="16">
        <v>1022485</v>
      </c>
      <c r="D1514" s="10">
        <f>PrincipalesVariables[[#This Row],[Base monetaria]]/1000000</f>
        <v>1.0224850000000001</v>
      </c>
      <c r="E1514" s="10">
        <v>20.27</v>
      </c>
      <c r="F1514" s="11">
        <v>61951</v>
      </c>
      <c r="H1514" s="12">
        <f>(PrincipalesVariables[[#This Row],[Base monetaria]]-C1513)/C1513</f>
        <v>-5.0143850740805768E-2</v>
      </c>
      <c r="I1514" s="12">
        <f>(PrincipalesVariables[[#This Row],[Dólar  mayorista]]-E1513)/E1513</f>
        <v>3.962357602773566E-3</v>
      </c>
      <c r="J1514" s="12">
        <f>(PrincipalesVariables[[#This Row],[Reservas internacionales]]-F1513)/F1513</f>
        <v>-4.563348598055756E-3</v>
      </c>
    </row>
    <row r="1515" spans="1:10" ht="15.75" thickBot="1" x14ac:dyDescent="0.3">
      <c r="A1515" s="14">
        <v>43175</v>
      </c>
      <c r="B1515" s="15">
        <v>43175</v>
      </c>
      <c r="C1515" s="16">
        <v>984163</v>
      </c>
      <c r="D1515" s="10">
        <f>PrincipalesVariables[[#This Row],[Base monetaria]]/1000000</f>
        <v>0.98416300000000001</v>
      </c>
      <c r="E1515" s="10">
        <v>20.29</v>
      </c>
      <c r="F1515" s="11">
        <v>61689</v>
      </c>
      <c r="H1515" s="12">
        <f>(PrincipalesVariables[[#This Row],[Base monetaria]]-C1514)/C1514</f>
        <v>-3.7479278424622363E-2</v>
      </c>
      <c r="I1515" s="12">
        <f>(PrincipalesVariables[[#This Row],[Dólar  mayorista]]-E1514)/E1514</f>
        <v>9.8667982239761102E-4</v>
      </c>
      <c r="J1515" s="12">
        <f>(PrincipalesVariables[[#This Row],[Reservas internacionales]]-F1514)/F1514</f>
        <v>-4.2291488434407836E-3</v>
      </c>
    </row>
    <row r="1516" spans="1:10" ht="15.75" thickBot="1" x14ac:dyDescent="0.3">
      <c r="A1516" s="14">
        <v>43178</v>
      </c>
      <c r="B1516" s="15">
        <v>43178</v>
      </c>
      <c r="C1516" s="16">
        <v>983240</v>
      </c>
      <c r="D1516" s="10">
        <f>PrincipalesVariables[[#This Row],[Base monetaria]]/1000000</f>
        <v>0.98324</v>
      </c>
      <c r="E1516" s="10">
        <v>20.25</v>
      </c>
      <c r="F1516" s="11">
        <v>61604</v>
      </c>
      <c r="H1516" s="12">
        <f>(PrincipalesVariables[[#This Row],[Base monetaria]]-C1515)/C1515</f>
        <v>-9.3785277438798243E-4</v>
      </c>
      <c r="I1516" s="12">
        <f>(PrincipalesVariables[[#This Row],[Dólar  mayorista]]-E1515)/E1515</f>
        <v>-1.9714144898964588E-3</v>
      </c>
      <c r="J1516" s="12">
        <f>(PrincipalesVariables[[#This Row],[Reservas internacionales]]-F1515)/F1515</f>
        <v>-1.3778793626092172E-3</v>
      </c>
    </row>
    <row r="1517" spans="1:10" ht="15.75" thickBot="1" x14ac:dyDescent="0.3">
      <c r="A1517" s="14">
        <v>43179</v>
      </c>
      <c r="B1517" s="15">
        <v>43179</v>
      </c>
      <c r="C1517" s="16">
        <v>963234</v>
      </c>
      <c r="D1517" s="10">
        <f>PrincipalesVariables[[#This Row],[Base monetaria]]/1000000</f>
        <v>0.96323400000000003</v>
      </c>
      <c r="E1517" s="10">
        <v>20.239999999999998</v>
      </c>
      <c r="F1517" s="11">
        <v>61559</v>
      </c>
      <c r="H1517" s="12">
        <f>(PrincipalesVariables[[#This Row],[Base monetaria]]-C1516)/C1516</f>
        <v>-2.034701598795818E-2</v>
      </c>
      <c r="I1517" s="12">
        <f>(PrincipalesVariables[[#This Row],[Dólar  mayorista]]-E1516)/E1516</f>
        <v>-4.9382716049390437E-4</v>
      </c>
      <c r="J1517" s="12">
        <f>(PrincipalesVariables[[#This Row],[Reservas internacionales]]-F1516)/F1516</f>
        <v>-7.3047204726965783E-4</v>
      </c>
    </row>
    <row r="1518" spans="1:10" ht="15.75" thickBot="1" x14ac:dyDescent="0.3">
      <c r="A1518" s="14">
        <v>43180</v>
      </c>
      <c r="B1518" s="15">
        <v>43180</v>
      </c>
      <c r="C1518" s="16">
        <v>996403</v>
      </c>
      <c r="D1518" s="10">
        <f>PrincipalesVariables[[#This Row],[Base monetaria]]/1000000</f>
        <v>0.99640300000000004</v>
      </c>
      <c r="E1518" s="10">
        <v>20.28</v>
      </c>
      <c r="F1518" s="11">
        <v>61616</v>
      </c>
      <c r="H1518" s="12">
        <f>(PrincipalesVariables[[#This Row],[Base monetaria]]-C1517)/C1517</f>
        <v>3.4435038630280905E-2</v>
      </c>
      <c r="I1518" s="12">
        <f>(PrincipalesVariables[[#This Row],[Dólar  mayorista]]-E1517)/E1517</f>
        <v>1.9762845849803706E-3</v>
      </c>
      <c r="J1518" s="12">
        <f>(PrincipalesVariables[[#This Row],[Reservas internacionales]]-F1517)/F1517</f>
        <v>9.2594096720219625E-4</v>
      </c>
    </row>
    <row r="1519" spans="1:10" ht="15.75" thickBot="1" x14ac:dyDescent="0.3">
      <c r="A1519" s="14">
        <v>43181</v>
      </c>
      <c r="B1519" s="15">
        <v>43181</v>
      </c>
      <c r="C1519" s="16">
        <v>996007</v>
      </c>
      <c r="D1519" s="10">
        <f>PrincipalesVariables[[#This Row],[Base monetaria]]/1000000</f>
        <v>0.99600699999999998</v>
      </c>
      <c r="E1519" s="10">
        <v>20.25</v>
      </c>
      <c r="F1519" s="11">
        <v>61137</v>
      </c>
      <c r="H1519" s="12">
        <f>(PrincipalesVariables[[#This Row],[Base monetaria]]-C1518)/C1518</f>
        <v>-3.9742955410611969E-4</v>
      </c>
      <c r="I1519" s="12">
        <f>(PrincipalesVariables[[#This Row],[Dólar  mayorista]]-E1518)/E1518</f>
        <v>-1.4792899408284583E-3</v>
      </c>
      <c r="J1519" s="12">
        <f>(PrincipalesVariables[[#This Row],[Reservas internacionales]]-F1518)/F1518</f>
        <v>-7.7739548169306677E-3</v>
      </c>
    </row>
    <row r="1520" spans="1:10" ht="15.75" thickBot="1" x14ac:dyDescent="0.3">
      <c r="A1520" s="14">
        <v>43182</v>
      </c>
      <c r="B1520" s="15">
        <v>43182</v>
      </c>
      <c r="C1520" s="16">
        <v>1003568</v>
      </c>
      <c r="D1520" s="10">
        <f>PrincipalesVariables[[#This Row],[Base monetaria]]/1000000</f>
        <v>1.003568</v>
      </c>
      <c r="E1520" s="10">
        <v>20.21</v>
      </c>
      <c r="F1520" s="11">
        <v>60899</v>
      </c>
      <c r="H1520" s="12">
        <f>(PrincipalesVariables[[#This Row],[Base monetaria]]-C1519)/C1519</f>
        <v>7.5913121092522446E-3</v>
      </c>
      <c r="I1520" s="12">
        <f>(PrincipalesVariables[[#This Row],[Dólar  mayorista]]-E1519)/E1519</f>
        <v>-1.9753086419752666E-3</v>
      </c>
      <c r="J1520" s="12">
        <f>(PrincipalesVariables[[#This Row],[Reservas internacionales]]-F1519)/F1519</f>
        <v>-3.8928962821204835E-3</v>
      </c>
    </row>
    <row r="1521" spans="1:10" ht="15.75" thickBot="1" x14ac:dyDescent="0.3">
      <c r="A1521" s="14">
        <v>43185</v>
      </c>
      <c r="B1521" s="15">
        <v>43185</v>
      </c>
      <c r="C1521" s="16">
        <v>1003118</v>
      </c>
      <c r="D1521" s="10">
        <f>PrincipalesVariables[[#This Row],[Base monetaria]]/1000000</f>
        <v>1.003118</v>
      </c>
      <c r="E1521" s="10">
        <v>20.16</v>
      </c>
      <c r="F1521" s="11">
        <v>60920</v>
      </c>
      <c r="H1521" s="12">
        <f>(PrincipalesVariables[[#This Row],[Base monetaria]]-C1520)/C1520</f>
        <v>-4.4840010841318176E-4</v>
      </c>
      <c r="I1521" s="12">
        <f>(PrincipalesVariables[[#This Row],[Dólar  mayorista]]-E1520)/E1520</f>
        <v>-2.4740227610094362E-3</v>
      </c>
      <c r="J1521" s="12">
        <f>(PrincipalesVariables[[#This Row],[Reservas internacionales]]-F1520)/F1520</f>
        <v>3.4483324849340712E-4</v>
      </c>
    </row>
    <row r="1522" spans="1:10" ht="15.75" thickBot="1" x14ac:dyDescent="0.3">
      <c r="A1522" s="14">
        <v>43186</v>
      </c>
      <c r="B1522" s="15">
        <v>43186</v>
      </c>
      <c r="C1522" s="16">
        <v>987174</v>
      </c>
      <c r="D1522" s="10">
        <f>PrincipalesVariables[[#This Row],[Base monetaria]]/1000000</f>
        <v>0.987174</v>
      </c>
      <c r="E1522" s="10">
        <v>20.16</v>
      </c>
      <c r="F1522" s="11">
        <v>60722</v>
      </c>
      <c r="H1522" s="12">
        <f>(PrincipalesVariables[[#This Row],[Base monetaria]]-C1521)/C1521</f>
        <v>-1.5894441132548714E-2</v>
      </c>
      <c r="I1522" s="12">
        <f>(PrincipalesVariables[[#This Row],[Dólar  mayorista]]-E1521)/E1521</f>
        <v>0</v>
      </c>
      <c r="J1522" s="12">
        <f>(PrincipalesVariables[[#This Row],[Reservas internacionales]]-F1521)/F1521</f>
        <v>-3.2501641497045307E-3</v>
      </c>
    </row>
    <row r="1523" spans="1:10" ht="15.75" thickBot="1" x14ac:dyDescent="0.3">
      <c r="A1523" s="14">
        <v>43187</v>
      </c>
      <c r="B1523" s="15">
        <v>43187</v>
      </c>
      <c r="C1523" s="16">
        <v>995473</v>
      </c>
      <c r="D1523" s="10">
        <f>PrincipalesVariables[[#This Row],[Base monetaria]]/1000000</f>
        <v>0.99547300000000005</v>
      </c>
      <c r="E1523" s="10">
        <v>20.14</v>
      </c>
      <c r="F1523" s="11">
        <v>61726</v>
      </c>
      <c r="H1523" s="12">
        <f>(PrincipalesVariables[[#This Row],[Base monetaria]]-C1522)/C1522</f>
        <v>8.4068259496299542E-3</v>
      </c>
      <c r="I1523" s="12">
        <f>(PrincipalesVariables[[#This Row],[Dólar  mayorista]]-E1522)/E1522</f>
        <v>-9.9206349206347097E-4</v>
      </c>
      <c r="J1523" s="12">
        <f>(PrincipalesVariables[[#This Row],[Reservas internacionales]]-F1522)/F1522</f>
        <v>1.6534369750666973E-2</v>
      </c>
    </row>
    <row r="1524" spans="1:10" ht="15.75" thickBot="1" x14ac:dyDescent="0.3">
      <c r="A1524" s="14">
        <v>43193</v>
      </c>
      <c r="B1524" s="15">
        <v>43193</v>
      </c>
      <c r="C1524" s="16">
        <v>1079997</v>
      </c>
      <c r="D1524" s="10">
        <f>PrincipalesVariables[[#This Row],[Base monetaria]]/1000000</f>
        <v>1.0799970000000001</v>
      </c>
      <c r="E1524" s="10">
        <v>20.16</v>
      </c>
      <c r="F1524" s="11">
        <v>61548</v>
      </c>
      <c r="H1524" s="12">
        <f>(PrincipalesVariables[[#This Row],[Base monetaria]]-C1523)/C1523</f>
        <v>8.4908380237334408E-2</v>
      </c>
      <c r="I1524" s="12">
        <f>(PrincipalesVariables[[#This Row],[Dólar  mayorista]]-E1523)/E1523</f>
        <v>9.9304865938428855E-4</v>
      </c>
      <c r="J1524" s="12">
        <f>(PrincipalesVariables[[#This Row],[Reservas internacionales]]-F1523)/F1523</f>
        <v>-2.8837118880212552E-3</v>
      </c>
    </row>
    <row r="1525" spans="1:10" ht="15.75" thickBot="1" x14ac:dyDescent="0.3">
      <c r="A1525" s="14">
        <v>43194</v>
      </c>
      <c r="B1525" s="15">
        <v>43194</v>
      </c>
      <c r="C1525" s="16">
        <v>1081293</v>
      </c>
      <c r="D1525" s="10">
        <f>PrincipalesVariables[[#This Row],[Base monetaria]]/1000000</f>
        <v>1.0812930000000001</v>
      </c>
      <c r="E1525" s="10">
        <v>20.2</v>
      </c>
      <c r="F1525" s="11">
        <v>61566</v>
      </c>
      <c r="H1525" s="12">
        <f>(PrincipalesVariables[[#This Row],[Base monetaria]]-C1524)/C1524</f>
        <v>1.2000033333425925E-3</v>
      </c>
      <c r="I1525" s="12">
        <f>(PrincipalesVariables[[#This Row],[Dólar  mayorista]]-E1524)/E1524</f>
        <v>1.9841269841269419E-3</v>
      </c>
      <c r="J1525" s="12">
        <f>(PrincipalesVariables[[#This Row],[Reservas internacionales]]-F1524)/F1524</f>
        <v>2.9245466952622346E-4</v>
      </c>
    </row>
    <row r="1526" spans="1:10" ht="15.75" thickBot="1" x14ac:dyDescent="0.3">
      <c r="A1526" s="14">
        <v>43195</v>
      </c>
      <c r="B1526" s="15">
        <v>43195</v>
      </c>
      <c r="C1526" s="16">
        <v>1052861</v>
      </c>
      <c r="D1526" s="10">
        <f>PrincipalesVariables[[#This Row],[Base monetaria]]/1000000</f>
        <v>1.052861</v>
      </c>
      <c r="E1526" s="10">
        <v>20.18</v>
      </c>
      <c r="F1526" s="11">
        <v>61667</v>
      </c>
      <c r="H1526" s="12">
        <f>(PrincipalesVariables[[#This Row],[Base monetaria]]-C1525)/C1525</f>
        <v>-2.6294445631295127E-2</v>
      </c>
      <c r="I1526" s="12">
        <f>(PrincipalesVariables[[#This Row],[Dólar  mayorista]]-E1525)/E1525</f>
        <v>-9.9009900990096908E-4</v>
      </c>
      <c r="J1526" s="12">
        <f>(PrincipalesVariables[[#This Row],[Reservas internacionales]]-F1525)/F1525</f>
        <v>1.640515869148556E-3</v>
      </c>
    </row>
    <row r="1527" spans="1:10" ht="15.75" thickBot="1" x14ac:dyDescent="0.3">
      <c r="A1527" s="14">
        <v>43196</v>
      </c>
      <c r="B1527" s="15">
        <v>43196</v>
      </c>
      <c r="C1527" s="16">
        <v>1036337</v>
      </c>
      <c r="D1527" s="10">
        <f>PrincipalesVariables[[#This Row],[Base monetaria]]/1000000</f>
        <v>1.0363370000000001</v>
      </c>
      <c r="E1527" s="10">
        <v>20.21</v>
      </c>
      <c r="F1527" s="11">
        <v>61610</v>
      </c>
      <c r="H1527" s="12">
        <f>(PrincipalesVariables[[#This Row],[Base monetaria]]-C1526)/C1526</f>
        <v>-1.5694379410007588E-2</v>
      </c>
      <c r="I1527" s="12">
        <f>(PrincipalesVariables[[#This Row],[Dólar  mayorista]]-E1526)/E1526</f>
        <v>1.4866204162537729E-3</v>
      </c>
      <c r="J1527" s="12">
        <f>(PrincipalesVariables[[#This Row],[Reservas internacionales]]-F1526)/F1526</f>
        <v>-9.2431932800363244E-4</v>
      </c>
    </row>
    <row r="1528" spans="1:10" ht="15.75" thickBot="1" x14ac:dyDescent="0.3">
      <c r="A1528" s="14">
        <v>43199</v>
      </c>
      <c r="B1528" s="15">
        <v>43199</v>
      </c>
      <c r="C1528" s="16">
        <v>1021038</v>
      </c>
      <c r="D1528" s="10">
        <f>PrincipalesVariables[[#This Row],[Base monetaria]]/1000000</f>
        <v>1.0210379999999999</v>
      </c>
      <c r="E1528" s="10">
        <v>20.190000000000001</v>
      </c>
      <c r="F1528" s="11">
        <v>61668</v>
      </c>
      <c r="H1528" s="12">
        <f>(PrincipalesVariables[[#This Row],[Base monetaria]]-C1527)/C1527</f>
        <v>-1.4762572406466236E-2</v>
      </c>
      <c r="I1528" s="12">
        <f>(PrincipalesVariables[[#This Row],[Dólar  mayorista]]-E1527)/E1527</f>
        <v>-9.8960910440373936E-4</v>
      </c>
      <c r="J1528" s="12">
        <f>(PrincipalesVariables[[#This Row],[Reservas internacionales]]-F1527)/F1527</f>
        <v>9.4140561597143323E-4</v>
      </c>
    </row>
    <row r="1529" spans="1:10" ht="15.75" thickBot="1" x14ac:dyDescent="0.3">
      <c r="A1529" s="14">
        <v>43200</v>
      </c>
      <c r="B1529" s="15">
        <v>43200</v>
      </c>
      <c r="C1529" s="16">
        <v>1016710</v>
      </c>
      <c r="D1529" s="10">
        <f>PrincipalesVariables[[#This Row],[Base monetaria]]/1000000</f>
        <v>1.01671</v>
      </c>
      <c r="E1529" s="10">
        <v>20.190000000000001</v>
      </c>
      <c r="F1529" s="11">
        <v>61769</v>
      </c>
      <c r="H1529" s="12">
        <f>(PrincipalesVariables[[#This Row],[Base monetaria]]-C1528)/C1528</f>
        <v>-4.2388236285035427E-3</v>
      </c>
      <c r="I1529" s="12">
        <f>(PrincipalesVariables[[#This Row],[Dólar  mayorista]]-E1528)/E1528</f>
        <v>0</v>
      </c>
      <c r="J1529" s="12">
        <f>(PrincipalesVariables[[#This Row],[Reservas internacionales]]-F1528)/F1528</f>
        <v>1.6378024258934941E-3</v>
      </c>
    </row>
    <row r="1530" spans="1:10" ht="15.75" thickBot="1" x14ac:dyDescent="0.3">
      <c r="A1530" s="14">
        <v>43201</v>
      </c>
      <c r="B1530" s="15">
        <v>43201</v>
      </c>
      <c r="C1530" s="16">
        <v>1029314</v>
      </c>
      <c r="D1530" s="10">
        <f>PrincipalesVariables[[#This Row],[Base monetaria]]/1000000</f>
        <v>1.0293140000000001</v>
      </c>
      <c r="E1530" s="10">
        <v>20.16</v>
      </c>
      <c r="F1530" s="11">
        <v>61840</v>
      </c>
      <c r="H1530" s="12">
        <f>(PrincipalesVariables[[#This Row],[Base monetaria]]-C1529)/C1529</f>
        <v>1.239684865890962E-2</v>
      </c>
      <c r="I1530" s="12">
        <f>(PrincipalesVariables[[#This Row],[Dólar  mayorista]]-E1529)/E1529</f>
        <v>-1.4858841010401752E-3</v>
      </c>
      <c r="J1530" s="12">
        <f>(PrincipalesVariables[[#This Row],[Reservas internacionales]]-F1529)/F1529</f>
        <v>1.1494438958053392E-3</v>
      </c>
    </row>
    <row r="1531" spans="1:10" ht="15.75" thickBot="1" x14ac:dyDescent="0.3">
      <c r="A1531" s="14">
        <v>43202</v>
      </c>
      <c r="B1531" s="15">
        <v>43202</v>
      </c>
      <c r="C1531" s="16">
        <v>1022337</v>
      </c>
      <c r="D1531" s="10">
        <f>PrincipalesVariables[[#This Row],[Base monetaria]]/1000000</f>
        <v>1.0223370000000001</v>
      </c>
      <c r="E1531" s="10">
        <v>20.170000000000002</v>
      </c>
      <c r="F1531" s="11">
        <v>61832</v>
      </c>
      <c r="H1531" s="12">
        <f>(PrincipalesVariables[[#This Row],[Base monetaria]]-C1530)/C1530</f>
        <v>-6.7783008877757419E-3</v>
      </c>
      <c r="I1531" s="12">
        <f>(PrincipalesVariables[[#This Row],[Dólar  mayorista]]-E1530)/E1530</f>
        <v>4.9603174603182352E-4</v>
      </c>
      <c r="J1531" s="12">
        <f>(PrincipalesVariables[[#This Row],[Reservas internacionales]]-F1530)/F1530</f>
        <v>-1.2936610608020699E-4</v>
      </c>
    </row>
    <row r="1532" spans="1:10" ht="15.75" thickBot="1" x14ac:dyDescent="0.3">
      <c r="A1532" s="14">
        <v>43203</v>
      </c>
      <c r="B1532" s="15">
        <v>43203</v>
      </c>
      <c r="C1532" s="16">
        <v>1012013</v>
      </c>
      <c r="D1532" s="10">
        <f>PrincipalesVariables[[#This Row],[Base monetaria]]/1000000</f>
        <v>1.0120130000000001</v>
      </c>
      <c r="E1532" s="10">
        <v>20.21</v>
      </c>
      <c r="F1532" s="11">
        <v>61648</v>
      </c>
      <c r="H1532" s="12">
        <f>(PrincipalesVariables[[#This Row],[Base monetaria]]-C1531)/C1531</f>
        <v>-1.0098431339176808E-2</v>
      </c>
      <c r="I1532" s="12">
        <f>(PrincipalesVariables[[#This Row],[Dólar  mayorista]]-E1531)/E1531</f>
        <v>1.9831432821020892E-3</v>
      </c>
      <c r="J1532" s="12">
        <f>(PrincipalesVariables[[#This Row],[Reservas internacionales]]-F1531)/F1531</f>
        <v>-2.9758054082028723E-3</v>
      </c>
    </row>
    <row r="1533" spans="1:10" ht="15.75" thickBot="1" x14ac:dyDescent="0.3">
      <c r="A1533" s="14">
        <v>43206</v>
      </c>
      <c r="B1533" s="15">
        <v>43206</v>
      </c>
      <c r="C1533" s="16">
        <v>982228</v>
      </c>
      <c r="D1533" s="10">
        <f>PrincipalesVariables[[#This Row],[Base monetaria]]/1000000</f>
        <v>0.98222799999999999</v>
      </c>
      <c r="E1533" s="10">
        <v>20.22</v>
      </c>
      <c r="F1533" s="11">
        <v>61377</v>
      </c>
      <c r="H1533" s="12">
        <f>(PrincipalesVariables[[#This Row],[Base monetaria]]-C1532)/C1532</f>
        <v>-2.9431440109959062E-2</v>
      </c>
      <c r="I1533" s="12">
        <f>(PrincipalesVariables[[#This Row],[Dólar  mayorista]]-E1532)/E1532</f>
        <v>4.9480455220178175E-4</v>
      </c>
      <c r="J1533" s="12">
        <f>(PrincipalesVariables[[#This Row],[Reservas internacionales]]-F1532)/F1532</f>
        <v>-4.3959252530495719E-3</v>
      </c>
    </row>
    <row r="1534" spans="1:10" ht="15.75" thickBot="1" x14ac:dyDescent="0.3">
      <c r="A1534" s="14">
        <v>43207</v>
      </c>
      <c r="B1534" s="15">
        <v>43207</v>
      </c>
      <c r="C1534" s="16">
        <v>992687</v>
      </c>
      <c r="D1534" s="10">
        <f>PrincipalesVariables[[#This Row],[Base monetaria]]/1000000</f>
        <v>0.99268699999999999</v>
      </c>
      <c r="E1534" s="10">
        <v>20.18</v>
      </c>
      <c r="F1534" s="11">
        <v>61476</v>
      </c>
      <c r="H1534" s="12">
        <f>(PrincipalesVariables[[#This Row],[Base monetaria]]-C1533)/C1533</f>
        <v>1.0648240530711811E-2</v>
      </c>
      <c r="I1534" s="12">
        <f>(PrincipalesVariables[[#This Row],[Dólar  mayorista]]-E1533)/E1533</f>
        <v>-1.9782393669633604E-3</v>
      </c>
      <c r="J1534" s="12">
        <f>(PrincipalesVariables[[#This Row],[Reservas internacionales]]-F1533)/F1533</f>
        <v>1.6129820616843443E-3</v>
      </c>
    </row>
    <row r="1535" spans="1:10" ht="15.75" thickBot="1" x14ac:dyDescent="0.3">
      <c r="A1535" s="14">
        <v>43208</v>
      </c>
      <c r="B1535" s="15">
        <v>43208</v>
      </c>
      <c r="C1535" s="16">
        <v>1058076</v>
      </c>
      <c r="D1535" s="10">
        <f>PrincipalesVariables[[#This Row],[Base monetaria]]/1000000</f>
        <v>1.058076</v>
      </c>
      <c r="E1535" s="10">
        <v>20.149999999999999</v>
      </c>
      <c r="F1535" s="11">
        <v>61364</v>
      </c>
      <c r="H1535" s="12">
        <f>(PrincipalesVariables[[#This Row],[Base monetaria]]-C1534)/C1534</f>
        <v>6.5870712520663607E-2</v>
      </c>
      <c r="I1535" s="12">
        <f>(PrincipalesVariables[[#This Row],[Dólar  mayorista]]-E1534)/E1534</f>
        <v>-1.4866204162537729E-3</v>
      </c>
      <c r="J1535" s="12">
        <f>(PrincipalesVariables[[#This Row],[Reservas internacionales]]-F1534)/F1534</f>
        <v>-1.8218491769145682E-3</v>
      </c>
    </row>
    <row r="1536" spans="1:10" ht="15.75" thickBot="1" x14ac:dyDescent="0.3">
      <c r="A1536" s="14">
        <v>43209</v>
      </c>
      <c r="B1536" s="15">
        <v>43209</v>
      </c>
      <c r="C1536" s="16">
        <v>1034676</v>
      </c>
      <c r="D1536" s="10">
        <f>PrincipalesVariables[[#This Row],[Base monetaria]]/1000000</f>
        <v>1.0346759999999999</v>
      </c>
      <c r="E1536" s="10">
        <v>20.16</v>
      </c>
      <c r="F1536" s="11">
        <v>62456</v>
      </c>
      <c r="H1536" s="12">
        <f>(PrincipalesVariables[[#This Row],[Base monetaria]]-C1535)/C1535</f>
        <v>-2.211561362321799E-2</v>
      </c>
      <c r="I1536" s="12">
        <f>(PrincipalesVariables[[#This Row],[Dólar  mayorista]]-E1535)/E1535</f>
        <v>4.9627791563283197E-4</v>
      </c>
      <c r="J1536" s="12">
        <f>(PrincipalesVariables[[#This Row],[Reservas internacionales]]-F1535)/F1535</f>
        <v>1.7795450101036437E-2</v>
      </c>
    </row>
    <row r="1537" spans="1:10" ht="15.75" thickBot="1" x14ac:dyDescent="0.3">
      <c r="A1537" s="14">
        <v>43210</v>
      </c>
      <c r="B1537" s="15">
        <v>43210</v>
      </c>
      <c r="C1537" s="16">
        <v>1019481</v>
      </c>
      <c r="D1537" s="10">
        <f>PrincipalesVariables[[#This Row],[Base monetaria]]/1000000</f>
        <v>1.0194810000000001</v>
      </c>
      <c r="E1537" s="10">
        <v>20.190000000000001</v>
      </c>
      <c r="F1537" s="11">
        <v>61599</v>
      </c>
      <c r="H1537" s="12">
        <f>(PrincipalesVariables[[#This Row],[Base monetaria]]-C1536)/C1536</f>
        <v>-1.4685756700648318E-2</v>
      </c>
      <c r="I1537" s="12">
        <f>(PrincipalesVariables[[#This Row],[Dólar  mayorista]]-E1536)/E1536</f>
        <v>1.4880952380952944E-3</v>
      </c>
      <c r="J1537" s="12">
        <f>(PrincipalesVariables[[#This Row],[Reservas internacionales]]-F1536)/F1536</f>
        <v>-1.3721660048674266E-2</v>
      </c>
    </row>
    <row r="1538" spans="1:10" ht="15.75" thickBot="1" x14ac:dyDescent="0.3">
      <c r="A1538" s="14">
        <v>43213</v>
      </c>
      <c r="B1538" s="15">
        <v>43213</v>
      </c>
      <c r="C1538" s="16">
        <v>1021051</v>
      </c>
      <c r="D1538" s="10">
        <f>PrincipalesVariables[[#This Row],[Base monetaria]]/1000000</f>
        <v>1.0210509999999999</v>
      </c>
      <c r="E1538" s="10">
        <v>20.25</v>
      </c>
      <c r="F1538" s="11">
        <v>61185</v>
      </c>
      <c r="H1538" s="12">
        <f>(PrincipalesVariables[[#This Row],[Base monetaria]]-C1537)/C1537</f>
        <v>1.5399992741404695E-3</v>
      </c>
      <c r="I1538" s="12">
        <f>(PrincipalesVariables[[#This Row],[Dólar  mayorista]]-E1537)/E1537</f>
        <v>2.9717682020801743E-3</v>
      </c>
      <c r="J1538" s="12">
        <f>(PrincipalesVariables[[#This Row],[Reservas internacionales]]-F1537)/F1537</f>
        <v>-6.7208883261091904E-3</v>
      </c>
    </row>
    <row r="1539" spans="1:10" ht="15.75" thickBot="1" x14ac:dyDescent="0.3">
      <c r="A1539" s="14">
        <v>43214</v>
      </c>
      <c r="B1539" s="15">
        <v>43214</v>
      </c>
      <c r="C1539" s="16">
        <v>1005237</v>
      </c>
      <c r="D1539" s="10">
        <f>PrincipalesVariables[[#This Row],[Base monetaria]]/1000000</f>
        <v>1.0052369999999999</v>
      </c>
      <c r="E1539" s="10">
        <v>20.25</v>
      </c>
      <c r="F1539" s="11">
        <v>60795</v>
      </c>
      <c r="H1539" s="12">
        <f>(PrincipalesVariables[[#This Row],[Base monetaria]]-C1538)/C1538</f>
        <v>-1.5487962893136581E-2</v>
      </c>
      <c r="I1539" s="12">
        <f>(PrincipalesVariables[[#This Row],[Dólar  mayorista]]-E1538)/E1538</f>
        <v>0</v>
      </c>
      <c r="J1539" s="12">
        <f>(PrincipalesVariables[[#This Row],[Reservas internacionales]]-F1538)/F1538</f>
        <v>-6.374111301789654E-3</v>
      </c>
    </row>
    <row r="1540" spans="1:10" ht="15.75" thickBot="1" x14ac:dyDescent="0.3">
      <c r="A1540" s="14">
        <v>43215</v>
      </c>
      <c r="B1540" s="15">
        <v>43215</v>
      </c>
      <c r="C1540" s="16">
        <v>993672</v>
      </c>
      <c r="D1540" s="10">
        <f>PrincipalesVariables[[#This Row],[Base monetaria]]/1000000</f>
        <v>0.993672</v>
      </c>
      <c r="E1540" s="10">
        <v>20.260000000000002</v>
      </c>
      <c r="F1540" s="11">
        <v>59424</v>
      </c>
      <c r="H1540" s="12">
        <f>(PrincipalesVariables[[#This Row],[Base monetaria]]-C1539)/C1539</f>
        <v>-1.1504749626207551E-2</v>
      </c>
      <c r="I1540" s="12">
        <f>(PrincipalesVariables[[#This Row],[Dólar  mayorista]]-E1539)/E1539</f>
        <v>4.9382716049390437E-4</v>
      </c>
      <c r="J1540" s="12">
        <f>(PrincipalesVariables[[#This Row],[Reservas internacionales]]-F1539)/F1539</f>
        <v>-2.2551196644460893E-2</v>
      </c>
    </row>
    <row r="1541" spans="1:10" ht="15.75" thickBot="1" x14ac:dyDescent="0.3">
      <c r="A1541" s="14">
        <v>43216</v>
      </c>
      <c r="B1541" s="15">
        <v>43216</v>
      </c>
      <c r="C1541" s="16">
        <v>1008995</v>
      </c>
      <c r="D1541" s="10">
        <f>PrincipalesVariables[[#This Row],[Base monetaria]]/1000000</f>
        <v>1.0089950000000001</v>
      </c>
      <c r="E1541" s="10">
        <v>20.45</v>
      </c>
      <c r="F1541" s="11">
        <v>58401</v>
      </c>
      <c r="H1541" s="12">
        <f>(PrincipalesVariables[[#This Row],[Base monetaria]]-C1540)/C1540</f>
        <v>1.5420581439348196E-2</v>
      </c>
      <c r="I1541" s="12">
        <f>(PrincipalesVariables[[#This Row],[Dólar  mayorista]]-E1540)/E1540</f>
        <v>9.3780848963473697E-3</v>
      </c>
      <c r="J1541" s="12">
        <f>(PrincipalesVariables[[#This Row],[Reservas internacionales]]-F1540)/F1540</f>
        <v>-1.7215266558966075E-2</v>
      </c>
    </row>
    <row r="1542" spans="1:10" ht="15.75" thickBot="1" x14ac:dyDescent="0.3">
      <c r="A1542" s="14">
        <v>43217</v>
      </c>
      <c r="B1542" s="15">
        <v>43217</v>
      </c>
      <c r="C1542" s="16">
        <v>999359</v>
      </c>
      <c r="D1542" s="10">
        <f>PrincipalesVariables[[#This Row],[Base monetaria]]/1000000</f>
        <v>0.999359</v>
      </c>
      <c r="E1542" s="10">
        <v>20.69</v>
      </c>
      <c r="F1542" s="11">
        <v>56623</v>
      </c>
      <c r="H1542" s="12">
        <f>(PrincipalesVariables[[#This Row],[Base monetaria]]-C1541)/C1541</f>
        <v>-9.5500968785771981E-3</v>
      </c>
      <c r="I1542" s="12">
        <f>(PrincipalesVariables[[#This Row],[Dólar  mayorista]]-E1541)/E1541</f>
        <v>1.1735941320293496E-2</v>
      </c>
      <c r="J1542" s="12">
        <f>(PrincipalesVariables[[#This Row],[Reservas internacionales]]-F1541)/F1541</f>
        <v>-3.0444684166367014E-2</v>
      </c>
    </row>
    <row r="1543" spans="1:10" ht="15.75" thickBot="1" x14ac:dyDescent="0.3">
      <c r="A1543" s="14">
        <v>43222</v>
      </c>
      <c r="B1543" s="15">
        <v>43222</v>
      </c>
      <c r="C1543" s="16">
        <v>1054561</v>
      </c>
      <c r="D1543" s="10">
        <f>PrincipalesVariables[[#This Row],[Base monetaria]]/1000000</f>
        <v>1.0545610000000001</v>
      </c>
      <c r="E1543" s="10">
        <v>20.97</v>
      </c>
      <c r="F1543" s="11">
        <v>55998</v>
      </c>
      <c r="H1543" s="12">
        <f>(PrincipalesVariables[[#This Row],[Base monetaria]]-C1542)/C1542</f>
        <v>5.5237407178001095E-2</v>
      </c>
      <c r="I1543" s="12">
        <f>(PrincipalesVariables[[#This Row],[Dólar  mayorista]]-E1542)/E1542</f>
        <v>1.3533107781536857E-2</v>
      </c>
      <c r="J1543" s="12">
        <f>(PrincipalesVariables[[#This Row],[Reservas internacionales]]-F1542)/F1542</f>
        <v>-1.1037917454038112E-2</v>
      </c>
    </row>
    <row r="1544" spans="1:10" ht="15.75" thickBot="1" x14ac:dyDescent="0.3">
      <c r="A1544" s="14">
        <v>43223</v>
      </c>
      <c r="B1544" s="15">
        <v>43223</v>
      </c>
      <c r="C1544" s="16">
        <v>1046478</v>
      </c>
      <c r="D1544" s="10">
        <f>PrincipalesVariables[[#This Row],[Base monetaria]]/1000000</f>
        <v>1.046478</v>
      </c>
      <c r="E1544" s="10">
        <v>21.75</v>
      </c>
      <c r="F1544" s="11">
        <v>56147</v>
      </c>
      <c r="H1544" s="12">
        <f>(PrincipalesVariables[[#This Row],[Base monetaria]]-C1543)/C1543</f>
        <v>-7.6648008033674674E-3</v>
      </c>
      <c r="I1544" s="12">
        <f>(PrincipalesVariables[[#This Row],[Dólar  mayorista]]-E1543)/E1543</f>
        <v>3.7195994277539397E-2</v>
      </c>
      <c r="J1544" s="12">
        <f>(PrincipalesVariables[[#This Row],[Reservas internacionales]]-F1543)/F1543</f>
        <v>2.6608093146183792E-3</v>
      </c>
    </row>
    <row r="1545" spans="1:10" ht="15.75" thickBot="1" x14ac:dyDescent="0.3">
      <c r="A1545" s="14">
        <v>43224</v>
      </c>
      <c r="B1545" s="15">
        <v>43224</v>
      </c>
      <c r="C1545" s="16">
        <v>1049846</v>
      </c>
      <c r="D1545" s="10">
        <f>PrincipalesVariables[[#This Row],[Base monetaria]]/1000000</f>
        <v>1.0498460000000001</v>
      </c>
      <c r="E1545" s="10">
        <v>21.7</v>
      </c>
      <c r="F1545" s="11">
        <v>56015</v>
      </c>
      <c r="H1545" s="12">
        <f>(PrincipalesVariables[[#This Row],[Base monetaria]]-C1544)/C1544</f>
        <v>3.2184145294979925E-3</v>
      </c>
      <c r="I1545" s="12">
        <f>(PrincipalesVariables[[#This Row],[Dólar  mayorista]]-E1544)/E1544</f>
        <v>-2.2988505747126762E-3</v>
      </c>
      <c r="J1545" s="12">
        <f>(PrincipalesVariables[[#This Row],[Reservas internacionales]]-F1544)/F1544</f>
        <v>-2.3509715568062407E-3</v>
      </c>
    </row>
    <row r="1546" spans="1:10" ht="15.75" thickBot="1" x14ac:dyDescent="0.3">
      <c r="A1546" s="14">
        <v>43227</v>
      </c>
      <c r="B1546" s="15">
        <v>43227</v>
      </c>
      <c r="C1546" s="16">
        <v>1021116</v>
      </c>
      <c r="D1546" s="10">
        <f>PrincipalesVariables[[#This Row],[Base monetaria]]/1000000</f>
        <v>1.0211159999999999</v>
      </c>
      <c r="E1546" s="10">
        <v>21.83</v>
      </c>
      <c r="F1546" s="11">
        <v>55593</v>
      </c>
      <c r="H1546" s="12">
        <f>(PrincipalesVariables[[#This Row],[Base monetaria]]-C1545)/C1545</f>
        <v>-2.7365918429941152E-2</v>
      </c>
      <c r="I1546" s="12">
        <f>(PrincipalesVariables[[#This Row],[Dólar  mayorista]]-E1545)/E1545</f>
        <v>5.9907834101382033E-3</v>
      </c>
      <c r="J1546" s="12">
        <f>(PrincipalesVariables[[#This Row],[Reservas internacionales]]-F1545)/F1545</f>
        <v>-7.5336963313398196E-3</v>
      </c>
    </row>
    <row r="1547" spans="1:10" ht="15.75" thickBot="1" x14ac:dyDescent="0.3">
      <c r="A1547" s="14">
        <v>43228</v>
      </c>
      <c r="B1547" s="15">
        <v>43228</v>
      </c>
      <c r="C1547" s="16">
        <v>1001431</v>
      </c>
      <c r="D1547" s="10">
        <f>PrincipalesVariables[[#This Row],[Base monetaria]]/1000000</f>
        <v>1.001431</v>
      </c>
      <c r="E1547" s="10">
        <v>22.76</v>
      </c>
      <c r="F1547" s="11">
        <v>55196</v>
      </c>
      <c r="H1547" s="12">
        <f>(PrincipalesVariables[[#This Row],[Base monetaria]]-C1546)/C1546</f>
        <v>-1.9277927287399278E-2</v>
      </c>
      <c r="I1547" s="12">
        <f>(PrincipalesVariables[[#This Row],[Dólar  mayorista]]-E1546)/E1546</f>
        <v>4.2601923957856315E-2</v>
      </c>
      <c r="J1547" s="12">
        <f>(PrincipalesVariables[[#This Row],[Reservas internacionales]]-F1546)/F1546</f>
        <v>-7.1411868400697931E-3</v>
      </c>
    </row>
    <row r="1548" spans="1:10" ht="15.75" thickBot="1" x14ac:dyDescent="0.3">
      <c r="A1548" s="14">
        <v>43229</v>
      </c>
      <c r="B1548" s="15">
        <v>43229</v>
      </c>
      <c r="C1548" s="16">
        <v>1002055</v>
      </c>
      <c r="D1548" s="10">
        <f>PrincipalesVariables[[#This Row],[Base monetaria]]/1000000</f>
        <v>1.0020549999999999</v>
      </c>
      <c r="E1548" s="10">
        <v>22.57</v>
      </c>
      <c r="F1548" s="11">
        <v>57016</v>
      </c>
      <c r="H1548" s="12">
        <f>(PrincipalesVariables[[#This Row],[Base monetaria]]-C1547)/C1547</f>
        <v>6.2310833197694098E-4</v>
      </c>
      <c r="I1548" s="12">
        <f>(PrincipalesVariables[[#This Row],[Dólar  mayorista]]-E1547)/E1547</f>
        <v>-8.3479789103691245E-3</v>
      </c>
      <c r="J1548" s="12">
        <f>(PrincipalesVariables[[#This Row],[Reservas internacionales]]-F1547)/F1547</f>
        <v>3.2973403869845638E-2</v>
      </c>
    </row>
    <row r="1549" spans="1:10" ht="15.75" thickBot="1" x14ac:dyDescent="0.3">
      <c r="A1549" s="14">
        <v>43230</v>
      </c>
      <c r="B1549" s="15">
        <v>43230</v>
      </c>
      <c r="C1549" s="16">
        <v>1010683</v>
      </c>
      <c r="D1549" s="10">
        <f>PrincipalesVariables[[#This Row],[Base monetaria]]/1000000</f>
        <v>1.010683</v>
      </c>
      <c r="E1549" s="10">
        <v>22.63</v>
      </c>
      <c r="F1549" s="11">
        <v>56322</v>
      </c>
      <c r="H1549" s="12">
        <f>(PrincipalesVariables[[#This Row],[Base monetaria]]-C1548)/C1548</f>
        <v>8.6103058215367418E-3</v>
      </c>
      <c r="I1549" s="12">
        <f>(PrincipalesVariables[[#This Row],[Dólar  mayorista]]-E1548)/E1548</f>
        <v>2.6583961010189952E-3</v>
      </c>
      <c r="J1549" s="12">
        <f>(PrincipalesVariables[[#This Row],[Reservas internacionales]]-F1548)/F1548</f>
        <v>-1.2172021888592675E-2</v>
      </c>
    </row>
    <row r="1550" spans="1:10" ht="15.75" thickBot="1" x14ac:dyDescent="0.3">
      <c r="A1550" s="14">
        <v>43231</v>
      </c>
      <c r="B1550" s="15">
        <v>43231</v>
      </c>
      <c r="C1550" s="16">
        <v>1032630</v>
      </c>
      <c r="D1550" s="10">
        <f>PrincipalesVariables[[#This Row],[Base monetaria]]/1000000</f>
        <v>1.0326299999999999</v>
      </c>
      <c r="E1550" s="10">
        <v>23.23</v>
      </c>
      <c r="F1550" s="11">
        <v>54428</v>
      </c>
      <c r="H1550" s="12">
        <f>(PrincipalesVariables[[#This Row],[Base monetaria]]-C1549)/C1549</f>
        <v>2.171501845781516E-2</v>
      </c>
      <c r="I1550" s="12">
        <f>(PrincipalesVariables[[#This Row],[Dólar  mayorista]]-E1549)/E1549</f>
        <v>2.6513477684489681E-2</v>
      </c>
      <c r="J1550" s="12">
        <f>(PrincipalesVariables[[#This Row],[Reservas internacionales]]-F1549)/F1549</f>
        <v>-3.3628067185114165E-2</v>
      </c>
    </row>
    <row r="1551" spans="1:10" ht="15.75" thickBot="1" x14ac:dyDescent="0.3">
      <c r="A1551" s="14">
        <v>43234</v>
      </c>
      <c r="B1551" s="15">
        <v>43234</v>
      </c>
      <c r="C1551" s="16">
        <v>1057326</v>
      </c>
      <c r="D1551" s="10">
        <f>PrincipalesVariables[[#This Row],[Base monetaria]]/1000000</f>
        <v>1.057326</v>
      </c>
      <c r="E1551" s="10">
        <v>24.77</v>
      </c>
      <c r="F1551" s="11">
        <v>53422</v>
      </c>
      <c r="H1551" s="12">
        <f>(PrincipalesVariables[[#This Row],[Base monetaria]]-C1550)/C1550</f>
        <v>2.3915632898521253E-2</v>
      </c>
      <c r="I1551" s="12">
        <f>(PrincipalesVariables[[#This Row],[Dólar  mayorista]]-E1550)/E1550</f>
        <v>6.6293585880327119E-2</v>
      </c>
      <c r="J1551" s="12">
        <f>(PrincipalesVariables[[#This Row],[Reservas internacionales]]-F1550)/F1550</f>
        <v>-1.8483133681193503E-2</v>
      </c>
    </row>
    <row r="1552" spans="1:10" ht="15.75" thickBot="1" x14ac:dyDescent="0.3">
      <c r="A1552" s="14">
        <v>43235</v>
      </c>
      <c r="B1552" s="15">
        <v>43235</v>
      </c>
      <c r="C1552" s="16">
        <v>1058421</v>
      </c>
      <c r="D1552" s="10">
        <f>PrincipalesVariables[[#This Row],[Base monetaria]]/1000000</f>
        <v>1.0584210000000001</v>
      </c>
      <c r="E1552" s="10">
        <v>24.8</v>
      </c>
      <c r="F1552" s="11">
        <v>52727</v>
      </c>
      <c r="H1552" s="12">
        <f>(PrincipalesVariables[[#This Row],[Base monetaria]]-C1551)/C1551</f>
        <v>1.0356313946691938E-3</v>
      </c>
      <c r="I1552" s="12">
        <f>(PrincipalesVariables[[#This Row],[Dólar  mayorista]]-E1551)/E1551</f>
        <v>1.2111425111021857E-3</v>
      </c>
      <c r="J1552" s="12">
        <f>(PrincipalesVariables[[#This Row],[Reservas internacionales]]-F1551)/F1551</f>
        <v>-1.3009621504249187E-2</v>
      </c>
    </row>
    <row r="1553" spans="1:10" ht="15.75" thickBot="1" x14ac:dyDescent="0.3">
      <c r="A1553" s="14">
        <v>43236</v>
      </c>
      <c r="B1553" s="15">
        <v>43236</v>
      </c>
      <c r="C1553" s="16">
        <v>1088650</v>
      </c>
      <c r="D1553" s="10">
        <f>PrincipalesVariables[[#This Row],[Base monetaria]]/1000000</f>
        <v>1.0886499999999999</v>
      </c>
      <c r="E1553" s="10">
        <v>24.04</v>
      </c>
      <c r="F1553" s="11">
        <v>52433</v>
      </c>
      <c r="H1553" s="12">
        <f>(PrincipalesVariables[[#This Row],[Base monetaria]]-C1552)/C1552</f>
        <v>2.8560468849352007E-2</v>
      </c>
      <c r="I1553" s="12">
        <f>(PrincipalesVariables[[#This Row],[Dólar  mayorista]]-E1552)/E1552</f>
        <v>-3.0645161290322642E-2</v>
      </c>
      <c r="J1553" s="12">
        <f>(PrincipalesVariables[[#This Row],[Reservas internacionales]]-F1552)/F1552</f>
        <v>-5.5758909097805677E-3</v>
      </c>
    </row>
    <row r="1554" spans="1:10" ht="15.75" thickBot="1" x14ac:dyDescent="0.3">
      <c r="A1554" s="14">
        <v>43237</v>
      </c>
      <c r="B1554" s="15">
        <v>43237</v>
      </c>
      <c r="C1554" s="16">
        <v>1075823</v>
      </c>
      <c r="D1554" s="10">
        <f>PrincipalesVariables[[#This Row],[Base monetaria]]/1000000</f>
        <v>1.075823</v>
      </c>
      <c r="E1554" s="10">
        <v>24.33</v>
      </c>
      <c r="F1554" s="11">
        <v>54427</v>
      </c>
      <c r="H1554" s="12">
        <f>(PrincipalesVariables[[#This Row],[Base monetaria]]-C1553)/C1553</f>
        <v>-1.1782482891654802E-2</v>
      </c>
      <c r="I1554" s="12">
        <f>(PrincipalesVariables[[#This Row],[Dólar  mayorista]]-E1553)/E1553</f>
        <v>1.2063227953410947E-2</v>
      </c>
      <c r="J1554" s="12">
        <f>(PrincipalesVariables[[#This Row],[Reservas internacionales]]-F1553)/F1553</f>
        <v>3.8029485247840097E-2</v>
      </c>
    </row>
    <row r="1555" spans="1:10" ht="15.75" thickBot="1" x14ac:dyDescent="0.3">
      <c r="A1555" s="14">
        <v>43238</v>
      </c>
      <c r="B1555" s="15">
        <v>43238</v>
      </c>
      <c r="C1555" s="16">
        <v>1050007</v>
      </c>
      <c r="D1555" s="10">
        <f>PrincipalesVariables[[#This Row],[Base monetaria]]/1000000</f>
        <v>1.0500069999999999</v>
      </c>
      <c r="E1555" s="10">
        <v>24.6</v>
      </c>
      <c r="F1555" s="11">
        <v>54321</v>
      </c>
      <c r="H1555" s="12">
        <f>(PrincipalesVariables[[#This Row],[Base monetaria]]-C1554)/C1554</f>
        <v>-2.3996512437454862E-2</v>
      </c>
      <c r="I1555" s="12">
        <f>(PrincipalesVariables[[#This Row],[Dólar  mayorista]]-E1554)/E1554</f>
        <v>1.1097410604192484E-2</v>
      </c>
      <c r="J1555" s="12">
        <f>(PrincipalesVariables[[#This Row],[Reservas internacionales]]-F1554)/F1554</f>
        <v>-1.9475627905267607E-3</v>
      </c>
    </row>
    <row r="1556" spans="1:10" ht="15.75" thickBot="1" x14ac:dyDescent="0.3">
      <c r="A1556" s="14">
        <v>43241</v>
      </c>
      <c r="B1556" s="15">
        <v>43241</v>
      </c>
      <c r="C1556" s="16">
        <v>1031019</v>
      </c>
      <c r="D1556" s="10">
        <f>PrincipalesVariables[[#This Row],[Base monetaria]]/1000000</f>
        <v>1.0310189999999999</v>
      </c>
      <c r="E1556" s="10">
        <v>24.27</v>
      </c>
      <c r="F1556" s="11">
        <v>54274</v>
      </c>
      <c r="H1556" s="12">
        <f>(PrincipalesVariables[[#This Row],[Base monetaria]]-C1555)/C1555</f>
        <v>-1.8083688965883086E-2</v>
      </c>
      <c r="I1556" s="12">
        <f>(PrincipalesVariables[[#This Row],[Dólar  mayorista]]-E1555)/E1555</f>
        <v>-1.3414634146341538E-2</v>
      </c>
      <c r="J1556" s="12">
        <f>(PrincipalesVariables[[#This Row],[Reservas internacionales]]-F1555)/F1555</f>
        <v>-8.6522707608475545E-4</v>
      </c>
    </row>
    <row r="1557" spans="1:10" ht="15.75" thickBot="1" x14ac:dyDescent="0.3">
      <c r="A1557" s="14">
        <v>43242</v>
      </c>
      <c r="B1557" s="15">
        <v>43242</v>
      </c>
      <c r="C1557" s="16">
        <v>1001754</v>
      </c>
      <c r="D1557" s="10">
        <f>PrincipalesVariables[[#This Row],[Base monetaria]]/1000000</f>
        <v>1.001754</v>
      </c>
      <c r="E1557" s="10">
        <v>24.36</v>
      </c>
      <c r="F1557" s="11">
        <v>54262</v>
      </c>
      <c r="H1557" s="12">
        <f>(PrincipalesVariables[[#This Row],[Base monetaria]]-C1556)/C1556</f>
        <v>-2.8384539955131769E-2</v>
      </c>
      <c r="I1557" s="12">
        <f>(PrincipalesVariables[[#This Row],[Dólar  mayorista]]-E1556)/E1556</f>
        <v>3.7082818294190299E-3</v>
      </c>
      <c r="J1557" s="12">
        <f>(PrincipalesVariables[[#This Row],[Reservas internacionales]]-F1556)/F1556</f>
        <v>-2.211003427055312E-4</v>
      </c>
    </row>
    <row r="1558" spans="1:10" ht="15.75" thickBot="1" x14ac:dyDescent="0.3">
      <c r="A1558" s="14">
        <v>43243</v>
      </c>
      <c r="B1558" s="15">
        <v>43243</v>
      </c>
      <c r="C1558" s="16">
        <v>994258</v>
      </c>
      <c r="D1558" s="10">
        <f>PrincipalesVariables[[#This Row],[Base monetaria]]/1000000</f>
        <v>0.99425799999999998</v>
      </c>
      <c r="E1558" s="10">
        <v>24.44</v>
      </c>
      <c r="F1558" s="11">
        <v>53598</v>
      </c>
      <c r="H1558" s="12">
        <f>(PrincipalesVariables[[#This Row],[Base monetaria]]-C1557)/C1557</f>
        <v>-7.4828750371847778E-3</v>
      </c>
      <c r="I1558" s="12">
        <f>(PrincipalesVariables[[#This Row],[Dólar  mayorista]]-E1557)/E1557</f>
        <v>3.2840722495895668E-3</v>
      </c>
      <c r="J1558" s="12">
        <f>(PrincipalesVariables[[#This Row],[Reservas internacionales]]-F1557)/F1557</f>
        <v>-1.2236924551251336E-2</v>
      </c>
    </row>
    <row r="1559" spans="1:10" ht="15.75" thickBot="1" x14ac:dyDescent="0.3">
      <c r="A1559" s="14">
        <v>43244</v>
      </c>
      <c r="B1559" s="15">
        <v>43244</v>
      </c>
      <c r="C1559" s="16">
        <v>972815</v>
      </c>
      <c r="D1559" s="10">
        <f>PrincipalesVariables[[#This Row],[Base monetaria]]/1000000</f>
        <v>0.97281499999999999</v>
      </c>
      <c r="E1559" s="10">
        <v>24.56</v>
      </c>
      <c r="F1559" s="11">
        <v>52102</v>
      </c>
      <c r="H1559" s="12">
        <f>(PrincipalesVariables[[#This Row],[Base monetaria]]-C1558)/C1558</f>
        <v>-2.1566836776772225E-2</v>
      </c>
      <c r="I1559" s="12">
        <f>(PrincipalesVariables[[#This Row],[Dólar  mayorista]]-E1558)/E1558</f>
        <v>4.9099836333877838E-3</v>
      </c>
      <c r="J1559" s="12">
        <f>(PrincipalesVariables[[#This Row],[Reservas internacionales]]-F1558)/F1558</f>
        <v>-2.7911489234672935E-2</v>
      </c>
    </row>
    <row r="1560" spans="1:10" ht="15.75" thickBot="1" x14ac:dyDescent="0.3">
      <c r="A1560" s="14">
        <v>43248</v>
      </c>
      <c r="B1560" s="15">
        <v>43248</v>
      </c>
      <c r="C1560" s="16">
        <v>993010</v>
      </c>
      <c r="D1560" s="10">
        <f>PrincipalesVariables[[#This Row],[Base monetaria]]/1000000</f>
        <v>0.99300999999999995</v>
      </c>
      <c r="E1560" s="10">
        <v>24.7</v>
      </c>
      <c r="F1560" s="11">
        <v>51930</v>
      </c>
      <c r="H1560" s="12">
        <f>(PrincipalesVariables[[#This Row],[Base monetaria]]-C1559)/C1559</f>
        <v>2.0759342732174155E-2</v>
      </c>
      <c r="I1560" s="12">
        <f>(PrincipalesVariables[[#This Row],[Dólar  mayorista]]-E1559)/E1559</f>
        <v>5.7003257328990461E-3</v>
      </c>
      <c r="J1560" s="12">
        <f>(PrincipalesVariables[[#This Row],[Reservas internacionales]]-F1559)/F1559</f>
        <v>-3.3012168438831522E-3</v>
      </c>
    </row>
    <row r="1561" spans="1:10" ht="15.75" thickBot="1" x14ac:dyDescent="0.3">
      <c r="A1561" s="14">
        <v>43249</v>
      </c>
      <c r="B1561" s="15">
        <v>43249</v>
      </c>
      <c r="C1561" s="16">
        <v>981593</v>
      </c>
      <c r="D1561" s="10">
        <f>PrincipalesVariables[[#This Row],[Base monetaria]]/1000000</f>
        <v>0.98159300000000005</v>
      </c>
      <c r="E1561" s="10">
        <v>24.9</v>
      </c>
      <c r="F1561" s="11">
        <v>50922</v>
      </c>
      <c r="H1561" s="12">
        <f>(PrincipalesVariables[[#This Row],[Base monetaria]]-C1560)/C1560</f>
        <v>-1.1497366592481446E-2</v>
      </c>
      <c r="I1561" s="12">
        <f>(PrincipalesVariables[[#This Row],[Dólar  mayorista]]-E1560)/E1560</f>
        <v>8.0971659919028063E-3</v>
      </c>
      <c r="J1561" s="12">
        <f>(PrincipalesVariables[[#This Row],[Reservas internacionales]]-F1560)/F1560</f>
        <v>-1.9410745233968803E-2</v>
      </c>
    </row>
    <row r="1562" spans="1:10" ht="15.75" thickBot="1" x14ac:dyDescent="0.3">
      <c r="A1562" s="14">
        <v>43250</v>
      </c>
      <c r="B1562" s="15">
        <v>43250</v>
      </c>
      <c r="C1562" s="16">
        <v>1007372</v>
      </c>
      <c r="D1562" s="10">
        <f>PrincipalesVariables[[#This Row],[Base monetaria]]/1000000</f>
        <v>1.0073719999999999</v>
      </c>
      <c r="E1562" s="10">
        <v>24.91</v>
      </c>
      <c r="F1562" s="11">
        <v>50590</v>
      </c>
      <c r="H1562" s="12">
        <f>(PrincipalesVariables[[#This Row],[Base monetaria]]-C1561)/C1561</f>
        <v>2.6262412221766049E-2</v>
      </c>
      <c r="I1562" s="12">
        <f>(PrincipalesVariables[[#This Row],[Dólar  mayorista]]-E1561)/E1561</f>
        <v>4.0160642570287404E-4</v>
      </c>
      <c r="J1562" s="12">
        <f>(PrincipalesVariables[[#This Row],[Reservas internacionales]]-F1561)/F1561</f>
        <v>-6.5197753426809628E-3</v>
      </c>
    </row>
    <row r="1563" spans="1:10" ht="15.75" thickBot="1" x14ac:dyDescent="0.3">
      <c r="A1563" s="14">
        <v>43251</v>
      </c>
      <c r="B1563" s="15">
        <v>43251</v>
      </c>
      <c r="C1563" s="16">
        <v>1020466</v>
      </c>
      <c r="D1563" s="10">
        <f>PrincipalesVariables[[#This Row],[Base monetaria]]/1000000</f>
        <v>1.0204660000000001</v>
      </c>
      <c r="E1563" s="10">
        <v>24.95</v>
      </c>
      <c r="F1563" s="11">
        <v>50098</v>
      </c>
      <c r="H1563" s="12">
        <f>(PrincipalesVariables[[#This Row],[Base monetaria]]-C1562)/C1562</f>
        <v>1.2998177435942233E-2</v>
      </c>
      <c r="I1563" s="12">
        <f>(PrincipalesVariables[[#This Row],[Dólar  mayorista]]-E1562)/E1562</f>
        <v>1.6057808109192753E-3</v>
      </c>
      <c r="J1563" s="12">
        <f>(PrincipalesVariables[[#This Row],[Reservas internacionales]]-F1562)/F1562</f>
        <v>-9.7252421427159522E-3</v>
      </c>
    </row>
    <row r="1564" spans="1:10" ht="15.75" thickBot="1" x14ac:dyDescent="0.3">
      <c r="A1564" s="14">
        <v>43252</v>
      </c>
      <c r="B1564" s="15">
        <v>43252</v>
      </c>
      <c r="C1564" s="16">
        <v>1038765</v>
      </c>
      <c r="D1564" s="10">
        <f>PrincipalesVariables[[#This Row],[Base monetaria]]/1000000</f>
        <v>1.0387649999999999</v>
      </c>
      <c r="E1564" s="10">
        <v>24.96</v>
      </c>
      <c r="F1564" s="11">
        <v>50213</v>
      </c>
      <c r="H1564" s="12">
        <f>(PrincipalesVariables[[#This Row],[Base monetaria]]-C1563)/C1563</f>
        <v>1.7932003614035158E-2</v>
      </c>
      <c r="I1564" s="12">
        <f>(PrincipalesVariables[[#This Row],[Dólar  mayorista]]-E1563)/E1563</f>
        <v>4.0080160320647549E-4</v>
      </c>
      <c r="J1564" s="12">
        <f>(PrincipalesVariables[[#This Row],[Reservas internacionales]]-F1563)/F1563</f>
        <v>2.2955008183959441E-3</v>
      </c>
    </row>
    <row r="1565" spans="1:10" ht="15.75" thickBot="1" x14ac:dyDescent="0.3">
      <c r="A1565" s="14">
        <v>43255</v>
      </c>
      <c r="B1565" s="15">
        <v>43255</v>
      </c>
      <c r="C1565" s="16">
        <v>1053728</v>
      </c>
      <c r="D1565" s="10">
        <f>PrincipalesVariables[[#This Row],[Base monetaria]]/1000000</f>
        <v>1.053728</v>
      </c>
      <c r="E1565" s="10">
        <v>24.96</v>
      </c>
      <c r="F1565" s="11">
        <v>49928</v>
      </c>
      <c r="H1565" s="12">
        <f>(PrincipalesVariables[[#This Row],[Base monetaria]]-C1564)/C1564</f>
        <v>1.4404605468994431E-2</v>
      </c>
      <c r="I1565" s="12">
        <f>(PrincipalesVariables[[#This Row],[Dólar  mayorista]]-E1564)/E1564</f>
        <v>0</v>
      </c>
      <c r="J1565" s="12">
        <f>(PrincipalesVariables[[#This Row],[Reservas internacionales]]-F1564)/F1564</f>
        <v>-5.6758210025292253E-3</v>
      </c>
    </row>
    <row r="1566" spans="1:10" ht="15.75" thickBot="1" x14ac:dyDescent="0.3">
      <c r="A1566" s="14">
        <v>43256</v>
      </c>
      <c r="B1566" s="15">
        <v>43256</v>
      </c>
      <c r="C1566" s="16">
        <v>1060698</v>
      </c>
      <c r="D1566" s="10">
        <f>PrincipalesVariables[[#This Row],[Base monetaria]]/1000000</f>
        <v>1.0606979999999999</v>
      </c>
      <c r="E1566" s="10">
        <v>24.97</v>
      </c>
      <c r="F1566" s="11">
        <v>49958</v>
      </c>
      <c r="H1566" s="12">
        <f>(PrincipalesVariables[[#This Row],[Base monetaria]]-C1565)/C1565</f>
        <v>6.6146102219927722E-3</v>
      </c>
      <c r="I1566" s="12">
        <f>(PrincipalesVariables[[#This Row],[Dólar  mayorista]]-E1565)/E1565</f>
        <v>4.0064102564094594E-4</v>
      </c>
      <c r="J1566" s="12">
        <f>(PrincipalesVariables[[#This Row],[Reservas internacionales]]-F1565)/F1565</f>
        <v>6.0086524595417403E-4</v>
      </c>
    </row>
    <row r="1567" spans="1:10" ht="15.75" thickBot="1" x14ac:dyDescent="0.3">
      <c r="A1567" s="14">
        <v>43257</v>
      </c>
      <c r="B1567" s="15">
        <v>43257</v>
      </c>
      <c r="C1567" s="16">
        <v>1062166</v>
      </c>
      <c r="D1567" s="10">
        <f>PrincipalesVariables[[#This Row],[Base monetaria]]/1000000</f>
        <v>1.0621659999999999</v>
      </c>
      <c r="E1567" s="10">
        <v>24.92</v>
      </c>
      <c r="F1567" s="11">
        <v>50040</v>
      </c>
      <c r="H1567" s="12">
        <f>(PrincipalesVariables[[#This Row],[Base monetaria]]-C1566)/C1566</f>
        <v>1.3839943131786804E-3</v>
      </c>
      <c r="I1567" s="12">
        <f>(PrincipalesVariables[[#This Row],[Dólar  mayorista]]-E1566)/E1566</f>
        <v>-2.0024028834600385E-3</v>
      </c>
      <c r="J1567" s="12">
        <f>(PrincipalesVariables[[#This Row],[Reservas internacionales]]-F1566)/F1566</f>
        <v>1.6413787581568517E-3</v>
      </c>
    </row>
    <row r="1568" spans="1:10" ht="15.75" thickBot="1" x14ac:dyDescent="0.3">
      <c r="A1568" s="14">
        <v>43258</v>
      </c>
      <c r="B1568" s="15">
        <v>43258</v>
      </c>
      <c r="C1568" s="16">
        <v>1063533</v>
      </c>
      <c r="D1568" s="10">
        <f>PrincipalesVariables[[#This Row],[Base monetaria]]/1000000</f>
        <v>1.0635330000000001</v>
      </c>
      <c r="E1568" s="10">
        <v>24.97</v>
      </c>
      <c r="F1568" s="11">
        <v>49851</v>
      </c>
      <c r="H1568" s="12">
        <f>(PrincipalesVariables[[#This Row],[Base monetaria]]-C1567)/C1567</f>
        <v>1.2869928052677265E-3</v>
      </c>
      <c r="I1568" s="12">
        <f>(PrincipalesVariables[[#This Row],[Dólar  mayorista]]-E1567)/E1567</f>
        <v>2.0064205457462742E-3</v>
      </c>
      <c r="J1568" s="12">
        <f>(PrincipalesVariables[[#This Row],[Reservas internacionales]]-F1567)/F1567</f>
        <v>-3.7769784172661872E-3</v>
      </c>
    </row>
    <row r="1569" spans="1:10" ht="15.75" thickBot="1" x14ac:dyDescent="0.3">
      <c r="A1569" s="14">
        <v>43259</v>
      </c>
      <c r="B1569" s="15">
        <v>43259</v>
      </c>
      <c r="C1569" s="16">
        <v>1027867</v>
      </c>
      <c r="D1569" s="10">
        <f>PrincipalesVariables[[#This Row],[Base monetaria]]/1000000</f>
        <v>1.0278670000000001</v>
      </c>
      <c r="E1569" s="10">
        <v>25.47</v>
      </c>
      <c r="F1569" s="11">
        <v>49650</v>
      </c>
      <c r="H1569" s="12">
        <f>(PrincipalesVariables[[#This Row],[Base monetaria]]-C1568)/C1568</f>
        <v>-3.3535395704693695E-2</v>
      </c>
      <c r="I1569" s="12">
        <f>(PrincipalesVariables[[#This Row],[Dólar  mayorista]]-E1568)/E1568</f>
        <v>2.0024028834601523E-2</v>
      </c>
      <c r="J1569" s="12">
        <f>(PrincipalesVariables[[#This Row],[Reservas internacionales]]-F1568)/F1568</f>
        <v>-4.0320154059096105E-3</v>
      </c>
    </row>
    <row r="1570" spans="1:10" ht="15.75" thickBot="1" x14ac:dyDescent="0.3">
      <c r="A1570" s="14">
        <v>43262</v>
      </c>
      <c r="B1570" s="15">
        <v>43262</v>
      </c>
      <c r="C1570" s="16">
        <v>1031571</v>
      </c>
      <c r="D1570" s="10">
        <f>PrincipalesVariables[[#This Row],[Base monetaria]]/1000000</f>
        <v>1.031571</v>
      </c>
      <c r="E1570" s="10">
        <v>25.43</v>
      </c>
      <c r="F1570" s="11">
        <v>49638</v>
      </c>
      <c r="H1570" s="12">
        <f>(PrincipalesVariables[[#This Row],[Base monetaria]]-C1569)/C1569</f>
        <v>3.6035790622716752E-3</v>
      </c>
      <c r="I1570" s="12">
        <f>(PrincipalesVariables[[#This Row],[Dólar  mayorista]]-E1569)/E1569</f>
        <v>-1.5704750687082509E-3</v>
      </c>
      <c r="J1570" s="12">
        <f>(PrincipalesVariables[[#This Row],[Reservas internacionales]]-F1569)/F1569</f>
        <v>-2.4169184290030211E-4</v>
      </c>
    </row>
    <row r="1571" spans="1:10" ht="15.75" thickBot="1" x14ac:dyDescent="0.3">
      <c r="A1571" s="14">
        <v>43263</v>
      </c>
      <c r="B1571" s="15">
        <v>43263</v>
      </c>
      <c r="C1571" s="16">
        <v>1037430</v>
      </c>
      <c r="D1571" s="10">
        <f>PrincipalesVariables[[#This Row],[Base monetaria]]/1000000</f>
        <v>1.0374300000000001</v>
      </c>
      <c r="E1571" s="10">
        <v>25.86</v>
      </c>
      <c r="F1571" s="11">
        <v>49100</v>
      </c>
      <c r="H1571" s="12">
        <f>(PrincipalesVariables[[#This Row],[Base monetaria]]-C1570)/C1570</f>
        <v>5.6796866139121787E-3</v>
      </c>
      <c r="I1571" s="12">
        <f>(PrincipalesVariables[[#This Row],[Dólar  mayorista]]-E1570)/E1570</f>
        <v>1.6909162406606358E-2</v>
      </c>
      <c r="J1571" s="12">
        <f>(PrincipalesVariables[[#This Row],[Reservas internacionales]]-F1570)/F1570</f>
        <v>-1.0838470526612676E-2</v>
      </c>
    </row>
    <row r="1572" spans="1:10" ht="15.75" thickBot="1" x14ac:dyDescent="0.3">
      <c r="A1572" s="14">
        <v>43264</v>
      </c>
      <c r="B1572" s="15">
        <v>43264</v>
      </c>
      <c r="C1572" s="16">
        <v>1037945</v>
      </c>
      <c r="D1572" s="10">
        <f>PrincipalesVariables[[#This Row],[Base monetaria]]/1000000</f>
        <v>1.0379449999999999</v>
      </c>
      <c r="E1572" s="10">
        <v>25.73</v>
      </c>
      <c r="F1572" s="11">
        <v>48973</v>
      </c>
      <c r="H1572" s="12">
        <f>(PrincipalesVariables[[#This Row],[Base monetaria]]-C1571)/C1571</f>
        <v>4.9641903550119043E-4</v>
      </c>
      <c r="I1572" s="12">
        <f>(PrincipalesVariables[[#This Row],[Dólar  mayorista]]-E1571)/E1571</f>
        <v>-5.0270688321732019E-3</v>
      </c>
      <c r="J1572" s="12">
        <f>(PrincipalesVariables[[#This Row],[Reservas internacionales]]-F1571)/F1571</f>
        <v>-2.5865580448065175E-3</v>
      </c>
    </row>
    <row r="1573" spans="1:10" ht="15.75" thickBot="1" x14ac:dyDescent="0.3">
      <c r="A1573" s="14">
        <v>43265</v>
      </c>
      <c r="B1573" s="15">
        <v>43265</v>
      </c>
      <c r="C1573" s="16">
        <v>1048066</v>
      </c>
      <c r="D1573" s="10">
        <f>PrincipalesVariables[[#This Row],[Base monetaria]]/1000000</f>
        <v>1.0480659999999999</v>
      </c>
      <c r="E1573" s="10">
        <v>27.06</v>
      </c>
      <c r="F1573" s="11">
        <v>49065</v>
      </c>
      <c r="H1573" s="12">
        <f>(PrincipalesVariables[[#This Row],[Base monetaria]]-C1572)/C1572</f>
        <v>9.7509983669654948E-3</v>
      </c>
      <c r="I1573" s="12">
        <f>(PrincipalesVariables[[#This Row],[Dólar  mayorista]]-E1572)/E1572</f>
        <v>5.1690633501748864E-2</v>
      </c>
      <c r="J1573" s="12">
        <f>(PrincipalesVariables[[#This Row],[Reservas internacionales]]-F1572)/F1572</f>
        <v>1.8785861597206625E-3</v>
      </c>
    </row>
    <row r="1574" spans="1:10" ht="15.75" thickBot="1" x14ac:dyDescent="0.3">
      <c r="A1574" s="14">
        <v>43266</v>
      </c>
      <c r="B1574" s="15">
        <v>43266</v>
      </c>
      <c r="C1574" s="16">
        <v>1055267</v>
      </c>
      <c r="D1574" s="10">
        <f>PrincipalesVariables[[#This Row],[Base monetaria]]/1000000</f>
        <v>1.055267</v>
      </c>
      <c r="E1574" s="10">
        <v>27.88</v>
      </c>
      <c r="F1574" s="11">
        <v>48468</v>
      </c>
      <c r="H1574" s="12">
        <f>(PrincipalesVariables[[#This Row],[Base monetaria]]-C1573)/C1573</f>
        <v>6.870750506170413E-3</v>
      </c>
      <c r="I1574" s="12">
        <f>(PrincipalesVariables[[#This Row],[Dólar  mayorista]]-E1573)/E1573</f>
        <v>3.0303030303030314E-2</v>
      </c>
      <c r="J1574" s="12">
        <f>(PrincipalesVariables[[#This Row],[Reservas internacionales]]-F1573)/F1573</f>
        <v>-1.2167532864567411E-2</v>
      </c>
    </row>
    <row r="1575" spans="1:10" ht="15.75" thickBot="1" x14ac:dyDescent="0.3">
      <c r="A1575" s="14">
        <v>43269</v>
      </c>
      <c r="B1575" s="15">
        <v>43269</v>
      </c>
      <c r="C1575" s="16">
        <v>1046603</v>
      </c>
      <c r="D1575" s="10">
        <f>PrincipalesVariables[[#This Row],[Base monetaria]]/1000000</f>
        <v>1.046603</v>
      </c>
      <c r="E1575" s="10">
        <v>27.9</v>
      </c>
      <c r="F1575" s="11">
        <v>48286</v>
      </c>
      <c r="H1575" s="12">
        <f>(PrincipalesVariables[[#This Row],[Base monetaria]]-C1574)/C1574</f>
        <v>-8.210244421553976E-3</v>
      </c>
      <c r="I1575" s="12">
        <f>(PrincipalesVariables[[#This Row],[Dólar  mayorista]]-E1574)/E1574</f>
        <v>7.1736011477760311E-4</v>
      </c>
      <c r="J1575" s="12">
        <f>(PrincipalesVariables[[#This Row],[Reservas internacionales]]-F1574)/F1574</f>
        <v>-3.7550548815713462E-3</v>
      </c>
    </row>
    <row r="1576" spans="1:10" ht="15.75" thickBot="1" x14ac:dyDescent="0.3">
      <c r="A1576" s="14">
        <v>43270</v>
      </c>
      <c r="B1576" s="15">
        <v>43270</v>
      </c>
      <c r="C1576" s="16">
        <v>1037713</v>
      </c>
      <c r="D1576" s="10">
        <f>PrincipalesVariables[[#This Row],[Base monetaria]]/1000000</f>
        <v>1.0377130000000001</v>
      </c>
      <c r="E1576" s="10">
        <v>27.71</v>
      </c>
      <c r="F1576" s="11">
        <v>48102</v>
      </c>
      <c r="H1576" s="12">
        <f>(PrincipalesVariables[[#This Row],[Base monetaria]]-C1575)/C1575</f>
        <v>-8.4941472554540733E-3</v>
      </c>
      <c r="I1576" s="12">
        <f>(PrincipalesVariables[[#This Row],[Dólar  mayorista]]-E1575)/E1575</f>
        <v>-6.8100358422938257E-3</v>
      </c>
      <c r="J1576" s="12">
        <f>(PrincipalesVariables[[#This Row],[Reservas internacionales]]-F1575)/F1575</f>
        <v>-3.8106283394772813E-3</v>
      </c>
    </row>
    <row r="1577" spans="1:10" ht="15.75" thickBot="1" x14ac:dyDescent="0.3">
      <c r="A1577" s="14">
        <v>43272</v>
      </c>
      <c r="B1577" s="15">
        <v>43272</v>
      </c>
      <c r="C1577" s="16">
        <v>1221810</v>
      </c>
      <c r="D1577" s="10">
        <f>PrincipalesVariables[[#This Row],[Base monetaria]]/1000000</f>
        <v>1.2218100000000001</v>
      </c>
      <c r="E1577" s="10">
        <v>27.55</v>
      </c>
      <c r="F1577" s="11">
        <v>48478</v>
      </c>
      <c r="H1577" s="12">
        <f>(PrincipalesVariables[[#This Row],[Base monetaria]]-C1576)/C1576</f>
        <v>0.17740646980427152</v>
      </c>
      <c r="I1577" s="12">
        <f>(PrincipalesVariables[[#This Row],[Dólar  mayorista]]-E1576)/E1576</f>
        <v>-5.7740887766149452E-3</v>
      </c>
      <c r="J1577" s="12">
        <f>(PrincipalesVariables[[#This Row],[Reservas internacionales]]-F1576)/F1576</f>
        <v>7.8167227973888823E-3</v>
      </c>
    </row>
    <row r="1578" spans="1:10" ht="15.75" thickBot="1" x14ac:dyDescent="0.3">
      <c r="A1578" s="14">
        <v>43273</v>
      </c>
      <c r="B1578" s="15">
        <v>43273</v>
      </c>
      <c r="C1578" s="16">
        <v>1150008</v>
      </c>
      <c r="D1578" s="10">
        <f>PrincipalesVariables[[#This Row],[Base monetaria]]/1000000</f>
        <v>1.1500079999999999</v>
      </c>
      <c r="E1578" s="10">
        <v>27.2</v>
      </c>
      <c r="F1578" s="11">
        <v>63274</v>
      </c>
      <c r="H1578" s="12">
        <f>(PrincipalesVariables[[#This Row],[Base monetaria]]-C1577)/C1577</f>
        <v>-5.8766911385567312E-2</v>
      </c>
      <c r="I1578" s="12">
        <f>(PrincipalesVariables[[#This Row],[Dólar  mayorista]]-E1577)/E1577</f>
        <v>-1.2704174228675187E-2</v>
      </c>
      <c r="J1578" s="12">
        <f>(PrincipalesVariables[[#This Row],[Reservas internacionales]]-F1577)/F1577</f>
        <v>0.30521061099880359</v>
      </c>
    </row>
    <row r="1579" spans="1:10" ht="15.75" thickBot="1" x14ac:dyDescent="0.3">
      <c r="A1579" s="14">
        <v>43276</v>
      </c>
      <c r="B1579" s="15">
        <v>43276</v>
      </c>
      <c r="C1579" s="16">
        <v>1152414</v>
      </c>
      <c r="D1579" s="10">
        <f>PrincipalesVariables[[#This Row],[Base monetaria]]/1000000</f>
        <v>1.152414</v>
      </c>
      <c r="E1579" s="10">
        <v>27.02</v>
      </c>
      <c r="F1579" s="11">
        <v>63213</v>
      </c>
      <c r="H1579" s="12">
        <f>(PrincipalesVariables[[#This Row],[Base monetaria]]-C1578)/C1578</f>
        <v>2.0921593588914163E-3</v>
      </c>
      <c r="I1579" s="12">
        <f>(PrincipalesVariables[[#This Row],[Dólar  mayorista]]-E1578)/E1578</f>
        <v>-6.6176470588235189E-3</v>
      </c>
      <c r="J1579" s="12">
        <f>(PrincipalesVariables[[#This Row],[Reservas internacionales]]-F1578)/F1578</f>
        <v>-9.6406106773714326E-4</v>
      </c>
    </row>
    <row r="1580" spans="1:10" ht="15.75" thickBot="1" x14ac:dyDescent="0.3">
      <c r="A1580" s="14">
        <v>43277</v>
      </c>
      <c r="B1580" s="15">
        <v>43277</v>
      </c>
      <c r="C1580" s="16">
        <v>1087229</v>
      </c>
      <c r="D1580" s="10">
        <f>PrincipalesVariables[[#This Row],[Base monetaria]]/1000000</f>
        <v>1.087229</v>
      </c>
      <c r="E1580" s="10">
        <v>27.12</v>
      </c>
      <c r="F1580" s="11">
        <v>63162</v>
      </c>
      <c r="H1580" s="12">
        <f>(PrincipalesVariables[[#This Row],[Base monetaria]]-C1579)/C1579</f>
        <v>-5.6563873746761147E-2</v>
      </c>
      <c r="I1580" s="12">
        <f>(PrincipalesVariables[[#This Row],[Dólar  mayorista]]-E1579)/E1579</f>
        <v>3.7009622501851008E-3</v>
      </c>
      <c r="J1580" s="12">
        <f>(PrincipalesVariables[[#This Row],[Reservas internacionales]]-F1579)/F1579</f>
        <v>-8.0679607042855104E-4</v>
      </c>
    </row>
    <row r="1581" spans="1:10" ht="15.75" thickBot="1" x14ac:dyDescent="0.3">
      <c r="A1581" s="14">
        <v>43278</v>
      </c>
      <c r="B1581" s="15">
        <v>43278</v>
      </c>
      <c r="C1581" s="16">
        <v>1051494</v>
      </c>
      <c r="D1581" s="10">
        <f>PrincipalesVariables[[#This Row],[Base monetaria]]/1000000</f>
        <v>1.0514939999999999</v>
      </c>
      <c r="E1581" s="10">
        <v>27.3</v>
      </c>
      <c r="F1581" s="11">
        <v>62994</v>
      </c>
      <c r="H1581" s="12">
        <f>(PrincipalesVariables[[#This Row],[Base monetaria]]-C1580)/C1580</f>
        <v>-3.2867960659621845E-2</v>
      </c>
      <c r="I1581" s="12">
        <f>(PrincipalesVariables[[#This Row],[Dólar  mayorista]]-E1580)/E1580</f>
        <v>6.6371681415929099E-3</v>
      </c>
      <c r="J1581" s="12">
        <f>(PrincipalesVariables[[#This Row],[Reservas internacionales]]-F1580)/F1580</f>
        <v>-2.6598271112377695E-3</v>
      </c>
    </row>
    <row r="1582" spans="1:10" ht="15.75" thickBot="1" x14ac:dyDescent="0.3">
      <c r="A1582" s="14">
        <v>43279</v>
      </c>
      <c r="B1582" s="15">
        <v>43279</v>
      </c>
      <c r="C1582" s="16">
        <v>1032805</v>
      </c>
      <c r="D1582" s="10">
        <f>PrincipalesVariables[[#This Row],[Base monetaria]]/1000000</f>
        <v>1.032805</v>
      </c>
      <c r="E1582" s="10">
        <v>27.81</v>
      </c>
      <c r="F1582" s="11">
        <v>62950</v>
      </c>
      <c r="H1582" s="12">
        <f>(PrincipalesVariables[[#This Row],[Base monetaria]]-C1581)/C1581</f>
        <v>-1.7773758100379081E-2</v>
      </c>
      <c r="I1582" s="12">
        <f>(PrincipalesVariables[[#This Row],[Dólar  mayorista]]-E1581)/E1581</f>
        <v>1.8681318681318608E-2</v>
      </c>
      <c r="J1582" s="12">
        <f>(PrincipalesVariables[[#This Row],[Reservas internacionales]]-F1581)/F1581</f>
        <v>-6.9847922024319782E-4</v>
      </c>
    </row>
    <row r="1583" spans="1:10" ht="15.75" thickBot="1" x14ac:dyDescent="0.3">
      <c r="A1583" s="14">
        <v>43280</v>
      </c>
      <c r="B1583" s="15">
        <v>43280</v>
      </c>
      <c r="C1583" s="16">
        <v>1043632</v>
      </c>
      <c r="D1583" s="10">
        <f>PrincipalesVariables[[#This Row],[Base monetaria]]/1000000</f>
        <v>1.0436319999999999</v>
      </c>
      <c r="E1583" s="10">
        <v>28.86</v>
      </c>
      <c r="F1583" s="11">
        <v>61881</v>
      </c>
      <c r="H1583" s="12">
        <f>(PrincipalesVariables[[#This Row],[Base monetaria]]-C1582)/C1582</f>
        <v>1.048310184400734E-2</v>
      </c>
      <c r="I1583" s="12">
        <f>(PrincipalesVariables[[#This Row],[Dólar  mayorista]]-E1582)/E1582</f>
        <v>3.7756202804746522E-2</v>
      </c>
      <c r="J1583" s="12">
        <f>(PrincipalesVariables[[#This Row],[Reservas internacionales]]-F1582)/F1582</f>
        <v>-1.698173153296267E-2</v>
      </c>
    </row>
    <row r="1584" spans="1:10" ht="15.75" thickBot="1" x14ac:dyDescent="0.3">
      <c r="A1584" s="14">
        <v>43283</v>
      </c>
      <c r="B1584" s="15">
        <v>43283</v>
      </c>
      <c r="C1584" s="16">
        <v>1138353</v>
      </c>
      <c r="D1584" s="10">
        <f>PrincipalesVariables[[#This Row],[Base monetaria]]/1000000</f>
        <v>1.1383529999999999</v>
      </c>
      <c r="E1584" s="10">
        <v>28.72</v>
      </c>
      <c r="F1584" s="11">
        <v>61234</v>
      </c>
      <c r="H1584" s="12">
        <f>(PrincipalesVariables[[#This Row],[Base monetaria]]-C1583)/C1583</f>
        <v>9.0760919557851816E-2</v>
      </c>
      <c r="I1584" s="12">
        <f>(PrincipalesVariables[[#This Row],[Dólar  mayorista]]-E1583)/E1583</f>
        <v>-4.8510048510048706E-3</v>
      </c>
      <c r="J1584" s="12">
        <f>(PrincipalesVariables[[#This Row],[Reservas internacionales]]-F1583)/F1583</f>
        <v>-1.0455551784877426E-2</v>
      </c>
    </row>
    <row r="1585" spans="1:10" ht="15.75" thickBot="1" x14ac:dyDescent="0.3">
      <c r="A1585" s="14">
        <v>43284</v>
      </c>
      <c r="B1585" s="15">
        <v>43284</v>
      </c>
      <c r="C1585" s="16">
        <v>1094382</v>
      </c>
      <c r="D1585" s="10">
        <f>PrincipalesVariables[[#This Row],[Base monetaria]]/1000000</f>
        <v>1.094382</v>
      </c>
      <c r="E1585" s="10">
        <v>27.94</v>
      </c>
      <c r="F1585" s="11">
        <v>61093</v>
      </c>
      <c r="H1585" s="12">
        <f>(PrincipalesVariables[[#This Row],[Base monetaria]]-C1584)/C1584</f>
        <v>-3.8626858276826256E-2</v>
      </c>
      <c r="I1585" s="12">
        <f>(PrincipalesVariables[[#This Row],[Dólar  mayorista]]-E1584)/E1584</f>
        <v>-2.7158774373258969E-2</v>
      </c>
      <c r="J1585" s="12">
        <f>(PrincipalesVariables[[#This Row],[Reservas internacionales]]-F1584)/F1584</f>
        <v>-2.3026423228925106E-3</v>
      </c>
    </row>
    <row r="1586" spans="1:10" ht="15.75" thickBot="1" x14ac:dyDescent="0.3">
      <c r="A1586" s="14">
        <v>43285</v>
      </c>
      <c r="B1586" s="15">
        <v>43285</v>
      </c>
      <c r="C1586" s="16">
        <v>1110104</v>
      </c>
      <c r="D1586" s="10">
        <f>PrincipalesVariables[[#This Row],[Base monetaria]]/1000000</f>
        <v>1.110104</v>
      </c>
      <c r="E1586" s="10">
        <v>28.03</v>
      </c>
      <c r="F1586" s="11">
        <v>61085</v>
      </c>
      <c r="H1586" s="12">
        <f>(PrincipalesVariables[[#This Row],[Base monetaria]]-C1585)/C1585</f>
        <v>1.4366098857620099E-2</v>
      </c>
      <c r="I1586" s="12">
        <f>(PrincipalesVariables[[#This Row],[Dólar  mayorista]]-E1585)/E1585</f>
        <v>3.2211882605583339E-3</v>
      </c>
      <c r="J1586" s="12">
        <f>(PrincipalesVariables[[#This Row],[Reservas internacionales]]-F1585)/F1585</f>
        <v>-1.3094789910464373E-4</v>
      </c>
    </row>
    <row r="1587" spans="1:10" ht="15.75" thickBot="1" x14ac:dyDescent="0.3">
      <c r="A1587" s="14">
        <v>43286</v>
      </c>
      <c r="B1587" s="15">
        <v>43286</v>
      </c>
      <c r="C1587" s="16">
        <v>1153613</v>
      </c>
      <c r="D1587" s="10">
        <f>PrincipalesVariables[[#This Row],[Base monetaria]]/1000000</f>
        <v>1.153613</v>
      </c>
      <c r="E1587" s="10">
        <v>28.17</v>
      </c>
      <c r="F1587" s="11">
        <v>60943</v>
      </c>
      <c r="H1587" s="12">
        <f>(PrincipalesVariables[[#This Row],[Base monetaria]]-C1586)/C1586</f>
        <v>3.9193625101792265E-2</v>
      </c>
      <c r="I1587" s="12">
        <f>(PrincipalesVariables[[#This Row],[Dólar  mayorista]]-E1586)/E1586</f>
        <v>4.9946485907955964E-3</v>
      </c>
      <c r="J1587" s="12">
        <f>(PrincipalesVariables[[#This Row],[Reservas internacionales]]-F1586)/F1586</f>
        <v>-2.324629614471638E-3</v>
      </c>
    </row>
    <row r="1588" spans="1:10" ht="15.75" thickBot="1" x14ac:dyDescent="0.3">
      <c r="A1588" s="14">
        <v>43287</v>
      </c>
      <c r="B1588" s="15">
        <v>43287</v>
      </c>
      <c r="C1588" s="16">
        <v>1115590</v>
      </c>
      <c r="D1588" s="10">
        <f>PrincipalesVariables[[#This Row],[Base monetaria]]/1000000</f>
        <v>1.1155900000000001</v>
      </c>
      <c r="E1588" s="10">
        <v>28.08</v>
      </c>
      <c r="F1588" s="11">
        <v>60922</v>
      </c>
      <c r="H1588" s="12">
        <f>(PrincipalesVariables[[#This Row],[Base monetaria]]-C1587)/C1587</f>
        <v>-3.2959926769202494E-2</v>
      </c>
      <c r="I1588" s="12">
        <f>(PrincipalesVariables[[#This Row],[Dólar  mayorista]]-E1587)/E1587</f>
        <v>-3.1948881789138589E-3</v>
      </c>
      <c r="J1588" s="12">
        <f>(PrincipalesVariables[[#This Row],[Reservas internacionales]]-F1587)/F1587</f>
        <v>-3.4458428367490935E-4</v>
      </c>
    </row>
    <row r="1589" spans="1:10" ht="15.75" thickBot="1" x14ac:dyDescent="0.3">
      <c r="A1589" s="14">
        <v>43291</v>
      </c>
      <c r="B1589" s="15">
        <v>43291</v>
      </c>
      <c r="C1589" s="16">
        <v>1098717</v>
      </c>
      <c r="D1589" s="10">
        <f>PrincipalesVariables[[#This Row],[Base monetaria]]/1000000</f>
        <v>1.0987169999999999</v>
      </c>
      <c r="E1589" s="10">
        <v>27.56</v>
      </c>
      <c r="F1589" s="11">
        <v>60683</v>
      </c>
      <c r="H1589" s="12">
        <f>(PrincipalesVariables[[#This Row],[Base monetaria]]-C1588)/C1588</f>
        <v>-1.5124732204483727E-2</v>
      </c>
      <c r="I1589" s="12">
        <f>(PrincipalesVariables[[#This Row],[Dólar  mayorista]]-E1588)/E1588</f>
        <v>-1.8518518518518504E-2</v>
      </c>
      <c r="J1589" s="12">
        <f>(PrincipalesVariables[[#This Row],[Reservas internacionales]]-F1588)/F1588</f>
        <v>-3.9230491448081157E-3</v>
      </c>
    </row>
    <row r="1590" spans="1:10" ht="15.75" thickBot="1" x14ac:dyDescent="0.3">
      <c r="A1590" s="14">
        <v>43292</v>
      </c>
      <c r="B1590" s="15">
        <v>43292</v>
      </c>
      <c r="C1590" s="16">
        <v>1085633</v>
      </c>
      <c r="D1590" s="10">
        <f>PrincipalesVariables[[#This Row],[Base monetaria]]/1000000</f>
        <v>1.0856330000000001</v>
      </c>
      <c r="E1590" s="10">
        <v>27.46</v>
      </c>
      <c r="F1590" s="11">
        <v>60547</v>
      </c>
      <c r="H1590" s="12">
        <f>(PrincipalesVariables[[#This Row],[Base monetaria]]-C1589)/C1589</f>
        <v>-1.1908435020118921E-2</v>
      </c>
      <c r="I1590" s="12">
        <f>(PrincipalesVariables[[#This Row],[Dólar  mayorista]]-E1589)/E1589</f>
        <v>-3.6284470246733627E-3</v>
      </c>
      <c r="J1590" s="12">
        <f>(PrincipalesVariables[[#This Row],[Reservas internacionales]]-F1589)/F1589</f>
        <v>-2.2411548539129577E-3</v>
      </c>
    </row>
    <row r="1591" spans="1:10" ht="15.75" thickBot="1" x14ac:dyDescent="0.3">
      <c r="A1591" s="14">
        <v>43293</v>
      </c>
      <c r="B1591" s="15">
        <v>43293</v>
      </c>
      <c r="C1591" s="16">
        <v>1071336</v>
      </c>
      <c r="D1591" s="10">
        <f>PrincipalesVariables[[#This Row],[Base monetaria]]/1000000</f>
        <v>1.0713360000000001</v>
      </c>
      <c r="E1591" s="10">
        <v>27.15</v>
      </c>
      <c r="F1591" s="11">
        <v>60712</v>
      </c>
      <c r="H1591" s="12">
        <f>(PrincipalesVariables[[#This Row],[Base monetaria]]-C1590)/C1590</f>
        <v>-1.3169275436542551E-2</v>
      </c>
      <c r="I1591" s="12">
        <f>(PrincipalesVariables[[#This Row],[Dólar  mayorista]]-E1590)/E1590</f>
        <v>-1.1289147851420329E-2</v>
      </c>
      <c r="J1591" s="12">
        <f>(PrincipalesVariables[[#This Row],[Reservas internacionales]]-F1590)/F1590</f>
        <v>2.7251556641947577E-3</v>
      </c>
    </row>
    <row r="1592" spans="1:10" ht="15.75" thickBot="1" x14ac:dyDescent="0.3">
      <c r="A1592" s="14">
        <v>43294</v>
      </c>
      <c r="B1592" s="15">
        <v>43294</v>
      </c>
      <c r="C1592" s="16">
        <v>1085846</v>
      </c>
      <c r="D1592" s="10">
        <f>PrincipalesVariables[[#This Row],[Base monetaria]]/1000000</f>
        <v>1.0858460000000001</v>
      </c>
      <c r="E1592" s="10">
        <v>27.25</v>
      </c>
      <c r="F1592" s="11">
        <v>61322</v>
      </c>
      <c r="H1592" s="12">
        <f>(PrincipalesVariables[[#This Row],[Base monetaria]]-C1591)/C1591</f>
        <v>1.3543836854170868E-2</v>
      </c>
      <c r="I1592" s="12">
        <f>(PrincipalesVariables[[#This Row],[Dólar  mayorista]]-E1591)/E1591</f>
        <v>3.6832412523020784E-3</v>
      </c>
      <c r="J1592" s="12">
        <f>(PrincipalesVariables[[#This Row],[Reservas internacionales]]-F1591)/F1591</f>
        <v>1.0047437079984187E-2</v>
      </c>
    </row>
    <row r="1593" spans="1:10" ht="15.75" thickBot="1" x14ac:dyDescent="0.3">
      <c r="A1593" s="14">
        <v>43297</v>
      </c>
      <c r="B1593" s="15">
        <v>43297</v>
      </c>
      <c r="C1593" s="16">
        <v>1063812</v>
      </c>
      <c r="D1593" s="10">
        <f>PrincipalesVariables[[#This Row],[Base monetaria]]/1000000</f>
        <v>1.063812</v>
      </c>
      <c r="E1593" s="10">
        <v>27.3</v>
      </c>
      <c r="F1593" s="11">
        <v>61308</v>
      </c>
      <c r="H1593" s="12">
        <f>(PrincipalesVariables[[#This Row],[Base monetaria]]-C1592)/C1592</f>
        <v>-2.029201194276168E-2</v>
      </c>
      <c r="I1593" s="12">
        <f>(PrincipalesVariables[[#This Row],[Dólar  mayorista]]-E1592)/E1592</f>
        <v>1.834862385321127E-3</v>
      </c>
      <c r="J1593" s="12">
        <f>(PrincipalesVariables[[#This Row],[Reservas internacionales]]-F1592)/F1592</f>
        <v>-2.2830305599947815E-4</v>
      </c>
    </row>
    <row r="1594" spans="1:10" ht="15.75" thickBot="1" x14ac:dyDescent="0.3">
      <c r="A1594" s="14">
        <v>43298</v>
      </c>
      <c r="B1594" s="15">
        <v>43298</v>
      </c>
      <c r="C1594" s="16">
        <v>1065715</v>
      </c>
      <c r="D1594" s="10">
        <f>PrincipalesVariables[[#This Row],[Base monetaria]]/1000000</f>
        <v>1.065715</v>
      </c>
      <c r="E1594" s="10">
        <v>27.49</v>
      </c>
      <c r="F1594" s="11">
        <v>60950</v>
      </c>
      <c r="H1594" s="12">
        <f>(PrincipalesVariables[[#This Row],[Base monetaria]]-C1593)/C1593</f>
        <v>1.7888499095704881E-3</v>
      </c>
      <c r="I1594" s="12">
        <f>(PrincipalesVariables[[#This Row],[Dólar  mayorista]]-E1593)/E1593</f>
        <v>6.959706959706876E-3</v>
      </c>
      <c r="J1594" s="12">
        <f>(PrincipalesVariables[[#This Row],[Reservas internacionales]]-F1593)/F1593</f>
        <v>-5.8393684347882819E-3</v>
      </c>
    </row>
    <row r="1595" spans="1:10" ht="15.75" thickBot="1" x14ac:dyDescent="0.3">
      <c r="A1595" s="14">
        <v>43299</v>
      </c>
      <c r="B1595" s="15">
        <v>43299</v>
      </c>
      <c r="C1595" s="16">
        <v>1217562</v>
      </c>
      <c r="D1595" s="10">
        <f>PrincipalesVariables[[#This Row],[Base monetaria]]/1000000</f>
        <v>1.217562</v>
      </c>
      <c r="E1595" s="10">
        <v>27.64</v>
      </c>
      <c r="F1595" s="11">
        <v>59921</v>
      </c>
      <c r="H1595" s="12">
        <f>(PrincipalesVariables[[#This Row],[Base monetaria]]-C1594)/C1594</f>
        <v>0.14248368466240974</v>
      </c>
      <c r="I1595" s="12">
        <f>(PrincipalesVariables[[#This Row],[Dólar  mayorista]]-E1594)/E1594</f>
        <v>5.4565296471444941E-3</v>
      </c>
      <c r="J1595" s="12">
        <f>(PrincipalesVariables[[#This Row],[Reservas internacionales]]-F1594)/F1594</f>
        <v>-1.6882690730106644E-2</v>
      </c>
    </row>
    <row r="1596" spans="1:10" ht="15.75" thickBot="1" x14ac:dyDescent="0.3">
      <c r="A1596" s="14">
        <v>43300</v>
      </c>
      <c r="B1596" s="15">
        <v>43300</v>
      </c>
      <c r="C1596" s="16">
        <v>1195178</v>
      </c>
      <c r="D1596" s="10">
        <f>PrincipalesVariables[[#This Row],[Base monetaria]]/1000000</f>
        <v>1.1951780000000001</v>
      </c>
      <c r="E1596" s="10">
        <v>27.74</v>
      </c>
      <c r="F1596" s="11">
        <v>59711</v>
      </c>
      <c r="H1596" s="12">
        <f>(PrincipalesVariables[[#This Row],[Base monetaria]]-C1595)/C1595</f>
        <v>-1.8384279404252104E-2</v>
      </c>
      <c r="I1596" s="12">
        <f>(PrincipalesVariables[[#This Row],[Dólar  mayorista]]-E1595)/E1595</f>
        <v>3.6179450072358127E-3</v>
      </c>
      <c r="J1596" s="12">
        <f>(PrincipalesVariables[[#This Row],[Reservas internacionales]]-F1595)/F1595</f>
        <v>-3.5046144089718131E-3</v>
      </c>
    </row>
    <row r="1597" spans="1:10" ht="15.75" thickBot="1" x14ac:dyDescent="0.3">
      <c r="A1597" s="14">
        <v>43301</v>
      </c>
      <c r="B1597" s="15">
        <v>43301</v>
      </c>
      <c r="C1597" s="16">
        <v>1148380</v>
      </c>
      <c r="D1597" s="10">
        <f>PrincipalesVariables[[#This Row],[Base monetaria]]/1000000</f>
        <v>1.14838</v>
      </c>
      <c r="E1597" s="10">
        <v>27.65</v>
      </c>
      <c r="F1597" s="11">
        <v>59738</v>
      </c>
      <c r="H1597" s="12">
        <f>(PrincipalesVariables[[#This Row],[Base monetaria]]-C1596)/C1596</f>
        <v>-3.9155673882886065E-2</v>
      </c>
      <c r="I1597" s="12">
        <f>(PrincipalesVariables[[#This Row],[Dólar  mayorista]]-E1596)/E1596</f>
        <v>-3.2444124008651717E-3</v>
      </c>
      <c r="J1597" s="12">
        <f>(PrincipalesVariables[[#This Row],[Reservas internacionales]]-F1596)/F1596</f>
        <v>4.5217799065498817E-4</v>
      </c>
    </row>
    <row r="1598" spans="1:10" ht="15.75" thickBot="1" x14ac:dyDescent="0.3">
      <c r="A1598" s="14">
        <v>43304</v>
      </c>
      <c r="B1598" s="15">
        <v>43304</v>
      </c>
      <c r="C1598" s="16">
        <v>1148847</v>
      </c>
      <c r="D1598" s="10">
        <f>PrincipalesVariables[[#This Row],[Base monetaria]]/1000000</f>
        <v>1.148847</v>
      </c>
      <c r="E1598" s="10">
        <v>27.63</v>
      </c>
      <c r="F1598" s="11">
        <v>59434</v>
      </c>
      <c r="H1598" s="12">
        <f>(PrincipalesVariables[[#This Row],[Base monetaria]]-C1597)/C1597</f>
        <v>4.0665981643706788E-4</v>
      </c>
      <c r="I1598" s="12">
        <f>(PrincipalesVariables[[#This Row],[Dólar  mayorista]]-E1597)/E1597</f>
        <v>-7.2332730560577122E-4</v>
      </c>
      <c r="J1598" s="12">
        <f>(PrincipalesVariables[[#This Row],[Reservas internacionales]]-F1597)/F1597</f>
        <v>-5.0888881448993943E-3</v>
      </c>
    </row>
    <row r="1599" spans="1:10" ht="15.75" thickBot="1" x14ac:dyDescent="0.3">
      <c r="A1599" s="14">
        <v>43305</v>
      </c>
      <c r="B1599" s="15">
        <v>43305</v>
      </c>
      <c r="C1599" s="16">
        <v>1120290</v>
      </c>
      <c r="D1599" s="10">
        <f>PrincipalesVariables[[#This Row],[Base monetaria]]/1000000</f>
        <v>1.12029</v>
      </c>
      <c r="E1599" s="10">
        <v>27.49</v>
      </c>
      <c r="F1599" s="11">
        <v>59112</v>
      </c>
      <c r="H1599" s="12">
        <f>(PrincipalesVariables[[#This Row],[Base monetaria]]-C1598)/C1598</f>
        <v>-2.485709585349485E-2</v>
      </c>
      <c r="I1599" s="12">
        <f>(PrincipalesVariables[[#This Row],[Dólar  mayorista]]-E1598)/E1598</f>
        <v>-5.0669562070213741E-3</v>
      </c>
      <c r="J1599" s="12">
        <f>(PrincipalesVariables[[#This Row],[Reservas internacionales]]-F1598)/F1598</f>
        <v>-5.4177743379210551E-3</v>
      </c>
    </row>
    <row r="1600" spans="1:10" ht="15.75" thickBot="1" x14ac:dyDescent="0.3">
      <c r="A1600" s="14">
        <v>43306</v>
      </c>
      <c r="B1600" s="15">
        <v>43306</v>
      </c>
      <c r="C1600" s="16">
        <v>1096063</v>
      </c>
      <c r="D1600" s="10">
        <f>PrincipalesVariables[[#This Row],[Base monetaria]]/1000000</f>
        <v>1.096063</v>
      </c>
      <c r="E1600" s="10">
        <v>27.36</v>
      </c>
      <c r="F1600" s="11">
        <v>58800</v>
      </c>
      <c r="H1600" s="12">
        <f>(PrincipalesVariables[[#This Row],[Base monetaria]]-C1599)/C1599</f>
        <v>-2.1625650501209508E-2</v>
      </c>
      <c r="I1600" s="12">
        <f>(PrincipalesVariables[[#This Row],[Dólar  mayorista]]-E1599)/E1599</f>
        <v>-4.7289923608584581E-3</v>
      </c>
      <c r="J1600" s="12">
        <f>(PrincipalesVariables[[#This Row],[Reservas internacionales]]-F1599)/F1599</f>
        <v>-5.2781161185546082E-3</v>
      </c>
    </row>
    <row r="1601" spans="1:10" ht="15.75" thickBot="1" x14ac:dyDescent="0.3">
      <c r="A1601" s="14">
        <v>43307</v>
      </c>
      <c r="B1601" s="15">
        <v>43307</v>
      </c>
      <c r="C1601" s="16">
        <v>1117033</v>
      </c>
      <c r="D1601" s="10">
        <f>PrincipalesVariables[[#This Row],[Base monetaria]]/1000000</f>
        <v>1.1170329999999999</v>
      </c>
      <c r="E1601" s="10">
        <v>27.44</v>
      </c>
      <c r="F1601" s="11">
        <v>58536</v>
      </c>
      <c r="H1601" s="12">
        <f>(PrincipalesVariables[[#This Row],[Base monetaria]]-C1600)/C1600</f>
        <v>1.9132111931522186E-2</v>
      </c>
      <c r="I1601" s="12">
        <f>(PrincipalesVariables[[#This Row],[Dólar  mayorista]]-E1600)/E1600</f>
        <v>2.923976608187202E-3</v>
      </c>
      <c r="J1601" s="12">
        <f>(PrincipalesVariables[[#This Row],[Reservas internacionales]]-F1600)/F1600</f>
        <v>-4.489795918367347E-3</v>
      </c>
    </row>
    <row r="1602" spans="1:10" ht="15.75" thickBot="1" x14ac:dyDescent="0.3">
      <c r="A1602" s="14">
        <v>43308</v>
      </c>
      <c r="B1602" s="15">
        <v>43308</v>
      </c>
      <c r="C1602" s="16">
        <v>1098279</v>
      </c>
      <c r="D1602" s="10">
        <f>PrincipalesVariables[[#This Row],[Base monetaria]]/1000000</f>
        <v>1.098279</v>
      </c>
      <c r="E1602" s="10">
        <v>27.35</v>
      </c>
      <c r="F1602" s="11">
        <v>58095</v>
      </c>
      <c r="H1602" s="12">
        <f>(PrincipalesVariables[[#This Row],[Base monetaria]]-C1601)/C1601</f>
        <v>-1.6789119032293586E-2</v>
      </c>
      <c r="I1602" s="12">
        <f>(PrincipalesVariables[[#This Row],[Dólar  mayorista]]-E1601)/E1601</f>
        <v>-3.2798833819241927E-3</v>
      </c>
      <c r="J1602" s="12">
        <f>(PrincipalesVariables[[#This Row],[Reservas internacionales]]-F1601)/F1601</f>
        <v>-7.5338253382533828E-3</v>
      </c>
    </row>
    <row r="1603" spans="1:10" ht="15.75" thickBot="1" x14ac:dyDescent="0.3">
      <c r="A1603" s="14">
        <v>43311</v>
      </c>
      <c r="B1603" s="15">
        <v>43311</v>
      </c>
      <c r="C1603" s="16">
        <v>1085985</v>
      </c>
      <c r="D1603" s="10">
        <f>PrincipalesVariables[[#This Row],[Base monetaria]]/1000000</f>
        <v>1.085985</v>
      </c>
      <c r="E1603" s="10">
        <v>27.34</v>
      </c>
      <c r="F1603" s="11">
        <v>58087</v>
      </c>
      <c r="H1603" s="12">
        <f>(PrincipalesVariables[[#This Row],[Base monetaria]]-C1602)/C1602</f>
        <v>-1.1193876965689046E-2</v>
      </c>
      <c r="I1603" s="12">
        <f>(PrincipalesVariables[[#This Row],[Dólar  mayorista]]-E1602)/E1602</f>
        <v>-3.6563071297994747E-4</v>
      </c>
      <c r="J1603" s="12">
        <f>(PrincipalesVariables[[#This Row],[Reservas internacionales]]-F1602)/F1602</f>
        <v>-1.3770548239951802E-4</v>
      </c>
    </row>
    <row r="1604" spans="1:10" ht="15.75" thickBot="1" x14ac:dyDescent="0.3">
      <c r="A1604" s="14">
        <v>43312</v>
      </c>
      <c r="B1604" s="15">
        <v>43312</v>
      </c>
      <c r="C1604" s="16">
        <v>1066809</v>
      </c>
      <c r="D1604" s="10">
        <f>PrincipalesVariables[[#This Row],[Base monetaria]]/1000000</f>
        <v>1.0668089999999999</v>
      </c>
      <c r="E1604" s="10">
        <v>27.34</v>
      </c>
      <c r="F1604" s="11">
        <v>57996</v>
      </c>
      <c r="H1604" s="12">
        <f>(PrincipalesVariables[[#This Row],[Base monetaria]]-C1603)/C1603</f>
        <v>-1.7657702454453791E-2</v>
      </c>
      <c r="I1604" s="12">
        <f>(PrincipalesVariables[[#This Row],[Dólar  mayorista]]-E1603)/E1603</f>
        <v>0</v>
      </c>
      <c r="J1604" s="12">
        <f>(PrincipalesVariables[[#This Row],[Reservas internacionales]]-F1603)/F1603</f>
        <v>-1.5666155938506034E-3</v>
      </c>
    </row>
    <row r="1605" spans="1:10" ht="15.75" thickBot="1" x14ac:dyDescent="0.3">
      <c r="A1605" s="14">
        <v>43313</v>
      </c>
      <c r="B1605" s="15">
        <v>43313</v>
      </c>
      <c r="C1605" s="16">
        <v>1117244</v>
      </c>
      <c r="D1605" s="10">
        <f>PrincipalesVariables[[#This Row],[Base monetaria]]/1000000</f>
        <v>1.1172439999999999</v>
      </c>
      <c r="E1605" s="10">
        <v>27.51</v>
      </c>
      <c r="F1605" s="11">
        <v>57828</v>
      </c>
      <c r="H1605" s="12">
        <f>(PrincipalesVariables[[#This Row],[Base monetaria]]-C1604)/C1604</f>
        <v>4.7276504041491967E-2</v>
      </c>
      <c r="I1605" s="12">
        <f>(PrincipalesVariables[[#This Row],[Dólar  mayorista]]-E1604)/E1604</f>
        <v>6.21799561082669E-3</v>
      </c>
      <c r="J1605" s="12">
        <f>(PrincipalesVariables[[#This Row],[Reservas internacionales]]-F1604)/F1604</f>
        <v>-2.8967515001034555E-3</v>
      </c>
    </row>
    <row r="1606" spans="1:10" ht="15.75" thickBot="1" x14ac:dyDescent="0.3">
      <c r="A1606" s="14">
        <v>43314</v>
      </c>
      <c r="B1606" s="15">
        <v>43314</v>
      </c>
      <c r="C1606" s="16">
        <v>1134127</v>
      </c>
      <c r="D1606" s="10">
        <f>PrincipalesVariables[[#This Row],[Base monetaria]]/1000000</f>
        <v>1.1341270000000001</v>
      </c>
      <c r="E1606" s="10">
        <v>27.6</v>
      </c>
      <c r="F1606" s="11">
        <v>57741</v>
      </c>
      <c r="H1606" s="12">
        <f>(PrincipalesVariables[[#This Row],[Base monetaria]]-C1605)/C1605</f>
        <v>1.5111291714254004E-2</v>
      </c>
      <c r="I1606" s="12">
        <f>(PrincipalesVariables[[#This Row],[Dólar  mayorista]]-E1605)/E1605</f>
        <v>3.2715376226826556E-3</v>
      </c>
      <c r="J1606" s="12">
        <f>(PrincipalesVariables[[#This Row],[Reservas internacionales]]-F1605)/F1605</f>
        <v>-1.5044615065366259E-3</v>
      </c>
    </row>
    <row r="1607" spans="1:10" ht="15.75" thickBot="1" x14ac:dyDescent="0.3">
      <c r="A1607" s="14">
        <v>43315</v>
      </c>
      <c r="B1607" s="15">
        <v>43315</v>
      </c>
      <c r="C1607" s="16">
        <v>1153119</v>
      </c>
      <c r="D1607" s="10">
        <f>PrincipalesVariables[[#This Row],[Base monetaria]]/1000000</f>
        <v>1.153119</v>
      </c>
      <c r="E1607" s="10">
        <v>27.38</v>
      </c>
      <c r="F1607" s="11">
        <v>57799</v>
      </c>
      <c r="H1607" s="12">
        <f>(PrincipalesVariables[[#This Row],[Base monetaria]]-C1606)/C1606</f>
        <v>1.6745919989560251E-2</v>
      </c>
      <c r="I1607" s="12">
        <f>(PrincipalesVariables[[#This Row],[Dólar  mayorista]]-E1606)/E1606</f>
        <v>-7.9710144927537096E-3</v>
      </c>
      <c r="J1607" s="12">
        <f>(PrincipalesVariables[[#This Row],[Reservas internacionales]]-F1606)/F1606</f>
        <v>1.004485547531217E-3</v>
      </c>
    </row>
    <row r="1608" spans="1:10" ht="15.75" thickBot="1" x14ac:dyDescent="0.3">
      <c r="A1608" s="14">
        <v>43318</v>
      </c>
      <c r="B1608" s="15">
        <v>43318</v>
      </c>
      <c r="C1608" s="16">
        <v>1160165</v>
      </c>
      <c r="D1608" s="10">
        <f>PrincipalesVariables[[#This Row],[Base monetaria]]/1000000</f>
        <v>1.1601649999999999</v>
      </c>
      <c r="E1608" s="10">
        <v>27.37</v>
      </c>
      <c r="F1608" s="11">
        <v>57689</v>
      </c>
      <c r="H1608" s="12">
        <f>(PrincipalesVariables[[#This Row],[Base monetaria]]-C1607)/C1607</f>
        <v>6.1103840973915097E-3</v>
      </c>
      <c r="I1608" s="12">
        <f>(PrincipalesVariables[[#This Row],[Dólar  mayorista]]-E1607)/E1607</f>
        <v>-3.6523009495975206E-4</v>
      </c>
      <c r="J1608" s="12">
        <f>(PrincipalesVariables[[#This Row],[Reservas internacionales]]-F1607)/F1607</f>
        <v>-1.9031471132718559E-3</v>
      </c>
    </row>
    <row r="1609" spans="1:10" ht="15.75" thickBot="1" x14ac:dyDescent="0.3">
      <c r="A1609" s="14">
        <v>43319</v>
      </c>
      <c r="B1609" s="15">
        <v>43319</v>
      </c>
      <c r="C1609" s="16">
        <v>1160744</v>
      </c>
      <c r="D1609" s="10">
        <f>PrincipalesVariables[[#This Row],[Base monetaria]]/1000000</f>
        <v>1.160744</v>
      </c>
      <c r="E1609" s="10">
        <v>27.27</v>
      </c>
      <c r="F1609" s="11">
        <v>57657</v>
      </c>
      <c r="H1609" s="12">
        <f>(PrincipalesVariables[[#This Row],[Base monetaria]]-C1608)/C1608</f>
        <v>4.9906694306413313E-4</v>
      </c>
      <c r="I1609" s="12">
        <f>(PrincipalesVariables[[#This Row],[Dólar  mayorista]]-E1608)/E1608</f>
        <v>-3.6536353671904062E-3</v>
      </c>
      <c r="J1609" s="12">
        <f>(PrincipalesVariables[[#This Row],[Reservas internacionales]]-F1608)/F1608</f>
        <v>-5.5469846937891102E-4</v>
      </c>
    </row>
    <row r="1610" spans="1:10" ht="15.75" thickBot="1" x14ac:dyDescent="0.3">
      <c r="A1610" s="14">
        <v>43320</v>
      </c>
      <c r="B1610" s="15">
        <v>43320</v>
      </c>
      <c r="C1610" s="16">
        <v>1159388</v>
      </c>
      <c r="D1610" s="10">
        <f>PrincipalesVariables[[#This Row],[Base monetaria]]/1000000</f>
        <v>1.1593880000000001</v>
      </c>
      <c r="E1610" s="10">
        <v>27.52</v>
      </c>
      <c r="F1610" s="11">
        <v>57580</v>
      </c>
      <c r="H1610" s="12">
        <f>(PrincipalesVariables[[#This Row],[Base monetaria]]-C1609)/C1609</f>
        <v>-1.1682162475102175E-3</v>
      </c>
      <c r="I1610" s="12">
        <f>(PrincipalesVariables[[#This Row],[Dólar  mayorista]]-E1609)/E1609</f>
        <v>9.1675834250091685E-3</v>
      </c>
      <c r="J1610" s="12">
        <f>(PrincipalesVariables[[#This Row],[Reservas internacionales]]-F1609)/F1609</f>
        <v>-1.3354839828641795E-3</v>
      </c>
    </row>
    <row r="1611" spans="1:10" ht="15.75" thickBot="1" x14ac:dyDescent="0.3">
      <c r="A1611" s="14">
        <v>43321</v>
      </c>
      <c r="B1611" s="15">
        <v>43321</v>
      </c>
      <c r="C1611" s="16">
        <v>1150303</v>
      </c>
      <c r="D1611" s="10">
        <f>PrincipalesVariables[[#This Row],[Base monetaria]]/1000000</f>
        <v>1.1503030000000001</v>
      </c>
      <c r="E1611" s="10">
        <v>27.97</v>
      </c>
      <c r="F1611" s="11">
        <v>57519</v>
      </c>
      <c r="H1611" s="12">
        <f>(PrincipalesVariables[[#This Row],[Base monetaria]]-C1610)/C1610</f>
        <v>-7.836030733455927E-3</v>
      </c>
      <c r="I1611" s="12">
        <f>(PrincipalesVariables[[#This Row],[Dólar  mayorista]]-E1610)/E1610</f>
        <v>1.6351744186046485E-2</v>
      </c>
      <c r="J1611" s="12">
        <f>(PrincipalesVariables[[#This Row],[Reservas internacionales]]-F1610)/F1610</f>
        <v>-1.0593956234803751E-3</v>
      </c>
    </row>
    <row r="1612" spans="1:10" ht="15.75" thickBot="1" x14ac:dyDescent="0.3">
      <c r="A1612" s="14">
        <v>43322</v>
      </c>
      <c r="B1612" s="15">
        <v>43322</v>
      </c>
      <c r="C1612" s="16">
        <v>1149677</v>
      </c>
      <c r="D1612" s="10">
        <f>PrincipalesVariables[[#This Row],[Base monetaria]]/1000000</f>
        <v>1.1496770000000001</v>
      </c>
      <c r="E1612" s="10">
        <v>29.2</v>
      </c>
      <c r="F1612" s="11">
        <v>56874</v>
      </c>
      <c r="H1612" s="12">
        <f>(PrincipalesVariables[[#This Row],[Base monetaria]]-C1611)/C1611</f>
        <v>-5.4420444004753526E-4</v>
      </c>
      <c r="I1612" s="12">
        <f>(PrincipalesVariables[[#This Row],[Dólar  mayorista]]-E1611)/E1611</f>
        <v>4.3975688237397226E-2</v>
      </c>
      <c r="J1612" s="12">
        <f>(PrincipalesVariables[[#This Row],[Reservas internacionales]]-F1611)/F1611</f>
        <v>-1.1213685912481093E-2</v>
      </c>
    </row>
    <row r="1613" spans="1:10" ht="15.75" thickBot="1" x14ac:dyDescent="0.3">
      <c r="A1613" s="14">
        <v>43325</v>
      </c>
      <c r="B1613" s="15">
        <v>43325</v>
      </c>
      <c r="C1613" s="16">
        <v>1149621</v>
      </c>
      <c r="D1613" s="10">
        <f>PrincipalesVariables[[#This Row],[Base monetaria]]/1000000</f>
        <v>1.149621</v>
      </c>
      <c r="E1613" s="10">
        <v>30.01</v>
      </c>
      <c r="F1613" s="11">
        <v>56623</v>
      </c>
      <c r="H1613" s="12">
        <f>(PrincipalesVariables[[#This Row],[Base monetaria]]-C1612)/C1612</f>
        <v>-4.8709333143134983E-5</v>
      </c>
      <c r="I1613" s="12">
        <f>(PrincipalesVariables[[#This Row],[Dólar  mayorista]]-E1612)/E1612</f>
        <v>2.7739726027397337E-2</v>
      </c>
      <c r="J1613" s="12">
        <f>(PrincipalesVariables[[#This Row],[Reservas internacionales]]-F1612)/F1612</f>
        <v>-4.4132644090445544E-3</v>
      </c>
    </row>
    <row r="1614" spans="1:10" ht="15.75" thickBot="1" x14ac:dyDescent="0.3">
      <c r="A1614" s="14">
        <v>43326</v>
      </c>
      <c r="B1614" s="15">
        <v>43326</v>
      </c>
      <c r="C1614" s="16">
        <v>1124411</v>
      </c>
      <c r="D1614" s="10">
        <f>PrincipalesVariables[[#This Row],[Base monetaria]]/1000000</f>
        <v>1.124411</v>
      </c>
      <c r="E1614" s="10">
        <v>29.42</v>
      </c>
      <c r="F1614" s="11">
        <v>56258</v>
      </c>
      <c r="H1614" s="12">
        <f>(PrincipalesVariables[[#This Row],[Base monetaria]]-C1613)/C1613</f>
        <v>-2.19289661549328E-2</v>
      </c>
      <c r="I1614" s="12">
        <f>(PrincipalesVariables[[#This Row],[Dólar  mayorista]]-E1613)/E1613</f>
        <v>-1.9660113295568139E-2</v>
      </c>
      <c r="J1614" s="12">
        <f>(PrincipalesVariables[[#This Row],[Reservas internacionales]]-F1613)/F1613</f>
        <v>-6.4461437931582575E-3</v>
      </c>
    </row>
    <row r="1615" spans="1:10" ht="15.75" thickBot="1" x14ac:dyDescent="0.3">
      <c r="A1615" s="14">
        <v>43327</v>
      </c>
      <c r="B1615" s="15">
        <v>43327</v>
      </c>
      <c r="C1615" s="16">
        <v>1307873</v>
      </c>
      <c r="D1615" s="10">
        <f>PrincipalesVariables[[#This Row],[Base monetaria]]/1000000</f>
        <v>1.3078730000000001</v>
      </c>
      <c r="E1615" s="10">
        <v>30.01</v>
      </c>
      <c r="F1615" s="11">
        <v>54648</v>
      </c>
      <c r="H1615" s="12">
        <f>(PrincipalesVariables[[#This Row],[Base monetaria]]-C1614)/C1614</f>
        <v>0.16316275810179728</v>
      </c>
      <c r="I1615" s="12">
        <f>(PrincipalesVariables[[#This Row],[Dólar  mayorista]]-E1614)/E1614</f>
        <v>2.0054384772263761E-2</v>
      </c>
      <c r="J1615" s="12">
        <f>(PrincipalesVariables[[#This Row],[Reservas internacionales]]-F1614)/F1614</f>
        <v>-2.8618152085036794E-2</v>
      </c>
    </row>
    <row r="1616" spans="1:10" ht="15.75" thickBot="1" x14ac:dyDescent="0.3">
      <c r="A1616" s="14">
        <v>43328</v>
      </c>
      <c r="B1616" s="15">
        <v>43328</v>
      </c>
      <c r="C1616" s="16">
        <v>1278241</v>
      </c>
      <c r="D1616" s="10">
        <f>PrincipalesVariables[[#This Row],[Base monetaria]]/1000000</f>
        <v>1.278241</v>
      </c>
      <c r="E1616" s="10">
        <v>29.81</v>
      </c>
      <c r="F1616" s="11">
        <v>54655</v>
      </c>
      <c r="H1616" s="12">
        <f>(PrincipalesVariables[[#This Row],[Base monetaria]]-C1615)/C1615</f>
        <v>-2.265663409214809E-2</v>
      </c>
      <c r="I1616" s="12">
        <f>(PrincipalesVariables[[#This Row],[Dólar  mayorista]]-E1615)/E1615</f>
        <v>-6.664445184938448E-3</v>
      </c>
      <c r="J1616" s="12">
        <f>(PrincipalesVariables[[#This Row],[Reservas internacionales]]-F1615)/F1615</f>
        <v>1.2809251939686721E-4</v>
      </c>
    </row>
    <row r="1617" spans="1:10" ht="15.75" thickBot="1" x14ac:dyDescent="0.3">
      <c r="A1617" s="14">
        <v>43329</v>
      </c>
      <c r="B1617" s="15">
        <v>43329</v>
      </c>
      <c r="C1617" s="16">
        <v>1231589</v>
      </c>
      <c r="D1617" s="10">
        <f>PrincipalesVariables[[#This Row],[Base monetaria]]/1000000</f>
        <v>1.231589</v>
      </c>
      <c r="E1617" s="10">
        <v>29.79</v>
      </c>
      <c r="F1617" s="11">
        <v>54796</v>
      </c>
      <c r="H1617" s="12">
        <f>(PrincipalesVariables[[#This Row],[Base monetaria]]-C1616)/C1616</f>
        <v>-3.6497029902811756E-2</v>
      </c>
      <c r="I1617" s="12">
        <f>(PrincipalesVariables[[#This Row],[Dólar  mayorista]]-E1616)/E1616</f>
        <v>-6.7091580006707727E-4</v>
      </c>
      <c r="J1617" s="12">
        <f>(PrincipalesVariables[[#This Row],[Reservas internacionales]]-F1616)/F1616</f>
        <v>2.5798188637819047E-3</v>
      </c>
    </row>
    <row r="1618" spans="1:10" ht="15.75" thickBot="1" x14ac:dyDescent="0.3">
      <c r="A1618" s="14">
        <v>43333</v>
      </c>
      <c r="B1618" s="15">
        <v>43333</v>
      </c>
      <c r="C1618" s="16">
        <v>1235046</v>
      </c>
      <c r="D1618" s="10">
        <f>PrincipalesVariables[[#This Row],[Base monetaria]]/1000000</f>
        <v>1.2350460000000001</v>
      </c>
      <c r="E1618" s="10">
        <v>29.97</v>
      </c>
      <c r="F1618" s="11">
        <v>55032</v>
      </c>
      <c r="H1618" s="12">
        <f>(PrincipalesVariables[[#This Row],[Base monetaria]]-C1617)/C1617</f>
        <v>2.806942900594273E-3</v>
      </c>
      <c r="I1618" s="12">
        <f>(PrincipalesVariables[[#This Row],[Dólar  mayorista]]-E1617)/E1617</f>
        <v>6.0422960725075433E-3</v>
      </c>
      <c r="J1618" s="12">
        <f>(PrincipalesVariables[[#This Row],[Reservas internacionales]]-F1617)/F1617</f>
        <v>4.3068837141397179E-3</v>
      </c>
    </row>
    <row r="1619" spans="1:10" ht="15.75" thickBot="1" x14ac:dyDescent="0.3">
      <c r="A1619" s="14">
        <v>43334</v>
      </c>
      <c r="B1619" s="15">
        <v>43334</v>
      </c>
      <c r="C1619" s="16">
        <v>1247540</v>
      </c>
      <c r="D1619" s="10">
        <f>PrincipalesVariables[[#This Row],[Base monetaria]]/1000000</f>
        <v>1.2475400000000001</v>
      </c>
      <c r="E1619" s="10">
        <v>30.2</v>
      </c>
      <c r="F1619" s="11">
        <v>55076</v>
      </c>
      <c r="H1619" s="12">
        <f>(PrincipalesVariables[[#This Row],[Base monetaria]]-C1618)/C1618</f>
        <v>1.0116222391716584E-2</v>
      </c>
      <c r="I1619" s="12">
        <f>(PrincipalesVariables[[#This Row],[Dólar  mayorista]]-E1618)/E1618</f>
        <v>7.6743410076743554E-3</v>
      </c>
      <c r="J1619" s="12">
        <f>(PrincipalesVariables[[#This Row],[Reservas internacionales]]-F1618)/F1618</f>
        <v>7.9953481610699228E-4</v>
      </c>
    </row>
    <row r="1620" spans="1:10" ht="15.75" thickBot="1" x14ac:dyDescent="0.3">
      <c r="A1620" s="14">
        <v>43335</v>
      </c>
      <c r="B1620" s="15">
        <v>43335</v>
      </c>
      <c r="C1620" s="16">
        <v>1245245</v>
      </c>
      <c r="D1620" s="10">
        <f>PrincipalesVariables[[#This Row],[Base monetaria]]/1000000</f>
        <v>1.2452449999999999</v>
      </c>
      <c r="E1620" s="10">
        <v>30.2</v>
      </c>
      <c r="F1620" s="11">
        <v>55083</v>
      </c>
      <c r="H1620" s="12">
        <f>(PrincipalesVariables[[#This Row],[Base monetaria]]-C1619)/C1619</f>
        <v>-1.839620372893855E-3</v>
      </c>
      <c r="I1620" s="12">
        <f>(PrincipalesVariables[[#This Row],[Dólar  mayorista]]-E1619)/E1619</f>
        <v>0</v>
      </c>
      <c r="J1620" s="12">
        <f>(PrincipalesVariables[[#This Row],[Reservas internacionales]]-F1619)/F1619</f>
        <v>1.2709710218607016E-4</v>
      </c>
    </row>
    <row r="1621" spans="1:10" ht="15.75" thickBot="1" x14ac:dyDescent="0.3">
      <c r="A1621" s="14">
        <v>43336</v>
      </c>
      <c r="B1621" s="15">
        <v>43336</v>
      </c>
      <c r="C1621" s="16">
        <v>1234888</v>
      </c>
      <c r="D1621" s="10">
        <f>PrincipalesVariables[[#This Row],[Base monetaria]]/1000000</f>
        <v>1.234888</v>
      </c>
      <c r="E1621" s="10">
        <v>30.57</v>
      </c>
      <c r="F1621" s="11">
        <v>55340</v>
      </c>
      <c r="H1621" s="12">
        <f>(PrincipalesVariables[[#This Row],[Base monetaria]]-C1620)/C1620</f>
        <v>-8.3172387763050647E-3</v>
      </c>
      <c r="I1621" s="12">
        <f>(PrincipalesVariables[[#This Row],[Dólar  mayorista]]-E1620)/E1620</f>
        <v>1.2251655629139106E-2</v>
      </c>
      <c r="J1621" s="12">
        <f>(PrincipalesVariables[[#This Row],[Reservas internacionales]]-F1620)/F1620</f>
        <v>4.665686327905161E-3</v>
      </c>
    </row>
    <row r="1622" spans="1:10" ht="15.75" thickBot="1" x14ac:dyDescent="0.3">
      <c r="A1622" s="14">
        <v>43339</v>
      </c>
      <c r="B1622" s="15">
        <v>43339</v>
      </c>
      <c r="C1622" s="16">
        <v>1205723</v>
      </c>
      <c r="D1622" s="10">
        <f>PrincipalesVariables[[#This Row],[Base monetaria]]/1000000</f>
        <v>1.2057230000000001</v>
      </c>
      <c r="E1622" s="10">
        <v>30.92</v>
      </c>
      <c r="F1622" s="11">
        <v>55144</v>
      </c>
      <c r="H1622" s="12">
        <f>(PrincipalesVariables[[#This Row],[Base monetaria]]-C1621)/C1621</f>
        <v>-2.3617526447742631E-2</v>
      </c>
      <c r="I1622" s="12">
        <f>(PrincipalesVariables[[#This Row],[Dólar  mayorista]]-E1621)/E1621</f>
        <v>1.1449133137062526E-2</v>
      </c>
      <c r="J1622" s="12">
        <f>(PrincipalesVariables[[#This Row],[Reservas internacionales]]-F1621)/F1621</f>
        <v>-3.5417419588001445E-3</v>
      </c>
    </row>
    <row r="1623" spans="1:10" ht="15.75" thickBot="1" x14ac:dyDescent="0.3">
      <c r="A1623" s="14">
        <v>43340</v>
      </c>
      <c r="B1623" s="15">
        <v>43340</v>
      </c>
      <c r="C1623" s="16">
        <v>1210208</v>
      </c>
      <c r="D1623" s="10">
        <f>PrincipalesVariables[[#This Row],[Base monetaria]]/1000000</f>
        <v>1.210208</v>
      </c>
      <c r="E1623" s="10">
        <v>31.35</v>
      </c>
      <c r="F1623" s="11">
        <v>54697</v>
      </c>
      <c r="H1623" s="12">
        <f>(PrincipalesVariables[[#This Row],[Base monetaria]]-C1622)/C1622</f>
        <v>3.7197598453376107E-3</v>
      </c>
      <c r="I1623" s="12">
        <f>(PrincipalesVariables[[#This Row],[Dólar  mayorista]]-E1622)/E1622</f>
        <v>1.390685640362224E-2</v>
      </c>
      <c r="J1623" s="12">
        <f>(PrincipalesVariables[[#This Row],[Reservas internacionales]]-F1622)/F1622</f>
        <v>-8.1060496155520093E-3</v>
      </c>
    </row>
    <row r="1624" spans="1:10" ht="15.75" thickBot="1" x14ac:dyDescent="0.3">
      <c r="A1624" s="14">
        <v>43341</v>
      </c>
      <c r="B1624" s="15">
        <v>43341</v>
      </c>
      <c r="C1624" s="16">
        <v>1246804</v>
      </c>
      <c r="D1624" s="10">
        <f>PrincipalesVariables[[#This Row],[Base monetaria]]/1000000</f>
        <v>1.246804</v>
      </c>
      <c r="E1624" s="10">
        <v>31.94</v>
      </c>
      <c r="F1624" s="11">
        <v>54303</v>
      </c>
      <c r="H1624" s="12">
        <f>(PrincipalesVariables[[#This Row],[Base monetaria]]-C1623)/C1623</f>
        <v>3.0239429916179696E-2</v>
      </c>
      <c r="I1624" s="12">
        <f>(PrincipalesVariables[[#This Row],[Dólar  mayorista]]-E1623)/E1623</f>
        <v>1.8819776714513552E-2</v>
      </c>
      <c r="J1624" s="12">
        <f>(PrincipalesVariables[[#This Row],[Reservas internacionales]]-F1623)/F1623</f>
        <v>-7.2033201089639282E-3</v>
      </c>
    </row>
    <row r="1625" spans="1:10" ht="15.75" thickBot="1" x14ac:dyDescent="0.3">
      <c r="A1625" s="14">
        <v>43342</v>
      </c>
      <c r="B1625" s="15">
        <v>43342</v>
      </c>
      <c r="C1625" s="16">
        <v>1229649</v>
      </c>
      <c r="D1625" s="10">
        <f>PrincipalesVariables[[#This Row],[Base monetaria]]/1000000</f>
        <v>1.229649</v>
      </c>
      <c r="E1625" s="10">
        <v>39.61</v>
      </c>
      <c r="F1625" s="11">
        <v>53794</v>
      </c>
      <c r="H1625" s="12">
        <f>(PrincipalesVariables[[#This Row],[Base monetaria]]-C1624)/C1624</f>
        <v>-1.3759179470069072E-2</v>
      </c>
      <c r="I1625" s="12">
        <f>(PrincipalesVariables[[#This Row],[Dólar  mayorista]]-E1624)/E1624</f>
        <v>0.24013775829680645</v>
      </c>
      <c r="J1625" s="12">
        <f>(PrincipalesVariables[[#This Row],[Reservas internacionales]]-F1624)/F1624</f>
        <v>-9.3733311235106708E-3</v>
      </c>
    </row>
    <row r="1626" spans="1:10" ht="15.75" thickBot="1" x14ac:dyDescent="0.3">
      <c r="A1626" s="14">
        <v>43343</v>
      </c>
      <c r="B1626" s="15">
        <v>43343</v>
      </c>
      <c r="C1626" s="16">
        <v>1208276</v>
      </c>
      <c r="D1626" s="10">
        <f>PrincipalesVariables[[#This Row],[Base monetaria]]/1000000</f>
        <v>1.2082759999999999</v>
      </c>
      <c r="E1626" s="10">
        <v>37.130000000000003</v>
      </c>
      <c r="F1626" s="11">
        <v>52658</v>
      </c>
      <c r="H1626" s="12">
        <f>(PrincipalesVariables[[#This Row],[Base monetaria]]-C1625)/C1625</f>
        <v>-1.7381382817373087E-2</v>
      </c>
      <c r="I1626" s="12">
        <f>(PrincipalesVariables[[#This Row],[Dólar  mayorista]]-E1625)/E1625</f>
        <v>-6.2610451906084247E-2</v>
      </c>
      <c r="J1626" s="12">
        <f>(PrincipalesVariables[[#This Row],[Reservas internacionales]]-F1625)/F1625</f>
        <v>-2.111759675800275E-2</v>
      </c>
    </row>
    <row r="1627" spans="1:10" ht="15.75" thickBot="1" x14ac:dyDescent="0.3">
      <c r="A1627" s="14">
        <v>43346</v>
      </c>
      <c r="B1627" s="15">
        <v>43346</v>
      </c>
      <c r="C1627" s="16">
        <v>1234645</v>
      </c>
      <c r="D1627" s="10">
        <f>PrincipalesVariables[[#This Row],[Base monetaria]]/1000000</f>
        <v>1.234645</v>
      </c>
      <c r="E1627" s="10">
        <v>38.03</v>
      </c>
      <c r="F1627" s="11">
        <v>52390</v>
      </c>
      <c r="H1627" s="12">
        <f>(PrincipalesVariables[[#This Row],[Base monetaria]]-C1626)/C1626</f>
        <v>2.1823656184514133E-2</v>
      </c>
      <c r="I1627" s="12">
        <f>(PrincipalesVariables[[#This Row],[Dólar  mayorista]]-E1626)/E1626</f>
        <v>2.4239159709130043E-2</v>
      </c>
      <c r="J1627" s="12">
        <f>(PrincipalesVariables[[#This Row],[Reservas internacionales]]-F1626)/F1626</f>
        <v>-5.0894450985605223E-3</v>
      </c>
    </row>
    <row r="1628" spans="1:10" ht="15.75" thickBot="1" x14ac:dyDescent="0.3">
      <c r="A1628" s="14">
        <v>43347</v>
      </c>
      <c r="B1628" s="15">
        <v>43347</v>
      </c>
      <c r="C1628" s="16">
        <v>1235916</v>
      </c>
      <c r="D1628" s="10">
        <f>PrincipalesVariables[[#This Row],[Base monetaria]]/1000000</f>
        <v>1.235916</v>
      </c>
      <c r="E1628" s="10">
        <v>39.229999999999997</v>
      </c>
      <c r="F1628" s="11">
        <v>51446</v>
      </c>
      <c r="H1628" s="12">
        <f>(PrincipalesVariables[[#This Row],[Base monetaria]]-C1627)/C1627</f>
        <v>1.0294457111153408E-3</v>
      </c>
      <c r="I1628" s="12">
        <f>(PrincipalesVariables[[#This Row],[Dólar  mayorista]]-E1627)/E1627</f>
        <v>3.1554036287141617E-2</v>
      </c>
      <c r="J1628" s="12">
        <f>(PrincipalesVariables[[#This Row],[Reservas internacionales]]-F1627)/F1627</f>
        <v>-1.8018705859896927E-2</v>
      </c>
    </row>
    <row r="1629" spans="1:10" ht="15.75" thickBot="1" x14ac:dyDescent="0.3">
      <c r="A1629" s="14">
        <v>43348</v>
      </c>
      <c r="B1629" s="15">
        <v>43348</v>
      </c>
      <c r="C1629" s="16">
        <v>1253884</v>
      </c>
      <c r="D1629" s="10">
        <f>PrincipalesVariables[[#This Row],[Base monetaria]]/1000000</f>
        <v>1.253884</v>
      </c>
      <c r="E1629" s="10">
        <v>38.81</v>
      </c>
      <c r="F1629" s="11">
        <v>51056</v>
      </c>
      <c r="H1629" s="12">
        <f>(PrincipalesVariables[[#This Row],[Base monetaria]]-C1628)/C1628</f>
        <v>1.4538204861819087E-2</v>
      </c>
      <c r="I1629" s="12">
        <f>(PrincipalesVariables[[#This Row],[Dólar  mayorista]]-E1628)/E1628</f>
        <v>-1.0706092276319006E-2</v>
      </c>
      <c r="J1629" s="12">
        <f>(PrincipalesVariables[[#This Row],[Reservas internacionales]]-F1628)/F1628</f>
        <v>-7.5807642965439494E-3</v>
      </c>
    </row>
    <row r="1630" spans="1:10" ht="15.75" thickBot="1" x14ac:dyDescent="0.3">
      <c r="A1630" s="14">
        <v>43349</v>
      </c>
      <c r="B1630" s="15">
        <v>43349</v>
      </c>
      <c r="C1630" s="16">
        <v>1298883</v>
      </c>
      <c r="D1630" s="10">
        <f>PrincipalesVariables[[#This Row],[Base monetaria]]/1000000</f>
        <v>1.298883</v>
      </c>
      <c r="E1630" s="10">
        <v>37.69</v>
      </c>
      <c r="F1630" s="11">
        <v>51144</v>
      </c>
      <c r="H1630" s="12">
        <f>(PrincipalesVariables[[#This Row],[Base monetaria]]-C1629)/C1629</f>
        <v>3.5887689770345579E-2</v>
      </c>
      <c r="I1630" s="12">
        <f>(PrincipalesVariables[[#This Row],[Dólar  mayorista]]-E1629)/E1629</f>
        <v>-2.8858541612986458E-2</v>
      </c>
      <c r="J1630" s="12">
        <f>(PrincipalesVariables[[#This Row],[Reservas internacionales]]-F1629)/F1629</f>
        <v>1.7235976183014728E-3</v>
      </c>
    </row>
    <row r="1631" spans="1:10" ht="15.75" thickBot="1" x14ac:dyDescent="0.3">
      <c r="A1631" s="14">
        <v>43350</v>
      </c>
      <c r="B1631" s="15">
        <v>43350</v>
      </c>
      <c r="C1631" s="16">
        <v>1326242</v>
      </c>
      <c r="D1631" s="10">
        <f>PrincipalesVariables[[#This Row],[Base monetaria]]/1000000</f>
        <v>1.3262419999999999</v>
      </c>
      <c r="E1631" s="10">
        <v>36.99</v>
      </c>
      <c r="F1631" s="11">
        <v>51214</v>
      </c>
      <c r="H1631" s="12">
        <f>(PrincipalesVariables[[#This Row],[Base monetaria]]-C1630)/C1630</f>
        <v>2.1063483008092337E-2</v>
      </c>
      <c r="I1631" s="12">
        <f>(PrincipalesVariables[[#This Row],[Dólar  mayorista]]-E1630)/E1630</f>
        <v>-1.8572565667285639E-2</v>
      </c>
      <c r="J1631" s="12">
        <f>(PrincipalesVariables[[#This Row],[Reservas internacionales]]-F1630)/F1630</f>
        <v>1.3686844986704207E-3</v>
      </c>
    </row>
    <row r="1632" spans="1:10" ht="15.75" thickBot="1" x14ac:dyDescent="0.3">
      <c r="A1632" s="14">
        <v>43353</v>
      </c>
      <c r="B1632" s="15">
        <v>43353</v>
      </c>
      <c r="C1632" s="16">
        <v>1311304</v>
      </c>
      <c r="D1632" s="10">
        <f>PrincipalesVariables[[#This Row],[Base monetaria]]/1000000</f>
        <v>1.311304</v>
      </c>
      <c r="E1632" s="10">
        <v>37.39</v>
      </c>
      <c r="F1632" s="11">
        <v>51090</v>
      </c>
      <c r="H1632" s="12">
        <f>(PrincipalesVariables[[#This Row],[Base monetaria]]-C1631)/C1631</f>
        <v>-1.1263404416388562E-2</v>
      </c>
      <c r="I1632" s="12">
        <f>(PrincipalesVariables[[#This Row],[Dólar  mayorista]]-E1631)/E1631</f>
        <v>1.0813733441470628E-2</v>
      </c>
      <c r="J1632" s="12">
        <f>(PrincipalesVariables[[#This Row],[Reservas internacionales]]-F1631)/F1631</f>
        <v>-2.4212129495840983E-3</v>
      </c>
    </row>
    <row r="1633" spans="1:10" ht="15.75" thickBot="1" x14ac:dyDescent="0.3">
      <c r="A1633" s="14">
        <v>43354</v>
      </c>
      <c r="B1633" s="15">
        <v>43354</v>
      </c>
      <c r="C1633" s="16">
        <v>1305532</v>
      </c>
      <c r="D1633" s="10">
        <f>PrincipalesVariables[[#This Row],[Base monetaria]]/1000000</f>
        <v>1.3055319999999999</v>
      </c>
      <c r="E1633" s="10">
        <v>37.92</v>
      </c>
      <c r="F1633" s="11">
        <v>50996</v>
      </c>
      <c r="H1633" s="12">
        <f>(PrincipalesVariables[[#This Row],[Base monetaria]]-C1632)/C1632</f>
        <v>-4.4017253054974281E-3</v>
      </c>
      <c r="I1633" s="12">
        <f>(PrincipalesVariables[[#This Row],[Dólar  mayorista]]-E1632)/E1632</f>
        <v>1.4174913078363228E-2</v>
      </c>
      <c r="J1633" s="12">
        <f>(PrincipalesVariables[[#This Row],[Reservas internacionales]]-F1632)/F1632</f>
        <v>-1.8398903895087101E-3</v>
      </c>
    </row>
    <row r="1634" spans="1:10" ht="15.75" thickBot="1" x14ac:dyDescent="0.3">
      <c r="A1634" s="14">
        <v>43355</v>
      </c>
      <c r="B1634" s="15">
        <v>43355</v>
      </c>
      <c r="C1634" s="16">
        <v>1294348</v>
      </c>
      <c r="D1634" s="10">
        <f>PrincipalesVariables[[#This Row],[Base monetaria]]/1000000</f>
        <v>1.2943480000000001</v>
      </c>
      <c r="E1634" s="10">
        <v>37.869999999999997</v>
      </c>
      <c r="F1634" s="11">
        <v>50616</v>
      </c>
      <c r="H1634" s="12">
        <f>(PrincipalesVariables[[#This Row],[Base monetaria]]-C1633)/C1633</f>
        <v>-8.5666226488511962E-3</v>
      </c>
      <c r="I1634" s="12">
        <f>(PrincipalesVariables[[#This Row],[Dólar  mayorista]]-E1633)/E1633</f>
        <v>-1.3185654008439941E-3</v>
      </c>
      <c r="J1634" s="12">
        <f>(PrincipalesVariables[[#This Row],[Reservas internacionales]]-F1633)/F1633</f>
        <v>-7.4515648286140089E-3</v>
      </c>
    </row>
    <row r="1635" spans="1:10" ht="15.75" thickBot="1" x14ac:dyDescent="0.3">
      <c r="A1635" s="14">
        <v>43356</v>
      </c>
      <c r="B1635" s="15">
        <v>43356</v>
      </c>
      <c r="C1635" s="16">
        <v>1295016</v>
      </c>
      <c r="D1635" s="10">
        <f>PrincipalesVariables[[#This Row],[Base monetaria]]/1000000</f>
        <v>1.2950159999999999</v>
      </c>
      <c r="E1635" s="10">
        <v>38.71</v>
      </c>
      <c r="F1635" s="11">
        <v>50532</v>
      </c>
      <c r="H1635" s="12">
        <f>(PrincipalesVariables[[#This Row],[Base monetaria]]-C1634)/C1634</f>
        <v>5.1608995416997595E-4</v>
      </c>
      <c r="I1635" s="12">
        <f>(PrincipalesVariables[[#This Row],[Dólar  mayorista]]-E1634)/E1634</f>
        <v>2.2181146025878094E-2</v>
      </c>
      <c r="J1635" s="12">
        <f>(PrincipalesVariables[[#This Row],[Reservas internacionales]]-F1634)/F1634</f>
        <v>-1.6595542911332385E-3</v>
      </c>
    </row>
    <row r="1636" spans="1:10" ht="15.75" thickBot="1" x14ac:dyDescent="0.3">
      <c r="A1636" s="14">
        <v>43357</v>
      </c>
      <c r="B1636" s="15">
        <v>43357</v>
      </c>
      <c r="C1636" s="16">
        <v>1294255</v>
      </c>
      <c r="D1636" s="10">
        <f>PrincipalesVariables[[#This Row],[Base monetaria]]/1000000</f>
        <v>1.2942549999999999</v>
      </c>
      <c r="E1636" s="10">
        <v>39.71</v>
      </c>
      <c r="F1636" s="11">
        <v>50008</v>
      </c>
      <c r="H1636" s="12">
        <f>(PrincipalesVariables[[#This Row],[Base monetaria]]-C1635)/C1635</f>
        <v>-5.8763752725835049E-4</v>
      </c>
      <c r="I1636" s="12">
        <f>(PrincipalesVariables[[#This Row],[Dólar  mayorista]]-E1635)/E1635</f>
        <v>2.5833118057349523E-2</v>
      </c>
      <c r="J1636" s="12">
        <f>(PrincipalesVariables[[#This Row],[Reservas internacionales]]-F1635)/F1635</f>
        <v>-1.0369666745824428E-2</v>
      </c>
    </row>
    <row r="1637" spans="1:10" ht="15.75" thickBot="1" x14ac:dyDescent="0.3">
      <c r="A1637" s="14">
        <v>43360</v>
      </c>
      <c r="B1637" s="15">
        <v>43360</v>
      </c>
      <c r="C1637" s="16">
        <v>1251731</v>
      </c>
      <c r="D1637" s="10">
        <f>PrincipalesVariables[[#This Row],[Base monetaria]]/1000000</f>
        <v>1.2517309999999999</v>
      </c>
      <c r="E1637" s="10">
        <v>39.58</v>
      </c>
      <c r="F1637" s="11">
        <v>49614</v>
      </c>
      <c r="H1637" s="12">
        <f>(PrincipalesVariables[[#This Row],[Base monetaria]]-C1636)/C1636</f>
        <v>-3.2855967332558113E-2</v>
      </c>
      <c r="I1637" s="12">
        <f>(PrincipalesVariables[[#This Row],[Dólar  mayorista]]-E1636)/E1636</f>
        <v>-3.2737345756736983E-3</v>
      </c>
      <c r="J1637" s="12">
        <f>(PrincipalesVariables[[#This Row],[Reservas internacionales]]-F1636)/F1636</f>
        <v>-7.878739401695728E-3</v>
      </c>
    </row>
    <row r="1638" spans="1:10" ht="15.75" thickBot="1" x14ac:dyDescent="0.3">
      <c r="A1638" s="14">
        <v>43361</v>
      </c>
      <c r="B1638" s="15">
        <v>43361</v>
      </c>
      <c r="C1638" s="16">
        <v>1233183</v>
      </c>
      <c r="D1638" s="10">
        <f>PrincipalesVariables[[#This Row],[Base monetaria]]/1000000</f>
        <v>1.2331829999999999</v>
      </c>
      <c r="E1638" s="10">
        <v>39.729999999999997</v>
      </c>
      <c r="F1638" s="11">
        <v>49220</v>
      </c>
      <c r="H1638" s="12">
        <f>(PrincipalesVariables[[#This Row],[Base monetaria]]-C1637)/C1637</f>
        <v>-1.4817880199499733E-2</v>
      </c>
      <c r="I1638" s="12">
        <f>(PrincipalesVariables[[#This Row],[Dólar  mayorista]]-E1637)/E1637</f>
        <v>3.789792824658883E-3</v>
      </c>
      <c r="J1638" s="12">
        <f>(PrincipalesVariables[[#This Row],[Reservas internacionales]]-F1637)/F1637</f>
        <v>-7.9413068891845042E-3</v>
      </c>
    </row>
    <row r="1639" spans="1:10" ht="15.75" thickBot="1" x14ac:dyDescent="0.3">
      <c r="A1639" s="14">
        <v>43362</v>
      </c>
      <c r="B1639" s="15">
        <v>43362</v>
      </c>
      <c r="C1639" s="16">
        <v>1366300</v>
      </c>
      <c r="D1639" s="10">
        <f>PrincipalesVariables[[#This Row],[Base monetaria]]/1000000</f>
        <v>1.3663000000000001</v>
      </c>
      <c r="E1639" s="10">
        <v>39.46</v>
      </c>
      <c r="F1639" s="11">
        <v>49029</v>
      </c>
      <c r="H1639" s="12">
        <f>(PrincipalesVariables[[#This Row],[Base monetaria]]-C1638)/C1638</f>
        <v>0.10794586042785215</v>
      </c>
      <c r="I1639" s="12">
        <f>(PrincipalesVariables[[#This Row],[Dólar  mayorista]]-E1638)/E1638</f>
        <v>-6.7958721369241392E-3</v>
      </c>
      <c r="J1639" s="12">
        <f>(PrincipalesVariables[[#This Row],[Reservas internacionales]]-F1638)/F1638</f>
        <v>-3.8805363673303536E-3</v>
      </c>
    </row>
    <row r="1640" spans="1:10" ht="15.75" thickBot="1" x14ac:dyDescent="0.3">
      <c r="A1640" s="14">
        <v>43363</v>
      </c>
      <c r="B1640" s="15">
        <v>43363</v>
      </c>
      <c r="C1640" s="16">
        <v>1298659</v>
      </c>
      <c r="D1640" s="10">
        <f>PrincipalesVariables[[#This Row],[Base monetaria]]/1000000</f>
        <v>1.298659</v>
      </c>
      <c r="E1640" s="10">
        <v>38.31</v>
      </c>
      <c r="F1640" s="11">
        <v>48982</v>
      </c>
      <c r="H1640" s="12">
        <f>(PrincipalesVariables[[#This Row],[Base monetaria]]-C1639)/C1639</f>
        <v>-4.9506696918685499E-2</v>
      </c>
      <c r="I1640" s="12">
        <f>(PrincipalesVariables[[#This Row],[Dólar  mayorista]]-E1639)/E1639</f>
        <v>-2.9143436391282276E-2</v>
      </c>
      <c r="J1640" s="12">
        <f>(PrincipalesVariables[[#This Row],[Reservas internacionales]]-F1639)/F1639</f>
        <v>-9.5861632911134226E-4</v>
      </c>
    </row>
    <row r="1641" spans="1:10" ht="15.75" thickBot="1" x14ac:dyDescent="0.3">
      <c r="A1641" s="14">
        <v>43364</v>
      </c>
      <c r="B1641" s="15">
        <v>43364</v>
      </c>
      <c r="C1641" s="16">
        <v>1228867</v>
      </c>
      <c r="D1641" s="10">
        <f>PrincipalesVariables[[#This Row],[Base monetaria]]/1000000</f>
        <v>1.2288669999999999</v>
      </c>
      <c r="E1641" s="10">
        <v>37.58</v>
      </c>
      <c r="F1641" s="11">
        <v>49569</v>
      </c>
      <c r="H1641" s="12">
        <f>(PrincipalesVariables[[#This Row],[Base monetaria]]-C1640)/C1640</f>
        <v>-5.3741590363598143E-2</v>
      </c>
      <c r="I1641" s="12">
        <f>(PrincipalesVariables[[#This Row],[Dólar  mayorista]]-E1640)/E1640</f>
        <v>-1.9055077003393473E-2</v>
      </c>
      <c r="J1641" s="12">
        <f>(PrincipalesVariables[[#This Row],[Reservas internacionales]]-F1640)/F1640</f>
        <v>1.1983994120289086E-2</v>
      </c>
    </row>
    <row r="1642" spans="1:10" ht="15.75" thickBot="1" x14ac:dyDescent="0.3">
      <c r="A1642" s="14">
        <v>43367</v>
      </c>
      <c r="B1642" s="15">
        <v>43367</v>
      </c>
      <c r="C1642" s="16">
        <v>1220541</v>
      </c>
      <c r="D1642" s="10">
        <f>PrincipalesVariables[[#This Row],[Base monetaria]]/1000000</f>
        <v>1.2205410000000001</v>
      </c>
      <c r="E1642" s="10">
        <v>37.299999999999997</v>
      </c>
      <c r="F1642" s="11">
        <v>49541</v>
      </c>
      <c r="H1642" s="12">
        <f>(PrincipalesVariables[[#This Row],[Base monetaria]]-C1641)/C1641</f>
        <v>-6.7753467218177391E-3</v>
      </c>
      <c r="I1642" s="12">
        <f>(PrincipalesVariables[[#This Row],[Dólar  mayorista]]-E1641)/E1641</f>
        <v>-7.4507716870676199E-3</v>
      </c>
      <c r="J1642" s="12">
        <f>(PrincipalesVariables[[#This Row],[Reservas internacionales]]-F1641)/F1641</f>
        <v>-5.6486917226492364E-4</v>
      </c>
    </row>
    <row r="1643" spans="1:10" ht="15.75" thickBot="1" x14ac:dyDescent="0.3">
      <c r="A1643" s="14">
        <v>43368</v>
      </c>
      <c r="B1643" s="15">
        <v>43368</v>
      </c>
      <c r="C1643" s="16">
        <v>1265438</v>
      </c>
      <c r="D1643" s="10">
        <f>PrincipalesVariables[[#This Row],[Base monetaria]]/1000000</f>
        <v>1.2654380000000001</v>
      </c>
      <c r="E1643" s="10">
        <v>38.4</v>
      </c>
      <c r="F1643" s="11">
        <v>49602</v>
      </c>
      <c r="H1643" s="12">
        <f>(PrincipalesVariables[[#This Row],[Base monetaria]]-C1642)/C1642</f>
        <v>3.6784507853484645E-2</v>
      </c>
      <c r="I1643" s="12">
        <f>(PrincipalesVariables[[#This Row],[Dólar  mayorista]]-E1642)/E1642</f>
        <v>2.9490616621983955E-2</v>
      </c>
      <c r="J1643" s="12">
        <f>(PrincipalesVariables[[#This Row],[Reservas internacionales]]-F1642)/F1642</f>
        <v>1.2313033648896873E-3</v>
      </c>
    </row>
    <row r="1644" spans="1:10" ht="15.75" thickBot="1" x14ac:dyDescent="0.3">
      <c r="A1644" s="14">
        <v>43369</v>
      </c>
      <c r="B1644" s="15">
        <v>43369</v>
      </c>
      <c r="C1644" s="16">
        <v>1266819</v>
      </c>
      <c r="D1644" s="10">
        <f>PrincipalesVariables[[#This Row],[Base monetaria]]/1000000</f>
        <v>1.2668189999999999</v>
      </c>
      <c r="E1644" s="10">
        <v>38.69</v>
      </c>
      <c r="F1644" s="11">
        <v>49568</v>
      </c>
      <c r="H1644" s="12">
        <f>(PrincipalesVariables[[#This Row],[Base monetaria]]-C1643)/C1643</f>
        <v>1.0913217399825198E-3</v>
      </c>
      <c r="I1644" s="12">
        <f>(PrincipalesVariables[[#This Row],[Dólar  mayorista]]-E1643)/E1643</f>
        <v>7.5520833333333117E-3</v>
      </c>
      <c r="J1644" s="12">
        <f>(PrincipalesVariables[[#This Row],[Reservas internacionales]]-F1643)/F1643</f>
        <v>-6.8545623160356432E-4</v>
      </c>
    </row>
    <row r="1645" spans="1:10" ht="15.75" thickBot="1" x14ac:dyDescent="0.3">
      <c r="A1645" s="14">
        <v>43370</v>
      </c>
      <c r="B1645" s="15">
        <v>43370</v>
      </c>
      <c r="C1645" s="16">
        <v>1277013</v>
      </c>
      <c r="D1645" s="10">
        <f>PrincipalesVariables[[#This Row],[Base monetaria]]/1000000</f>
        <v>1.277013</v>
      </c>
      <c r="E1645" s="10">
        <v>39.51</v>
      </c>
      <c r="F1645" s="11">
        <v>49556</v>
      </c>
      <c r="H1645" s="12">
        <f>(PrincipalesVariables[[#This Row],[Base monetaria]]-C1644)/C1644</f>
        <v>8.0469269879911813E-3</v>
      </c>
      <c r="I1645" s="12">
        <f>(PrincipalesVariables[[#This Row],[Dólar  mayorista]]-E1644)/E1644</f>
        <v>2.1194107004393909E-2</v>
      </c>
      <c r="J1645" s="12">
        <f>(PrincipalesVariables[[#This Row],[Reservas internacionales]]-F1644)/F1644</f>
        <v>-2.4209167204648161E-4</v>
      </c>
    </row>
    <row r="1646" spans="1:10" ht="15.75" thickBot="1" x14ac:dyDescent="0.3">
      <c r="A1646" s="14">
        <v>43371</v>
      </c>
      <c r="B1646" s="15">
        <v>43371</v>
      </c>
      <c r="C1646" s="16">
        <v>1249657</v>
      </c>
      <c r="D1646" s="10">
        <f>PrincipalesVariables[[#This Row],[Base monetaria]]/1000000</f>
        <v>1.249657</v>
      </c>
      <c r="E1646" s="10">
        <v>40.9</v>
      </c>
      <c r="F1646" s="11">
        <v>49003</v>
      </c>
      <c r="H1646" s="12">
        <f>(PrincipalesVariables[[#This Row],[Base monetaria]]-C1645)/C1645</f>
        <v>-2.1421864930114259E-2</v>
      </c>
      <c r="I1646" s="12">
        <f>(PrincipalesVariables[[#This Row],[Dólar  mayorista]]-E1645)/E1645</f>
        <v>3.5180966843837022E-2</v>
      </c>
      <c r="J1646" s="12">
        <f>(PrincipalesVariables[[#This Row],[Reservas internacionales]]-F1645)/F1645</f>
        <v>-1.1159092743562839E-2</v>
      </c>
    </row>
    <row r="1647" spans="1:10" ht="15.75" thickBot="1" x14ac:dyDescent="0.3">
      <c r="A1647" s="14">
        <v>43374</v>
      </c>
      <c r="B1647" s="15">
        <v>43374</v>
      </c>
      <c r="C1647" s="16">
        <v>1286207</v>
      </c>
      <c r="D1647" s="10">
        <f>PrincipalesVariables[[#This Row],[Base monetaria]]/1000000</f>
        <v>1.2862070000000001</v>
      </c>
      <c r="E1647" s="10">
        <v>40.340000000000003</v>
      </c>
      <c r="F1647" s="11">
        <v>48855</v>
      </c>
      <c r="H1647" s="12">
        <f>(PrincipalesVariables[[#This Row],[Base monetaria]]-C1646)/C1646</f>
        <v>2.9248025658240622E-2</v>
      </c>
      <c r="I1647" s="12">
        <f>(PrincipalesVariables[[#This Row],[Dólar  mayorista]]-E1646)/E1646</f>
        <v>-1.369193154034218E-2</v>
      </c>
      <c r="J1647" s="12">
        <f>(PrincipalesVariables[[#This Row],[Reservas internacionales]]-F1646)/F1646</f>
        <v>-3.020223251637655E-3</v>
      </c>
    </row>
    <row r="1648" spans="1:10" ht="15.75" thickBot="1" x14ac:dyDescent="0.3">
      <c r="A1648" s="14">
        <v>43375</v>
      </c>
      <c r="B1648" s="15">
        <v>43375</v>
      </c>
      <c r="C1648" s="16">
        <v>1239180</v>
      </c>
      <c r="D1648" s="10">
        <f>PrincipalesVariables[[#This Row],[Base monetaria]]/1000000</f>
        <v>1.2391799999999999</v>
      </c>
      <c r="E1648" s="10">
        <v>38.159999999999997</v>
      </c>
      <c r="F1648" s="11">
        <v>48912</v>
      </c>
      <c r="H1648" s="12">
        <f>(PrincipalesVariables[[#This Row],[Base monetaria]]-C1647)/C1647</f>
        <v>-3.6562543976202899E-2</v>
      </c>
      <c r="I1648" s="12">
        <f>(PrincipalesVariables[[#This Row],[Dólar  mayorista]]-E1647)/E1647</f>
        <v>-5.4040654437283259E-2</v>
      </c>
      <c r="J1648" s="12">
        <f>(PrincipalesVariables[[#This Row],[Reservas internacionales]]-F1647)/F1647</f>
        <v>1.1667178385016887E-3</v>
      </c>
    </row>
    <row r="1649" spans="1:10" ht="15.75" thickBot="1" x14ac:dyDescent="0.3">
      <c r="A1649" s="14">
        <v>43376</v>
      </c>
      <c r="B1649" s="15">
        <v>43376</v>
      </c>
      <c r="C1649" s="16">
        <v>1247746</v>
      </c>
      <c r="D1649" s="10">
        <f>PrincipalesVariables[[#This Row],[Base monetaria]]/1000000</f>
        <v>1.247746</v>
      </c>
      <c r="E1649" s="10">
        <v>37.61</v>
      </c>
      <c r="F1649" s="11">
        <v>48963</v>
      </c>
      <c r="H1649" s="12">
        <f>(PrincipalesVariables[[#This Row],[Base monetaria]]-C1648)/C1648</f>
        <v>6.9126357752707437E-3</v>
      </c>
      <c r="I1649" s="12">
        <f>(PrincipalesVariables[[#This Row],[Dólar  mayorista]]-E1648)/E1648</f>
        <v>-1.4412997903563868E-2</v>
      </c>
      <c r="J1649" s="12">
        <f>(PrincipalesVariables[[#This Row],[Reservas internacionales]]-F1648)/F1648</f>
        <v>1.0426889106967614E-3</v>
      </c>
    </row>
    <row r="1650" spans="1:10" ht="15.75" thickBot="1" x14ac:dyDescent="0.3">
      <c r="A1650" s="14">
        <v>43377</v>
      </c>
      <c r="B1650" s="15">
        <v>43377</v>
      </c>
      <c r="C1650" s="16">
        <v>1257572</v>
      </c>
      <c r="D1650" s="10">
        <f>PrincipalesVariables[[#This Row],[Base monetaria]]/1000000</f>
        <v>1.2575719999999999</v>
      </c>
      <c r="E1650" s="10">
        <v>38.520000000000003</v>
      </c>
      <c r="F1650" s="11">
        <v>49014</v>
      </c>
      <c r="H1650" s="12">
        <f>(PrincipalesVariables[[#This Row],[Base monetaria]]-C1649)/C1649</f>
        <v>7.8750002003612918E-3</v>
      </c>
      <c r="I1650" s="12">
        <f>(PrincipalesVariables[[#This Row],[Dólar  mayorista]]-E1649)/E1649</f>
        <v>2.4195692634937614E-2</v>
      </c>
      <c r="J1650" s="12">
        <f>(PrincipalesVariables[[#This Row],[Reservas internacionales]]-F1649)/F1649</f>
        <v>1.0416028429630537E-3</v>
      </c>
    </row>
    <row r="1651" spans="1:10" ht="15.75" thickBot="1" x14ac:dyDescent="0.3">
      <c r="A1651" s="14">
        <v>43378</v>
      </c>
      <c r="B1651" s="15">
        <v>43378</v>
      </c>
      <c r="C1651" s="16">
        <v>1280236</v>
      </c>
      <c r="D1651" s="10">
        <f>PrincipalesVariables[[#This Row],[Base monetaria]]/1000000</f>
        <v>1.2802359999999999</v>
      </c>
      <c r="E1651" s="10">
        <v>38.020000000000003</v>
      </c>
      <c r="F1651" s="11">
        <v>49141</v>
      </c>
      <c r="H1651" s="12">
        <f>(PrincipalesVariables[[#This Row],[Base monetaria]]-C1650)/C1650</f>
        <v>1.8022029752570827E-2</v>
      </c>
      <c r="I1651" s="12">
        <f>(PrincipalesVariables[[#This Row],[Dólar  mayorista]]-E1650)/E1650</f>
        <v>-1.2980269989615783E-2</v>
      </c>
      <c r="J1651" s="12">
        <f>(PrincipalesVariables[[#This Row],[Reservas internacionales]]-F1650)/F1650</f>
        <v>2.5910964214306115E-3</v>
      </c>
    </row>
    <row r="1652" spans="1:10" ht="15.75" thickBot="1" x14ac:dyDescent="0.3">
      <c r="A1652" s="14">
        <v>43381</v>
      </c>
      <c r="B1652" s="15">
        <v>43381</v>
      </c>
      <c r="C1652" s="16">
        <v>1267599</v>
      </c>
      <c r="D1652" s="10">
        <f>PrincipalesVariables[[#This Row],[Base monetaria]]/1000000</f>
        <v>1.2675989999999999</v>
      </c>
      <c r="E1652" s="10">
        <v>37.549999999999997</v>
      </c>
      <c r="F1652" s="11">
        <v>49013</v>
      </c>
      <c r="H1652" s="12">
        <f>(PrincipalesVariables[[#This Row],[Base monetaria]]-C1651)/C1651</f>
        <v>-9.8708363145545049E-3</v>
      </c>
      <c r="I1652" s="12">
        <f>(PrincipalesVariables[[#This Row],[Dólar  mayorista]]-E1651)/E1651</f>
        <v>-1.2361914781694001E-2</v>
      </c>
      <c r="J1652" s="12">
        <f>(PrincipalesVariables[[#This Row],[Reservas internacionales]]-F1651)/F1651</f>
        <v>-2.6047495980952768E-3</v>
      </c>
    </row>
    <row r="1653" spans="1:10" ht="15.75" thickBot="1" x14ac:dyDescent="0.3">
      <c r="A1653" s="14">
        <v>43382</v>
      </c>
      <c r="B1653" s="15">
        <v>43382</v>
      </c>
      <c r="C1653" s="16">
        <v>1257866</v>
      </c>
      <c r="D1653" s="10">
        <f>PrincipalesVariables[[#This Row],[Base monetaria]]/1000000</f>
        <v>1.2578659999999999</v>
      </c>
      <c r="E1653" s="10">
        <v>37.25</v>
      </c>
      <c r="F1653" s="11">
        <v>48886</v>
      </c>
      <c r="H1653" s="12">
        <f>(PrincipalesVariables[[#This Row],[Base monetaria]]-C1652)/C1652</f>
        <v>-7.6782957386365876E-3</v>
      </c>
      <c r="I1653" s="12">
        <f>(PrincipalesVariables[[#This Row],[Dólar  mayorista]]-E1652)/E1652</f>
        <v>-7.9893475366177684E-3</v>
      </c>
      <c r="J1653" s="12">
        <f>(PrincipalesVariables[[#This Row],[Reservas internacionales]]-F1652)/F1652</f>
        <v>-2.5911492869238775E-3</v>
      </c>
    </row>
    <row r="1654" spans="1:10" ht="15.75" thickBot="1" x14ac:dyDescent="0.3">
      <c r="A1654" s="14">
        <v>43383</v>
      </c>
      <c r="B1654" s="15">
        <v>43383</v>
      </c>
      <c r="C1654" s="16">
        <v>1259924</v>
      </c>
      <c r="D1654" s="10">
        <f>PrincipalesVariables[[#This Row],[Base monetaria]]/1000000</f>
        <v>1.259924</v>
      </c>
      <c r="E1654" s="10">
        <v>37.29</v>
      </c>
      <c r="F1654" s="11">
        <v>48766</v>
      </c>
      <c r="H1654" s="12">
        <f>(PrincipalesVariables[[#This Row],[Base monetaria]]-C1653)/C1653</f>
        <v>1.6361043227180001E-3</v>
      </c>
      <c r="I1654" s="12">
        <f>(PrincipalesVariables[[#This Row],[Dólar  mayorista]]-E1653)/E1653</f>
        <v>1.0738255033556818E-3</v>
      </c>
      <c r="J1654" s="12">
        <f>(PrincipalesVariables[[#This Row],[Reservas internacionales]]-F1653)/F1653</f>
        <v>-2.4546905044388985E-3</v>
      </c>
    </row>
    <row r="1655" spans="1:10" ht="15.75" thickBot="1" x14ac:dyDescent="0.3">
      <c r="A1655" s="14">
        <v>43384</v>
      </c>
      <c r="B1655" s="15">
        <v>43384</v>
      </c>
      <c r="C1655" s="16">
        <v>1258559</v>
      </c>
      <c r="D1655" s="10">
        <f>PrincipalesVariables[[#This Row],[Base monetaria]]/1000000</f>
        <v>1.258559</v>
      </c>
      <c r="E1655" s="10">
        <v>36.92</v>
      </c>
      <c r="F1655" s="11">
        <v>48877</v>
      </c>
      <c r="H1655" s="12">
        <f>(PrincipalesVariables[[#This Row],[Base monetaria]]-C1654)/C1654</f>
        <v>-1.083398681190294E-3</v>
      </c>
      <c r="I1655" s="12">
        <f>(PrincipalesVariables[[#This Row],[Dólar  mayorista]]-E1654)/E1654</f>
        <v>-9.9222311611691458E-3</v>
      </c>
      <c r="J1655" s="12">
        <f>(PrincipalesVariables[[#This Row],[Reservas internacionales]]-F1654)/F1654</f>
        <v>2.276176024279211E-3</v>
      </c>
    </row>
    <row r="1656" spans="1:10" ht="15.75" thickBot="1" x14ac:dyDescent="0.3">
      <c r="A1656" s="14">
        <v>43385</v>
      </c>
      <c r="B1656" s="15">
        <v>43385</v>
      </c>
      <c r="C1656" s="16">
        <v>1240442</v>
      </c>
      <c r="D1656" s="10">
        <f>PrincipalesVariables[[#This Row],[Base monetaria]]/1000000</f>
        <v>1.240442</v>
      </c>
      <c r="E1656" s="10">
        <v>36.24</v>
      </c>
      <c r="F1656" s="11">
        <v>48543</v>
      </c>
      <c r="H1656" s="12">
        <f>(PrincipalesVariables[[#This Row],[Base monetaria]]-C1655)/C1655</f>
        <v>-1.4395034320997268E-2</v>
      </c>
      <c r="I1656" s="12">
        <f>(PrincipalesVariables[[#This Row],[Dólar  mayorista]]-E1655)/E1655</f>
        <v>-1.8418201516793058E-2</v>
      </c>
      <c r="J1656" s="12">
        <f>(PrincipalesVariables[[#This Row],[Reservas internacionales]]-F1655)/F1655</f>
        <v>-6.8334799598993388E-3</v>
      </c>
    </row>
    <row r="1657" spans="1:10" ht="15.75" thickBot="1" x14ac:dyDescent="0.3">
      <c r="A1657" s="14">
        <v>43389</v>
      </c>
      <c r="B1657" s="15">
        <v>43389</v>
      </c>
      <c r="C1657" s="16">
        <v>1249365</v>
      </c>
      <c r="D1657" s="10">
        <f>PrincipalesVariables[[#This Row],[Base monetaria]]/1000000</f>
        <v>1.2493650000000001</v>
      </c>
      <c r="E1657" s="10">
        <v>36.36</v>
      </c>
      <c r="F1657" s="11">
        <v>48449</v>
      </c>
      <c r="H1657" s="12">
        <f>(PrincipalesVariables[[#This Row],[Base monetaria]]-C1656)/C1656</f>
        <v>7.1934036416051702E-3</v>
      </c>
      <c r="I1657" s="12">
        <f>(PrincipalesVariables[[#This Row],[Dólar  mayorista]]-E1656)/E1656</f>
        <v>3.3112582781456247E-3</v>
      </c>
      <c r="J1657" s="12">
        <f>(PrincipalesVariables[[#This Row],[Reservas internacionales]]-F1656)/F1656</f>
        <v>-1.9364274972704612E-3</v>
      </c>
    </row>
    <row r="1658" spans="1:10" ht="15.75" thickBot="1" x14ac:dyDescent="0.3">
      <c r="A1658" s="14">
        <v>43390</v>
      </c>
      <c r="B1658" s="15">
        <v>43390</v>
      </c>
      <c r="C1658" s="16">
        <v>1318446</v>
      </c>
      <c r="D1658" s="10">
        <f>PrincipalesVariables[[#This Row],[Base monetaria]]/1000000</f>
        <v>1.318446</v>
      </c>
      <c r="E1658" s="10">
        <v>36.299999999999997</v>
      </c>
      <c r="F1658" s="11">
        <v>48268</v>
      </c>
      <c r="H1658" s="12">
        <f>(PrincipalesVariables[[#This Row],[Base monetaria]]-C1657)/C1657</f>
        <v>5.5292888787504053E-2</v>
      </c>
      <c r="I1658" s="12">
        <f>(PrincipalesVariables[[#This Row],[Dólar  mayorista]]-E1657)/E1657</f>
        <v>-1.6501650165017126E-3</v>
      </c>
      <c r="J1658" s="12">
        <f>(PrincipalesVariables[[#This Row],[Reservas internacionales]]-F1657)/F1657</f>
        <v>-3.7358872216144813E-3</v>
      </c>
    </row>
    <row r="1659" spans="1:10" ht="15.75" thickBot="1" x14ac:dyDescent="0.3">
      <c r="A1659" s="14">
        <v>43391</v>
      </c>
      <c r="B1659" s="15">
        <v>43391</v>
      </c>
      <c r="C1659" s="16">
        <v>1258348</v>
      </c>
      <c r="D1659" s="10">
        <f>PrincipalesVariables[[#This Row],[Base monetaria]]/1000000</f>
        <v>1.258348</v>
      </c>
      <c r="E1659" s="10">
        <v>36.409999999999997</v>
      </c>
      <c r="F1659" s="11">
        <v>48492</v>
      </c>
      <c r="H1659" s="12">
        <f>(PrincipalesVariables[[#This Row],[Base monetaria]]-C1658)/C1658</f>
        <v>-4.5582450855021744E-2</v>
      </c>
      <c r="I1659" s="12">
        <f>(PrincipalesVariables[[#This Row],[Dólar  mayorista]]-E1658)/E1658</f>
        <v>3.0303030303030147E-3</v>
      </c>
      <c r="J1659" s="12">
        <f>(PrincipalesVariables[[#This Row],[Reservas internacionales]]-F1658)/F1658</f>
        <v>4.6407557802270651E-3</v>
      </c>
    </row>
    <row r="1660" spans="1:10" ht="15.75" thickBot="1" x14ac:dyDescent="0.3">
      <c r="A1660" s="14">
        <v>43392</v>
      </c>
      <c r="B1660" s="15">
        <v>43392</v>
      </c>
      <c r="C1660" s="16">
        <v>1222659</v>
      </c>
      <c r="D1660" s="10">
        <f>PrincipalesVariables[[#This Row],[Base monetaria]]/1000000</f>
        <v>1.2226589999999999</v>
      </c>
      <c r="E1660" s="10">
        <v>36.549999999999997</v>
      </c>
      <c r="F1660" s="11">
        <v>48585</v>
      </c>
      <c r="H1660" s="12">
        <f>(PrincipalesVariables[[#This Row],[Base monetaria]]-C1659)/C1659</f>
        <v>-2.8361788630808012E-2</v>
      </c>
      <c r="I1660" s="12">
        <f>(PrincipalesVariables[[#This Row],[Dólar  mayorista]]-E1659)/E1659</f>
        <v>3.8450975006866406E-3</v>
      </c>
      <c r="J1660" s="12">
        <f>(PrincipalesVariables[[#This Row],[Reservas internacionales]]-F1659)/F1659</f>
        <v>1.9178421182875526E-3</v>
      </c>
    </row>
    <row r="1661" spans="1:10" ht="15.75" thickBot="1" x14ac:dyDescent="0.3">
      <c r="A1661" s="14">
        <v>43395</v>
      </c>
      <c r="B1661" s="15">
        <v>43395</v>
      </c>
      <c r="C1661" s="16">
        <v>1218220</v>
      </c>
      <c r="D1661" s="10">
        <f>PrincipalesVariables[[#This Row],[Base monetaria]]/1000000</f>
        <v>1.2182200000000001</v>
      </c>
      <c r="E1661" s="10">
        <v>36.42</v>
      </c>
      <c r="F1661" s="11">
        <v>48496</v>
      </c>
      <c r="H1661" s="12">
        <f>(PrincipalesVariables[[#This Row],[Base monetaria]]-C1660)/C1660</f>
        <v>-3.6306116423303635E-3</v>
      </c>
      <c r="I1661" s="12">
        <f>(PrincipalesVariables[[#This Row],[Dólar  mayorista]]-E1660)/E1660</f>
        <v>-3.5567715458275093E-3</v>
      </c>
      <c r="J1661" s="12">
        <f>(PrincipalesVariables[[#This Row],[Reservas internacionales]]-F1660)/F1660</f>
        <v>-1.8318411032211589E-3</v>
      </c>
    </row>
    <row r="1662" spans="1:10" ht="15.75" thickBot="1" x14ac:dyDescent="0.3">
      <c r="A1662" s="14">
        <v>43396</v>
      </c>
      <c r="B1662" s="15">
        <v>43396</v>
      </c>
      <c r="C1662" s="16">
        <v>1229655</v>
      </c>
      <c r="D1662" s="10">
        <f>PrincipalesVariables[[#This Row],[Base monetaria]]/1000000</f>
        <v>1.2296549999999999</v>
      </c>
      <c r="E1662" s="10">
        <v>36.770000000000003</v>
      </c>
      <c r="F1662" s="11">
        <v>48564</v>
      </c>
      <c r="H1662" s="12">
        <f>(PrincipalesVariables[[#This Row],[Base monetaria]]-C1661)/C1661</f>
        <v>9.3866460901971729E-3</v>
      </c>
      <c r="I1662" s="12">
        <f>(PrincipalesVariables[[#This Row],[Dólar  mayorista]]-E1661)/E1661</f>
        <v>9.6101043382757108E-3</v>
      </c>
      <c r="J1662" s="12">
        <f>(PrincipalesVariables[[#This Row],[Reservas internacionales]]-F1661)/F1661</f>
        <v>1.4021774991751898E-3</v>
      </c>
    </row>
    <row r="1663" spans="1:10" ht="15.75" thickBot="1" x14ac:dyDescent="0.3">
      <c r="A1663" s="14">
        <v>43397</v>
      </c>
      <c r="B1663" s="15">
        <v>43397</v>
      </c>
      <c r="C1663" s="16">
        <v>1267997</v>
      </c>
      <c r="D1663" s="10">
        <f>PrincipalesVariables[[#This Row],[Base monetaria]]/1000000</f>
        <v>1.267997</v>
      </c>
      <c r="E1663" s="10">
        <v>36.54</v>
      </c>
      <c r="F1663" s="11">
        <v>48477</v>
      </c>
      <c r="H1663" s="12">
        <f>(PrincipalesVariables[[#This Row],[Base monetaria]]-C1662)/C1662</f>
        <v>3.1181103642891707E-2</v>
      </c>
      <c r="I1663" s="12">
        <f>(PrincipalesVariables[[#This Row],[Dólar  mayorista]]-E1662)/E1662</f>
        <v>-6.2550992657058463E-3</v>
      </c>
      <c r="J1663" s="12">
        <f>(PrincipalesVariables[[#This Row],[Reservas internacionales]]-F1662)/F1662</f>
        <v>-1.7914504571287374E-3</v>
      </c>
    </row>
    <row r="1664" spans="1:10" ht="15.75" thickBot="1" x14ac:dyDescent="0.3">
      <c r="A1664" s="14">
        <v>43398</v>
      </c>
      <c r="B1664" s="15">
        <v>43398</v>
      </c>
      <c r="C1664" s="16">
        <v>1264827</v>
      </c>
      <c r="D1664" s="10">
        <f>PrincipalesVariables[[#This Row],[Base monetaria]]/1000000</f>
        <v>1.2648269999999999</v>
      </c>
      <c r="E1664" s="10">
        <v>36.79</v>
      </c>
      <c r="F1664" s="11">
        <v>48285</v>
      </c>
      <c r="H1664" s="12">
        <f>(PrincipalesVariables[[#This Row],[Base monetaria]]-C1663)/C1663</f>
        <v>-2.5000059148404924E-3</v>
      </c>
      <c r="I1664" s="12">
        <f>(PrincipalesVariables[[#This Row],[Dólar  mayorista]]-E1663)/E1663</f>
        <v>6.8418171866447726E-3</v>
      </c>
      <c r="J1664" s="12">
        <f>(PrincipalesVariables[[#This Row],[Reservas internacionales]]-F1663)/F1663</f>
        <v>-3.9606411287827215E-3</v>
      </c>
    </row>
    <row r="1665" spans="1:10" ht="15.75" thickBot="1" x14ac:dyDescent="0.3">
      <c r="A1665" s="14">
        <v>43399</v>
      </c>
      <c r="B1665" s="15">
        <v>43399</v>
      </c>
      <c r="C1665" s="16">
        <v>1275602</v>
      </c>
      <c r="D1665" s="10">
        <f>PrincipalesVariables[[#This Row],[Base monetaria]]/1000000</f>
        <v>1.2756019999999999</v>
      </c>
      <c r="E1665" s="10">
        <v>36.79</v>
      </c>
      <c r="F1665" s="11">
        <v>47993</v>
      </c>
      <c r="H1665" s="12">
        <f>(PrincipalesVariables[[#This Row],[Base monetaria]]-C1664)/C1664</f>
        <v>8.5189516036580492E-3</v>
      </c>
      <c r="I1665" s="12">
        <f>(PrincipalesVariables[[#This Row],[Dólar  mayorista]]-E1664)/E1664</f>
        <v>0</v>
      </c>
      <c r="J1665" s="12">
        <f>(PrincipalesVariables[[#This Row],[Reservas internacionales]]-F1664)/F1664</f>
        <v>-6.0474267370819092E-3</v>
      </c>
    </row>
    <row r="1666" spans="1:10" ht="15.75" thickBot="1" x14ac:dyDescent="0.3">
      <c r="A1666" s="14">
        <v>43402</v>
      </c>
      <c r="B1666" s="15">
        <v>43402</v>
      </c>
      <c r="C1666" s="16">
        <v>1248874</v>
      </c>
      <c r="D1666" s="10">
        <f>PrincipalesVariables[[#This Row],[Base monetaria]]/1000000</f>
        <v>1.248874</v>
      </c>
      <c r="E1666" s="10">
        <v>36.79</v>
      </c>
      <c r="F1666" s="11">
        <v>47867</v>
      </c>
      <c r="H1666" s="12">
        <f>(PrincipalesVariables[[#This Row],[Base monetaria]]-C1665)/C1665</f>
        <v>-2.095324403693315E-2</v>
      </c>
      <c r="I1666" s="12">
        <f>(PrincipalesVariables[[#This Row],[Dólar  mayorista]]-E1665)/E1665</f>
        <v>0</v>
      </c>
      <c r="J1666" s="12">
        <f>(PrincipalesVariables[[#This Row],[Reservas internacionales]]-F1665)/F1665</f>
        <v>-2.6253828683349655E-3</v>
      </c>
    </row>
    <row r="1667" spans="1:10" ht="15.75" thickBot="1" x14ac:dyDescent="0.3">
      <c r="A1667" s="14">
        <v>43403</v>
      </c>
      <c r="B1667" s="15">
        <v>43403</v>
      </c>
      <c r="C1667" s="16">
        <v>1232467</v>
      </c>
      <c r="D1667" s="10">
        <f>PrincipalesVariables[[#This Row],[Base monetaria]]/1000000</f>
        <v>1.232467</v>
      </c>
      <c r="E1667" s="10">
        <v>36.83</v>
      </c>
      <c r="F1667" s="11">
        <v>54040</v>
      </c>
      <c r="H1667" s="12">
        <f>(PrincipalesVariables[[#This Row],[Base monetaria]]-C1666)/C1666</f>
        <v>-1.3137434200728016E-2</v>
      </c>
      <c r="I1667" s="12">
        <f>(PrincipalesVariables[[#This Row],[Dólar  mayorista]]-E1666)/E1666</f>
        <v>1.0872519706441736E-3</v>
      </c>
      <c r="J1667" s="12">
        <f>(PrincipalesVariables[[#This Row],[Reservas internacionales]]-F1666)/F1666</f>
        <v>0.12896149748260807</v>
      </c>
    </row>
    <row r="1668" spans="1:10" ht="15.75" thickBot="1" x14ac:dyDescent="0.3">
      <c r="A1668" s="14">
        <v>43404</v>
      </c>
      <c r="B1668" s="15">
        <v>43404</v>
      </c>
      <c r="C1668" s="16">
        <v>1155082</v>
      </c>
      <c r="D1668" s="10">
        <f>PrincipalesVariables[[#This Row],[Base monetaria]]/1000000</f>
        <v>1.1550819999999999</v>
      </c>
      <c r="E1668" s="10">
        <v>36.200000000000003</v>
      </c>
      <c r="F1668" s="11">
        <v>53955</v>
      </c>
      <c r="H1668" s="12">
        <f>(PrincipalesVariables[[#This Row],[Base monetaria]]-C1667)/C1667</f>
        <v>-6.2788699413452859E-2</v>
      </c>
      <c r="I1668" s="12">
        <f>(PrincipalesVariables[[#This Row],[Dólar  mayorista]]-E1667)/E1667</f>
        <v>-1.7105620418137266E-2</v>
      </c>
      <c r="J1668" s="12">
        <f>(PrincipalesVariables[[#This Row],[Reservas internacionales]]-F1667)/F1667</f>
        <v>-1.5729089563286454E-3</v>
      </c>
    </row>
    <row r="1669" spans="1:10" ht="15.75" thickBot="1" x14ac:dyDescent="0.3">
      <c r="A1669" s="14">
        <v>43405</v>
      </c>
      <c r="B1669" s="15">
        <v>43405</v>
      </c>
      <c r="C1669" s="16">
        <v>1244047</v>
      </c>
      <c r="D1669" s="10">
        <f>PrincipalesVariables[[#This Row],[Base monetaria]]/1000000</f>
        <v>1.2440469999999999</v>
      </c>
      <c r="E1669" s="10">
        <v>35.74</v>
      </c>
      <c r="F1669" s="11">
        <v>54220</v>
      </c>
      <c r="H1669" s="12">
        <f>(PrincipalesVariables[[#This Row],[Base monetaria]]-C1668)/C1668</f>
        <v>7.7020505903476977E-2</v>
      </c>
      <c r="I1669" s="12">
        <f>(PrincipalesVariables[[#This Row],[Dólar  mayorista]]-E1668)/E1668</f>
        <v>-1.2707182320442012E-2</v>
      </c>
      <c r="J1669" s="12">
        <f>(PrincipalesVariables[[#This Row],[Reservas internacionales]]-F1668)/F1668</f>
        <v>4.9115003243443613E-3</v>
      </c>
    </row>
    <row r="1670" spans="1:10" ht="15.75" thickBot="1" x14ac:dyDescent="0.3">
      <c r="A1670" s="14">
        <v>43406</v>
      </c>
      <c r="B1670" s="15">
        <v>43406</v>
      </c>
      <c r="C1670" s="16">
        <v>1231563</v>
      </c>
      <c r="D1670" s="10">
        <f>PrincipalesVariables[[#This Row],[Base monetaria]]/1000000</f>
        <v>1.231563</v>
      </c>
      <c r="E1670" s="10">
        <v>35.590000000000003</v>
      </c>
      <c r="F1670" s="11">
        <v>54255</v>
      </c>
      <c r="H1670" s="12">
        <f>(PrincipalesVariables[[#This Row],[Base monetaria]]-C1669)/C1669</f>
        <v>-1.003499063942118E-2</v>
      </c>
      <c r="I1670" s="12">
        <f>(PrincipalesVariables[[#This Row],[Dólar  mayorista]]-E1669)/E1669</f>
        <v>-4.196978175713446E-3</v>
      </c>
      <c r="J1670" s="12">
        <f>(PrincipalesVariables[[#This Row],[Reservas internacionales]]-F1669)/F1669</f>
        <v>6.4551825894503868E-4</v>
      </c>
    </row>
    <row r="1671" spans="1:10" ht="15.75" thickBot="1" x14ac:dyDescent="0.3">
      <c r="A1671" s="14">
        <v>43409</v>
      </c>
      <c r="B1671" s="15">
        <v>43409</v>
      </c>
      <c r="C1671" s="16">
        <v>1175074</v>
      </c>
      <c r="D1671" s="10">
        <f>PrincipalesVariables[[#This Row],[Base monetaria]]/1000000</f>
        <v>1.175074</v>
      </c>
      <c r="E1671" s="10">
        <v>35.549999999999997</v>
      </c>
      <c r="F1671" s="11">
        <v>54066</v>
      </c>
      <c r="H1671" s="12">
        <f>(PrincipalesVariables[[#This Row],[Base monetaria]]-C1670)/C1670</f>
        <v>-4.586773068044428E-2</v>
      </c>
      <c r="I1671" s="12">
        <f>(PrincipalesVariables[[#This Row],[Dólar  mayorista]]-E1670)/E1670</f>
        <v>-1.1239112110145054E-3</v>
      </c>
      <c r="J1671" s="12">
        <f>(PrincipalesVariables[[#This Row],[Reservas internacionales]]-F1670)/F1670</f>
        <v>-3.4835499032347247E-3</v>
      </c>
    </row>
    <row r="1672" spans="1:10" ht="15.75" thickBot="1" x14ac:dyDescent="0.3">
      <c r="A1672" s="14">
        <v>43411</v>
      </c>
      <c r="B1672" s="15">
        <v>43411</v>
      </c>
      <c r="C1672" s="16">
        <v>1274729</v>
      </c>
      <c r="D1672" s="10">
        <f>PrincipalesVariables[[#This Row],[Base monetaria]]/1000000</f>
        <v>1.274729</v>
      </c>
      <c r="E1672" s="10">
        <v>35.76</v>
      </c>
      <c r="F1672" s="11">
        <v>53376</v>
      </c>
      <c r="H1672" s="12">
        <f>(PrincipalesVariables[[#This Row],[Base monetaria]]-C1671)/C1671</f>
        <v>8.4807424894091779E-2</v>
      </c>
      <c r="I1672" s="12">
        <f>(PrincipalesVariables[[#This Row],[Dólar  mayorista]]-E1671)/E1671</f>
        <v>5.9071729957806155E-3</v>
      </c>
      <c r="J1672" s="12">
        <f>(PrincipalesVariables[[#This Row],[Reservas internacionales]]-F1671)/F1671</f>
        <v>-1.2762179558317611E-2</v>
      </c>
    </row>
    <row r="1673" spans="1:10" ht="15.75" thickBot="1" x14ac:dyDescent="0.3">
      <c r="A1673" s="14">
        <v>43412</v>
      </c>
      <c r="B1673" s="15">
        <v>43412</v>
      </c>
      <c r="C1673" s="16">
        <v>1275024</v>
      </c>
      <c r="D1673" s="10">
        <f>PrincipalesVariables[[#This Row],[Base monetaria]]/1000000</f>
        <v>1.2750239999999999</v>
      </c>
      <c r="E1673" s="10">
        <v>35.61</v>
      </c>
      <c r="F1673" s="11">
        <v>53242</v>
      </c>
      <c r="H1673" s="12">
        <f>(PrincipalesVariables[[#This Row],[Base monetaria]]-C1672)/C1672</f>
        <v>2.3142173748302581E-4</v>
      </c>
      <c r="I1673" s="12">
        <f>(PrincipalesVariables[[#This Row],[Dólar  mayorista]]-E1672)/E1672</f>
        <v>-4.1946308724831816E-3</v>
      </c>
      <c r="J1673" s="12">
        <f>(PrincipalesVariables[[#This Row],[Reservas internacionales]]-F1672)/F1672</f>
        <v>-2.5104916067146283E-3</v>
      </c>
    </row>
    <row r="1674" spans="1:10" ht="15.75" thickBot="1" x14ac:dyDescent="0.3">
      <c r="A1674" s="14">
        <v>43413</v>
      </c>
      <c r="B1674" s="15">
        <v>43413</v>
      </c>
      <c r="C1674" s="16">
        <v>1274625</v>
      </c>
      <c r="D1674" s="10">
        <f>PrincipalesVariables[[#This Row],[Base monetaria]]/1000000</f>
        <v>1.2746249999999999</v>
      </c>
      <c r="E1674" s="10">
        <v>35.49</v>
      </c>
      <c r="F1674" s="11">
        <v>53063</v>
      </c>
      <c r="H1674" s="12">
        <f>(PrincipalesVariables[[#This Row],[Base monetaria]]-C1673)/C1673</f>
        <v>-3.1293528592402965E-4</v>
      </c>
      <c r="I1674" s="12">
        <f>(PrincipalesVariables[[#This Row],[Dólar  mayorista]]-E1673)/E1673</f>
        <v>-3.3698399326031296E-3</v>
      </c>
      <c r="J1674" s="12">
        <f>(PrincipalesVariables[[#This Row],[Reservas internacionales]]-F1673)/F1673</f>
        <v>-3.3620074377371249E-3</v>
      </c>
    </row>
    <row r="1675" spans="1:10" ht="15.75" thickBot="1" x14ac:dyDescent="0.3">
      <c r="A1675" s="14">
        <v>43416</v>
      </c>
      <c r="B1675" s="15">
        <v>43416</v>
      </c>
      <c r="C1675" s="16">
        <v>1247243</v>
      </c>
      <c r="D1675" s="10">
        <f>PrincipalesVariables[[#This Row],[Base monetaria]]/1000000</f>
        <v>1.2472430000000001</v>
      </c>
      <c r="E1675" s="10">
        <v>35.51</v>
      </c>
      <c r="F1675" s="11">
        <v>52988</v>
      </c>
      <c r="H1675" s="12">
        <f>(PrincipalesVariables[[#This Row],[Base monetaria]]-C1674)/C1674</f>
        <v>-2.1482396783367656E-2</v>
      </c>
      <c r="I1675" s="12">
        <f>(PrincipalesVariables[[#This Row],[Dólar  mayorista]]-E1674)/E1674</f>
        <v>5.6353902507737448E-4</v>
      </c>
      <c r="J1675" s="12">
        <f>(PrincipalesVariables[[#This Row],[Reservas internacionales]]-F1674)/F1674</f>
        <v>-1.4134142434464694E-3</v>
      </c>
    </row>
    <row r="1676" spans="1:10" ht="15.75" thickBot="1" x14ac:dyDescent="0.3">
      <c r="A1676" s="14">
        <v>43417</v>
      </c>
      <c r="B1676" s="15">
        <v>43417</v>
      </c>
      <c r="C1676" s="16">
        <v>1188936</v>
      </c>
      <c r="D1676" s="10">
        <f>PrincipalesVariables[[#This Row],[Base monetaria]]/1000000</f>
        <v>1.188936</v>
      </c>
      <c r="E1676" s="10">
        <v>35.89</v>
      </c>
      <c r="F1676" s="11">
        <v>52926</v>
      </c>
      <c r="H1676" s="12">
        <f>(PrincipalesVariables[[#This Row],[Base monetaria]]-C1675)/C1675</f>
        <v>-4.6748708952465558E-2</v>
      </c>
      <c r="I1676" s="12">
        <f>(PrincipalesVariables[[#This Row],[Dólar  mayorista]]-E1675)/E1675</f>
        <v>1.070121092649965E-2</v>
      </c>
      <c r="J1676" s="12">
        <f>(PrincipalesVariables[[#This Row],[Reservas internacionales]]-F1675)/F1675</f>
        <v>-1.1700762436778137E-3</v>
      </c>
    </row>
    <row r="1677" spans="1:10" ht="15.75" thickBot="1" x14ac:dyDescent="0.3">
      <c r="A1677" s="14">
        <v>43418</v>
      </c>
      <c r="B1677" s="15">
        <v>43418</v>
      </c>
      <c r="C1677" s="16">
        <v>1181274</v>
      </c>
      <c r="D1677" s="10">
        <f>PrincipalesVariables[[#This Row],[Base monetaria]]/1000000</f>
        <v>1.1812739999999999</v>
      </c>
      <c r="E1677" s="10">
        <v>36.119999999999997</v>
      </c>
      <c r="F1677" s="11">
        <v>52832</v>
      </c>
      <c r="H1677" s="12">
        <f>(PrincipalesVariables[[#This Row],[Base monetaria]]-C1676)/C1676</f>
        <v>-6.4444175296231249E-3</v>
      </c>
      <c r="I1677" s="12">
        <f>(PrincipalesVariables[[#This Row],[Dólar  mayorista]]-E1676)/E1676</f>
        <v>6.4084703259960117E-3</v>
      </c>
      <c r="J1677" s="12">
        <f>(PrincipalesVariables[[#This Row],[Reservas internacionales]]-F1676)/F1676</f>
        <v>-1.7760646941011979E-3</v>
      </c>
    </row>
    <row r="1678" spans="1:10" ht="15.75" thickBot="1" x14ac:dyDescent="0.3">
      <c r="A1678" s="14">
        <v>43419</v>
      </c>
      <c r="B1678" s="15">
        <v>43419</v>
      </c>
      <c r="C1678" s="16">
        <v>1175656</v>
      </c>
      <c r="D1678" s="10">
        <f>PrincipalesVariables[[#This Row],[Base monetaria]]/1000000</f>
        <v>1.175656</v>
      </c>
      <c r="E1678" s="10">
        <v>36.07</v>
      </c>
      <c r="F1678" s="11">
        <v>52698</v>
      </c>
      <c r="H1678" s="12">
        <f>(PrincipalesVariables[[#This Row],[Base monetaria]]-C1677)/C1677</f>
        <v>-4.7558822085307893E-3</v>
      </c>
      <c r="I1678" s="12">
        <f>(PrincipalesVariables[[#This Row],[Dólar  mayorista]]-E1677)/E1677</f>
        <v>-1.384274640088515E-3</v>
      </c>
      <c r="J1678" s="12">
        <f>(PrincipalesVariables[[#This Row],[Reservas internacionales]]-F1677)/F1677</f>
        <v>-2.5363416111447608E-3</v>
      </c>
    </row>
    <row r="1679" spans="1:10" ht="15.75" thickBot="1" x14ac:dyDescent="0.3">
      <c r="A1679" s="14">
        <v>43420</v>
      </c>
      <c r="B1679" s="15">
        <v>43420</v>
      </c>
      <c r="C1679" s="16">
        <v>1185904</v>
      </c>
      <c r="D1679" s="10">
        <f>PrincipalesVariables[[#This Row],[Base monetaria]]/1000000</f>
        <v>1.1859040000000001</v>
      </c>
      <c r="E1679" s="10">
        <v>35.979999999999997</v>
      </c>
      <c r="F1679" s="11">
        <v>52198</v>
      </c>
      <c r="H1679" s="12">
        <f>(PrincipalesVariables[[#This Row],[Base monetaria]]-C1678)/C1678</f>
        <v>8.7168355369257669E-3</v>
      </c>
      <c r="I1679" s="12">
        <f>(PrincipalesVariables[[#This Row],[Dólar  mayorista]]-E1678)/E1678</f>
        <v>-2.4951483227059444E-3</v>
      </c>
      <c r="J1679" s="12">
        <f>(PrincipalesVariables[[#This Row],[Reservas internacionales]]-F1678)/F1678</f>
        <v>-9.4880261110478568E-3</v>
      </c>
    </row>
    <row r="1680" spans="1:10" ht="15.75" thickBot="1" x14ac:dyDescent="0.3">
      <c r="A1680" s="14">
        <v>43424</v>
      </c>
      <c r="B1680" s="15">
        <v>43424</v>
      </c>
      <c r="C1680" s="16">
        <v>1204331</v>
      </c>
      <c r="D1680" s="10">
        <f>PrincipalesVariables[[#This Row],[Base monetaria]]/1000000</f>
        <v>1.204331</v>
      </c>
      <c r="E1680" s="10">
        <v>36.26</v>
      </c>
      <c r="F1680" s="11">
        <v>52055</v>
      </c>
      <c r="H1680" s="12">
        <f>(PrincipalesVariables[[#This Row],[Base monetaria]]-C1679)/C1679</f>
        <v>1.5538357236336162E-2</v>
      </c>
      <c r="I1680" s="12">
        <f>(PrincipalesVariables[[#This Row],[Dólar  mayorista]]-E1679)/E1679</f>
        <v>7.7821011673152073E-3</v>
      </c>
      <c r="J1680" s="12">
        <f>(PrincipalesVariables[[#This Row],[Reservas internacionales]]-F1679)/F1679</f>
        <v>-2.7395685658454347E-3</v>
      </c>
    </row>
    <row r="1681" spans="1:10" ht="15.75" thickBot="1" x14ac:dyDescent="0.3">
      <c r="A1681" s="14">
        <v>43425</v>
      </c>
      <c r="B1681" s="15">
        <v>43425</v>
      </c>
      <c r="C1681" s="16">
        <v>1296461</v>
      </c>
      <c r="D1681" s="10">
        <f>PrincipalesVariables[[#This Row],[Base monetaria]]/1000000</f>
        <v>1.2964610000000001</v>
      </c>
      <c r="E1681" s="10">
        <v>36.270000000000003</v>
      </c>
      <c r="F1681" s="11">
        <v>51826</v>
      </c>
      <c r="H1681" s="12">
        <f>(PrincipalesVariables[[#This Row],[Base monetaria]]-C1680)/C1680</f>
        <v>7.6498902710301409E-2</v>
      </c>
      <c r="I1681" s="12">
        <f>(PrincipalesVariables[[#This Row],[Dólar  mayorista]]-E1680)/E1680</f>
        <v>2.7578599007184549E-4</v>
      </c>
      <c r="J1681" s="12">
        <f>(PrincipalesVariables[[#This Row],[Reservas internacionales]]-F1680)/F1680</f>
        <v>-4.3991931610796271E-3</v>
      </c>
    </row>
    <row r="1682" spans="1:10" ht="15.75" thickBot="1" x14ac:dyDescent="0.3">
      <c r="A1682" s="14">
        <v>43426</v>
      </c>
      <c r="B1682" s="15">
        <v>43426</v>
      </c>
      <c r="C1682" s="16">
        <v>1315452</v>
      </c>
      <c r="D1682" s="10">
        <f>PrincipalesVariables[[#This Row],[Base monetaria]]/1000000</f>
        <v>1.3154520000000001</v>
      </c>
      <c r="E1682" s="10">
        <v>36.43</v>
      </c>
      <c r="F1682" s="11">
        <v>51830</v>
      </c>
      <c r="H1682" s="12">
        <f>(PrincipalesVariables[[#This Row],[Base monetaria]]-C1681)/C1681</f>
        <v>1.464833882392143E-2</v>
      </c>
      <c r="I1682" s="12">
        <f>(PrincipalesVariables[[#This Row],[Dólar  mayorista]]-E1681)/E1681</f>
        <v>4.4113592500688329E-3</v>
      </c>
      <c r="J1682" s="12">
        <f>(PrincipalesVariables[[#This Row],[Reservas internacionales]]-F1681)/F1681</f>
        <v>7.7181337552579792E-5</v>
      </c>
    </row>
    <row r="1683" spans="1:10" ht="15.75" thickBot="1" x14ac:dyDescent="0.3">
      <c r="A1683" s="14">
        <v>43427</v>
      </c>
      <c r="B1683" s="15">
        <v>43427</v>
      </c>
      <c r="C1683" s="16">
        <v>1384218</v>
      </c>
      <c r="D1683" s="10">
        <f>PrincipalesVariables[[#This Row],[Base monetaria]]/1000000</f>
        <v>1.3842179999999999</v>
      </c>
      <c r="E1683" s="10">
        <v>36.89</v>
      </c>
      <c r="F1683" s="11">
        <v>51736</v>
      </c>
      <c r="H1683" s="12">
        <f>(PrincipalesVariables[[#This Row],[Base monetaria]]-C1682)/C1682</f>
        <v>5.2275567637587686E-2</v>
      </c>
      <c r="I1683" s="12">
        <f>(PrincipalesVariables[[#This Row],[Dólar  mayorista]]-E1682)/E1682</f>
        <v>1.2626955805654703E-2</v>
      </c>
      <c r="J1683" s="12">
        <f>(PrincipalesVariables[[#This Row],[Reservas internacionales]]-F1682)/F1682</f>
        <v>-1.8136214547559329E-3</v>
      </c>
    </row>
    <row r="1684" spans="1:10" ht="15.75" thickBot="1" x14ac:dyDescent="0.3">
      <c r="A1684" s="14">
        <v>43430</v>
      </c>
      <c r="B1684" s="15">
        <v>43430</v>
      </c>
      <c r="C1684" s="16">
        <v>1383516</v>
      </c>
      <c r="D1684" s="10">
        <f>PrincipalesVariables[[#This Row],[Base monetaria]]/1000000</f>
        <v>1.383516</v>
      </c>
      <c r="E1684" s="10">
        <v>38.159999999999997</v>
      </c>
      <c r="F1684" s="11">
        <v>51585</v>
      </c>
      <c r="H1684" s="12">
        <f>(PrincipalesVariables[[#This Row],[Base monetaria]]-C1683)/C1683</f>
        <v>-5.0714555077307187E-4</v>
      </c>
      <c r="I1684" s="12">
        <f>(PrincipalesVariables[[#This Row],[Dólar  mayorista]]-E1683)/E1683</f>
        <v>3.4426673895364489E-2</v>
      </c>
      <c r="J1684" s="12">
        <f>(PrincipalesVariables[[#This Row],[Reservas internacionales]]-F1683)/F1683</f>
        <v>-2.918663986392454E-3</v>
      </c>
    </row>
    <row r="1685" spans="1:10" ht="15.75" thickBot="1" x14ac:dyDescent="0.3">
      <c r="A1685" s="14">
        <v>43431</v>
      </c>
      <c r="B1685" s="15">
        <v>43431</v>
      </c>
      <c r="C1685" s="16">
        <v>1340861</v>
      </c>
      <c r="D1685" s="10">
        <f>PrincipalesVariables[[#This Row],[Base monetaria]]/1000000</f>
        <v>1.3408610000000001</v>
      </c>
      <c r="E1685" s="10">
        <v>38.880000000000003</v>
      </c>
      <c r="F1685" s="11">
        <v>51443</v>
      </c>
      <c r="H1685" s="12">
        <f>(PrincipalesVariables[[#This Row],[Base monetaria]]-C1684)/C1684</f>
        <v>-3.0830868598556143E-2</v>
      </c>
      <c r="I1685" s="12">
        <f>(PrincipalesVariables[[#This Row],[Dólar  mayorista]]-E1684)/E1684</f>
        <v>1.8867924528302046E-2</v>
      </c>
      <c r="J1685" s="12">
        <f>(PrincipalesVariables[[#This Row],[Reservas internacionales]]-F1684)/F1684</f>
        <v>-2.7527381990888823E-3</v>
      </c>
    </row>
    <row r="1686" spans="1:10" ht="15.75" thickBot="1" x14ac:dyDescent="0.3">
      <c r="A1686" s="14">
        <v>43432</v>
      </c>
      <c r="B1686" s="15">
        <v>43432</v>
      </c>
      <c r="C1686" s="16">
        <v>1317432</v>
      </c>
      <c r="D1686" s="10">
        <f>PrincipalesVariables[[#This Row],[Base monetaria]]/1000000</f>
        <v>1.3174319999999999</v>
      </c>
      <c r="E1686" s="10">
        <v>38.53</v>
      </c>
      <c r="F1686" s="11">
        <v>51450</v>
      </c>
      <c r="H1686" s="12">
        <f>(PrincipalesVariables[[#This Row],[Base monetaria]]-C1685)/C1685</f>
        <v>-1.7473101238681711E-2</v>
      </c>
      <c r="I1686" s="12">
        <f>(PrincipalesVariables[[#This Row],[Dólar  mayorista]]-E1685)/E1685</f>
        <v>-9.0020576131687596E-3</v>
      </c>
      <c r="J1686" s="12">
        <f>(PrincipalesVariables[[#This Row],[Reservas internacionales]]-F1685)/F1685</f>
        <v>1.3607293509320997E-4</v>
      </c>
    </row>
    <row r="1687" spans="1:10" ht="15.75" thickBot="1" x14ac:dyDescent="0.3">
      <c r="A1687" s="14">
        <v>43433</v>
      </c>
      <c r="B1687" s="15">
        <v>43433</v>
      </c>
      <c r="C1687" s="16">
        <v>1238891</v>
      </c>
      <c r="D1687" s="10">
        <f>PrincipalesVariables[[#This Row],[Base monetaria]]/1000000</f>
        <v>1.238891</v>
      </c>
      <c r="E1687" s="10">
        <v>38.020000000000003</v>
      </c>
      <c r="F1687" s="11">
        <v>51193</v>
      </c>
      <c r="H1687" s="12">
        <f>(PrincipalesVariables[[#This Row],[Base monetaria]]-C1686)/C1686</f>
        <v>-5.9616739232081807E-2</v>
      </c>
      <c r="I1687" s="12">
        <f>(PrincipalesVariables[[#This Row],[Dólar  mayorista]]-E1686)/E1686</f>
        <v>-1.3236439138333713E-2</v>
      </c>
      <c r="J1687" s="12">
        <f>(PrincipalesVariables[[#This Row],[Reservas internacionales]]-F1686)/F1686</f>
        <v>-4.9951409135082607E-3</v>
      </c>
    </row>
    <row r="1688" spans="1:10" ht="15.75" thickBot="1" x14ac:dyDescent="0.3">
      <c r="A1688" s="14">
        <v>43437</v>
      </c>
      <c r="B1688" s="15">
        <v>43437</v>
      </c>
      <c r="C1688" s="16">
        <v>1246097</v>
      </c>
      <c r="D1688" s="10">
        <f>PrincipalesVariables[[#This Row],[Base monetaria]]/1000000</f>
        <v>1.246097</v>
      </c>
      <c r="E1688" s="10">
        <v>36.89</v>
      </c>
      <c r="F1688" s="11">
        <v>51296</v>
      </c>
      <c r="H1688" s="12">
        <f>(PrincipalesVariables[[#This Row],[Base monetaria]]-C1687)/C1687</f>
        <v>5.8164923306408718E-3</v>
      </c>
      <c r="I1688" s="12">
        <f>(PrincipalesVariables[[#This Row],[Dólar  mayorista]]-E1687)/E1687</f>
        <v>-2.9721199368753351E-2</v>
      </c>
      <c r="J1688" s="12">
        <f>(PrincipalesVariables[[#This Row],[Reservas internacionales]]-F1687)/F1687</f>
        <v>2.0119938272810736E-3</v>
      </c>
    </row>
    <row r="1689" spans="1:10" ht="15.75" thickBot="1" x14ac:dyDescent="0.3">
      <c r="A1689" s="14">
        <v>43438</v>
      </c>
      <c r="B1689" s="15">
        <v>43438</v>
      </c>
      <c r="C1689" s="16">
        <v>1219788</v>
      </c>
      <c r="D1689" s="10">
        <f>PrincipalesVariables[[#This Row],[Base monetaria]]/1000000</f>
        <v>1.2197880000000001</v>
      </c>
      <c r="E1689" s="10">
        <v>37.06</v>
      </c>
      <c r="F1689" s="11">
        <v>51122</v>
      </c>
      <c r="H1689" s="12">
        <f>(PrincipalesVariables[[#This Row],[Base monetaria]]-C1688)/C1688</f>
        <v>-2.1113123617182289E-2</v>
      </c>
      <c r="I1689" s="12">
        <f>(PrincipalesVariables[[#This Row],[Dólar  mayorista]]-E1688)/E1688</f>
        <v>4.608294930875622E-3</v>
      </c>
      <c r="J1689" s="12">
        <f>(PrincipalesVariables[[#This Row],[Reservas internacionales]]-F1688)/F1688</f>
        <v>-3.392077354959451E-3</v>
      </c>
    </row>
    <row r="1690" spans="1:10" ht="15.75" thickBot="1" x14ac:dyDescent="0.3">
      <c r="A1690" s="14">
        <v>43439</v>
      </c>
      <c r="B1690" s="15">
        <v>43439</v>
      </c>
      <c r="C1690" s="16">
        <v>1193726</v>
      </c>
      <c r="D1690" s="10">
        <f>PrincipalesVariables[[#This Row],[Base monetaria]]/1000000</f>
        <v>1.1937260000000001</v>
      </c>
      <c r="E1690" s="10">
        <v>37.94</v>
      </c>
      <c r="F1690" s="11">
        <v>50272</v>
      </c>
      <c r="H1690" s="12">
        <f>(PrincipalesVariables[[#This Row],[Base monetaria]]-C1689)/C1689</f>
        <v>-2.1366007863661555E-2</v>
      </c>
      <c r="I1690" s="12">
        <f>(PrincipalesVariables[[#This Row],[Dólar  mayorista]]-E1689)/E1689</f>
        <v>2.3745277927684712E-2</v>
      </c>
      <c r="J1690" s="12">
        <f>(PrincipalesVariables[[#This Row],[Reservas internacionales]]-F1689)/F1689</f>
        <v>-1.6626892531591095E-2</v>
      </c>
    </row>
    <row r="1691" spans="1:10" ht="15.75" thickBot="1" x14ac:dyDescent="0.3">
      <c r="A1691" s="14">
        <v>43440</v>
      </c>
      <c r="B1691" s="15">
        <v>43440</v>
      </c>
      <c r="C1691" s="16">
        <v>1205849</v>
      </c>
      <c r="D1691" s="10">
        <f>PrincipalesVariables[[#This Row],[Base monetaria]]/1000000</f>
        <v>1.2058489999999999</v>
      </c>
      <c r="E1691" s="10">
        <v>37.86</v>
      </c>
      <c r="F1691" s="11">
        <v>49995</v>
      </c>
      <c r="H1691" s="12">
        <f>(PrincipalesVariables[[#This Row],[Base monetaria]]-C1690)/C1690</f>
        <v>1.0155596845507261E-2</v>
      </c>
      <c r="I1691" s="12">
        <f>(PrincipalesVariables[[#This Row],[Dólar  mayorista]]-E1690)/E1690</f>
        <v>-2.1085925144965286E-3</v>
      </c>
      <c r="J1691" s="12">
        <f>(PrincipalesVariables[[#This Row],[Reservas internacionales]]-F1690)/F1690</f>
        <v>-5.5100254614894968E-3</v>
      </c>
    </row>
    <row r="1692" spans="1:10" ht="15.75" thickBot="1" x14ac:dyDescent="0.3">
      <c r="A1692" s="14">
        <v>43441</v>
      </c>
      <c r="B1692" s="15">
        <v>43441</v>
      </c>
      <c r="C1692" s="16">
        <v>1235981</v>
      </c>
      <c r="D1692" s="10">
        <f>PrincipalesVariables[[#This Row],[Base monetaria]]/1000000</f>
        <v>1.235981</v>
      </c>
      <c r="E1692" s="10">
        <v>37.36</v>
      </c>
      <c r="F1692" s="11">
        <v>50065</v>
      </c>
      <c r="H1692" s="12">
        <f>(PrincipalesVariables[[#This Row],[Base monetaria]]-C1691)/C1691</f>
        <v>2.498820333225802E-2</v>
      </c>
      <c r="I1692" s="12">
        <f>(PrincipalesVariables[[#This Row],[Dólar  mayorista]]-E1691)/E1691</f>
        <v>-1.3206550449022716E-2</v>
      </c>
      <c r="J1692" s="12">
        <f>(PrincipalesVariables[[#This Row],[Reservas internacionales]]-F1691)/F1691</f>
        <v>1.4001400140014001E-3</v>
      </c>
    </row>
    <row r="1693" spans="1:10" ht="15.75" thickBot="1" x14ac:dyDescent="0.3">
      <c r="A1693" s="14">
        <v>43444</v>
      </c>
      <c r="B1693" s="15">
        <v>43444</v>
      </c>
      <c r="C1693" s="16">
        <v>1278311</v>
      </c>
      <c r="D1693" s="10">
        <f>PrincipalesVariables[[#This Row],[Base monetaria]]/1000000</f>
        <v>1.278311</v>
      </c>
      <c r="E1693" s="10">
        <v>37.700000000000003</v>
      </c>
      <c r="F1693" s="11">
        <v>49846</v>
      </c>
      <c r="H1693" s="12">
        <f>(PrincipalesVariables[[#This Row],[Base monetaria]]-C1692)/C1692</f>
        <v>3.4248099283079592E-2</v>
      </c>
      <c r="I1693" s="12">
        <f>(PrincipalesVariables[[#This Row],[Dólar  mayorista]]-E1692)/E1692</f>
        <v>9.1006423982870292E-3</v>
      </c>
      <c r="J1693" s="12">
        <f>(PrincipalesVariables[[#This Row],[Reservas internacionales]]-F1692)/F1692</f>
        <v>-4.3743133925896339E-3</v>
      </c>
    </row>
    <row r="1694" spans="1:10" ht="15.75" thickBot="1" x14ac:dyDescent="0.3">
      <c r="A1694" s="14">
        <v>43445</v>
      </c>
      <c r="B1694" s="15">
        <v>43445</v>
      </c>
      <c r="C1694" s="16">
        <v>1303046</v>
      </c>
      <c r="D1694" s="10">
        <f>PrincipalesVariables[[#This Row],[Base monetaria]]/1000000</f>
        <v>1.3030459999999999</v>
      </c>
      <c r="E1694" s="10">
        <v>37.65</v>
      </c>
      <c r="F1694" s="11">
        <v>49788</v>
      </c>
      <c r="H1694" s="12">
        <f>(PrincipalesVariables[[#This Row],[Base monetaria]]-C1693)/C1693</f>
        <v>1.9349751351588149E-2</v>
      </c>
      <c r="I1694" s="12">
        <f>(PrincipalesVariables[[#This Row],[Dólar  mayorista]]-E1693)/E1693</f>
        <v>-1.326259946949715E-3</v>
      </c>
      <c r="J1694" s="12">
        <f>(PrincipalesVariables[[#This Row],[Reservas internacionales]]-F1693)/F1693</f>
        <v>-1.1635838382217229E-3</v>
      </c>
    </row>
    <row r="1695" spans="1:10" ht="15.75" thickBot="1" x14ac:dyDescent="0.3">
      <c r="A1695" s="14">
        <v>43446</v>
      </c>
      <c r="B1695" s="15">
        <v>43446</v>
      </c>
      <c r="C1695" s="16">
        <v>1325947</v>
      </c>
      <c r="D1695" s="10">
        <f>PrincipalesVariables[[#This Row],[Base monetaria]]/1000000</f>
        <v>1.325947</v>
      </c>
      <c r="E1695" s="10">
        <v>37.64</v>
      </c>
      <c r="F1695" s="11">
        <v>49885</v>
      </c>
      <c r="H1695" s="12">
        <f>(PrincipalesVariables[[#This Row],[Base monetaria]]-C1694)/C1694</f>
        <v>1.757497432937901E-2</v>
      </c>
      <c r="I1695" s="12">
        <f>(PrincipalesVariables[[#This Row],[Dólar  mayorista]]-E1694)/E1694</f>
        <v>-2.6560424966794188E-4</v>
      </c>
      <c r="J1695" s="12">
        <f>(PrincipalesVariables[[#This Row],[Reservas internacionales]]-F1694)/F1694</f>
        <v>1.9482606250502128E-3</v>
      </c>
    </row>
    <row r="1696" spans="1:10" ht="15.75" thickBot="1" x14ac:dyDescent="0.3">
      <c r="A1696" s="14">
        <v>43447</v>
      </c>
      <c r="B1696" s="15">
        <v>43447</v>
      </c>
      <c r="C1696" s="16">
        <v>1355114</v>
      </c>
      <c r="D1696" s="10">
        <f>PrincipalesVariables[[#This Row],[Base monetaria]]/1000000</f>
        <v>1.3551139999999999</v>
      </c>
      <c r="E1696" s="10">
        <v>37.799999999999997</v>
      </c>
      <c r="F1696" s="11">
        <v>49922</v>
      </c>
      <c r="H1696" s="12">
        <f>(PrincipalesVariables[[#This Row],[Base monetaria]]-C1695)/C1695</f>
        <v>2.1997108481711561E-2</v>
      </c>
      <c r="I1696" s="12">
        <f>(PrincipalesVariables[[#This Row],[Dólar  mayorista]]-E1695)/E1695</f>
        <v>4.2507970244419924E-3</v>
      </c>
      <c r="J1696" s="12">
        <f>(PrincipalesVariables[[#This Row],[Reservas internacionales]]-F1695)/F1695</f>
        <v>7.4170592362433592E-4</v>
      </c>
    </row>
    <row r="1697" spans="1:10" ht="15.75" thickBot="1" x14ac:dyDescent="0.3">
      <c r="A1697" s="14">
        <v>43448</v>
      </c>
      <c r="B1697" s="15">
        <v>43448</v>
      </c>
      <c r="C1697" s="16">
        <v>1391743</v>
      </c>
      <c r="D1697" s="10">
        <f>PrincipalesVariables[[#This Row],[Base monetaria]]/1000000</f>
        <v>1.391743</v>
      </c>
      <c r="E1697" s="10">
        <v>38.17</v>
      </c>
      <c r="F1697" s="11">
        <v>49887</v>
      </c>
      <c r="H1697" s="12">
        <f>(PrincipalesVariables[[#This Row],[Base monetaria]]-C1696)/C1696</f>
        <v>2.7030198197347234E-2</v>
      </c>
      <c r="I1697" s="12">
        <f>(PrincipalesVariables[[#This Row],[Dólar  mayorista]]-E1696)/E1696</f>
        <v>9.7883597883599086E-3</v>
      </c>
      <c r="J1697" s="12">
        <f>(PrincipalesVariables[[#This Row],[Reservas internacionales]]-F1696)/F1696</f>
        <v>-7.010937061816434E-4</v>
      </c>
    </row>
    <row r="1698" spans="1:10" ht="15.75" thickBot="1" x14ac:dyDescent="0.3">
      <c r="A1698" s="14">
        <v>43451</v>
      </c>
      <c r="B1698" s="15">
        <v>43451</v>
      </c>
      <c r="C1698" s="16">
        <v>1396063</v>
      </c>
      <c r="D1698" s="10">
        <f>PrincipalesVariables[[#This Row],[Base monetaria]]/1000000</f>
        <v>1.3960630000000001</v>
      </c>
      <c r="E1698" s="10">
        <v>38.32</v>
      </c>
      <c r="F1698" s="11">
        <v>58606</v>
      </c>
      <c r="H1698" s="12">
        <f>(PrincipalesVariables[[#This Row],[Base monetaria]]-C1697)/C1697</f>
        <v>3.1040213602655086E-3</v>
      </c>
      <c r="I1698" s="12">
        <f>(PrincipalesVariables[[#This Row],[Dólar  mayorista]]-E1697)/E1697</f>
        <v>3.9297877914592234E-3</v>
      </c>
      <c r="J1698" s="12">
        <f>(PrincipalesVariables[[#This Row],[Reservas internacionales]]-F1697)/F1697</f>
        <v>0.17477499148074649</v>
      </c>
    </row>
    <row r="1699" spans="1:10" ht="15.75" thickBot="1" x14ac:dyDescent="0.3">
      <c r="A1699" s="14">
        <v>43452</v>
      </c>
      <c r="B1699" s="15">
        <v>43452</v>
      </c>
      <c r="C1699" s="16">
        <v>1377228</v>
      </c>
      <c r="D1699" s="10">
        <f>PrincipalesVariables[[#This Row],[Base monetaria]]/1000000</f>
        <v>1.3772279999999999</v>
      </c>
      <c r="E1699" s="10">
        <v>38.21</v>
      </c>
      <c r="F1699" s="11">
        <v>58642</v>
      </c>
      <c r="H1699" s="12">
        <f>(PrincipalesVariables[[#This Row],[Base monetaria]]-C1698)/C1698</f>
        <v>-1.349151148622949E-2</v>
      </c>
      <c r="I1699" s="12">
        <f>(PrincipalesVariables[[#This Row],[Dólar  mayorista]]-E1698)/E1698</f>
        <v>-2.8705636743214884E-3</v>
      </c>
      <c r="J1699" s="12">
        <f>(PrincipalesVariables[[#This Row],[Reservas internacionales]]-F1698)/F1698</f>
        <v>6.1427157628911712E-4</v>
      </c>
    </row>
    <row r="1700" spans="1:10" ht="15.75" thickBot="1" x14ac:dyDescent="0.3">
      <c r="A1700" s="14">
        <v>43453</v>
      </c>
      <c r="B1700" s="15">
        <v>43453</v>
      </c>
      <c r="C1700" s="16">
        <v>1396190</v>
      </c>
      <c r="D1700" s="10">
        <f>PrincipalesVariables[[#This Row],[Base monetaria]]/1000000</f>
        <v>1.39619</v>
      </c>
      <c r="E1700" s="10">
        <v>38.299999999999997</v>
      </c>
      <c r="F1700" s="11">
        <v>58711</v>
      </c>
      <c r="H1700" s="12">
        <f>(PrincipalesVariables[[#This Row],[Base monetaria]]-C1699)/C1699</f>
        <v>1.3768235905746906E-2</v>
      </c>
      <c r="I1700" s="12">
        <f>(PrincipalesVariables[[#This Row],[Dólar  mayorista]]-E1699)/E1699</f>
        <v>2.3554043444123608E-3</v>
      </c>
      <c r="J1700" s="12">
        <f>(PrincipalesVariables[[#This Row],[Reservas internacionales]]-F1699)/F1699</f>
        <v>1.1766310835237544E-3</v>
      </c>
    </row>
    <row r="1701" spans="1:10" ht="15.75" thickBot="1" x14ac:dyDescent="0.3">
      <c r="A1701" s="14">
        <v>43454</v>
      </c>
      <c r="B1701" s="15">
        <v>43454</v>
      </c>
      <c r="C1701" s="16">
        <v>1387914</v>
      </c>
      <c r="D1701" s="10">
        <f>PrincipalesVariables[[#This Row],[Base monetaria]]/1000000</f>
        <v>1.3879140000000001</v>
      </c>
      <c r="E1701" s="10">
        <v>38.07</v>
      </c>
      <c r="F1701" s="11">
        <v>58580</v>
      </c>
      <c r="H1701" s="12">
        <f>(PrincipalesVariables[[#This Row],[Base monetaria]]-C1700)/C1700</f>
        <v>-5.9275600025784454E-3</v>
      </c>
      <c r="I1701" s="12">
        <f>(PrincipalesVariables[[#This Row],[Dólar  mayorista]]-E1700)/E1700</f>
        <v>-6.005221932114801E-3</v>
      </c>
      <c r="J1701" s="12">
        <f>(PrincipalesVariables[[#This Row],[Reservas internacionales]]-F1700)/F1700</f>
        <v>-2.2312684164807277E-3</v>
      </c>
    </row>
    <row r="1702" spans="1:10" ht="15.75" thickBot="1" x14ac:dyDescent="0.3">
      <c r="A1702" s="14">
        <v>43455</v>
      </c>
      <c r="B1702" s="15">
        <v>43455</v>
      </c>
      <c r="C1702" s="16">
        <v>1396183</v>
      </c>
      <c r="D1702" s="10">
        <f>PrincipalesVariables[[#This Row],[Base monetaria]]/1000000</f>
        <v>1.396183</v>
      </c>
      <c r="E1702" s="10">
        <v>38.08</v>
      </c>
      <c r="F1702" s="11">
        <v>66324</v>
      </c>
      <c r="H1702" s="12">
        <f>(PrincipalesVariables[[#This Row],[Base monetaria]]-C1701)/C1701</f>
        <v>5.9578619424546474E-3</v>
      </c>
      <c r="I1702" s="12">
        <f>(PrincipalesVariables[[#This Row],[Dólar  mayorista]]-E1701)/E1701</f>
        <v>2.6267402153921753E-4</v>
      </c>
      <c r="J1702" s="12">
        <f>(PrincipalesVariables[[#This Row],[Reservas internacionales]]-F1701)/F1701</f>
        <v>0.13219528849436668</v>
      </c>
    </row>
    <row r="1703" spans="1:10" ht="15.75" thickBot="1" x14ac:dyDescent="0.3">
      <c r="A1703" s="14">
        <v>43460</v>
      </c>
      <c r="B1703" s="15">
        <v>43460</v>
      </c>
      <c r="C1703" s="16">
        <v>1394688</v>
      </c>
      <c r="D1703" s="10">
        <f>PrincipalesVariables[[#This Row],[Base monetaria]]/1000000</f>
        <v>1.3946879999999999</v>
      </c>
      <c r="E1703" s="10">
        <v>38.51</v>
      </c>
      <c r="F1703" s="11">
        <v>66447</v>
      </c>
      <c r="H1703" s="12">
        <f>(PrincipalesVariables[[#This Row],[Base monetaria]]-C1702)/C1702</f>
        <v>-1.0707765386056126E-3</v>
      </c>
      <c r="I1703" s="12">
        <f>(PrincipalesVariables[[#This Row],[Dólar  mayorista]]-E1702)/E1702</f>
        <v>1.1292016806722682E-2</v>
      </c>
      <c r="J1703" s="12">
        <f>(PrincipalesVariables[[#This Row],[Reservas internacionales]]-F1702)/F1702</f>
        <v>1.8545322960014474E-3</v>
      </c>
    </row>
    <row r="1704" spans="1:10" ht="15.75" thickBot="1" x14ac:dyDescent="0.3">
      <c r="A1704" s="14">
        <v>43461</v>
      </c>
      <c r="B1704" s="15">
        <v>43461</v>
      </c>
      <c r="C1704" s="16">
        <v>1383076</v>
      </c>
      <c r="D1704" s="10">
        <f>PrincipalesVariables[[#This Row],[Base monetaria]]/1000000</f>
        <v>1.383076</v>
      </c>
      <c r="E1704" s="10">
        <v>38.57</v>
      </c>
      <c r="F1704" s="11">
        <v>66112</v>
      </c>
      <c r="H1704" s="12">
        <f>(PrincipalesVariables[[#This Row],[Base monetaria]]-C1703)/C1703</f>
        <v>-8.3258764684287813E-3</v>
      </c>
      <c r="I1704" s="12">
        <f>(PrincipalesVariables[[#This Row],[Dólar  mayorista]]-E1703)/E1703</f>
        <v>1.5580368735393995E-3</v>
      </c>
      <c r="J1704" s="12">
        <f>(PrincipalesVariables[[#This Row],[Reservas internacionales]]-F1703)/F1703</f>
        <v>-5.0416121119087392E-3</v>
      </c>
    </row>
    <row r="1705" spans="1:10" ht="15.75" thickBot="1" x14ac:dyDescent="0.3">
      <c r="A1705" s="14">
        <v>43462</v>
      </c>
      <c r="B1705" s="15">
        <v>43462</v>
      </c>
      <c r="C1705" s="16">
        <v>1408977</v>
      </c>
      <c r="D1705" s="10">
        <f>PrincipalesVariables[[#This Row],[Base monetaria]]/1000000</f>
        <v>1.4089769999999999</v>
      </c>
      <c r="E1705" s="10">
        <v>37.81</v>
      </c>
      <c r="F1705" s="11">
        <v>65786</v>
      </c>
      <c r="H1705" s="12">
        <f>(PrincipalesVariables[[#This Row],[Base monetaria]]-C1704)/C1704</f>
        <v>1.872709814934248E-2</v>
      </c>
      <c r="I1705" s="12">
        <f>(PrincipalesVariables[[#This Row],[Dólar  mayorista]]-E1704)/E1704</f>
        <v>-1.9704433497536894E-2</v>
      </c>
      <c r="J1705" s="12">
        <f>(PrincipalesVariables[[#This Row],[Reservas internacionales]]-F1704)/F1704</f>
        <v>-4.9310261374636982E-3</v>
      </c>
    </row>
    <row r="1706" spans="1:10" ht="15.75" thickBot="1" x14ac:dyDescent="0.3">
      <c r="A1706" s="14">
        <v>43467</v>
      </c>
      <c r="B1706" s="15">
        <v>43467</v>
      </c>
      <c r="C1706" s="16">
        <v>1385096</v>
      </c>
      <c r="D1706" s="10">
        <f>PrincipalesVariables[[#This Row],[Base monetaria]]/1000000</f>
        <v>1.3850960000000001</v>
      </c>
      <c r="E1706" s="10">
        <v>37.93</v>
      </c>
      <c r="F1706" s="11">
        <v>65825</v>
      </c>
      <c r="H1706" s="12">
        <f>(PrincipalesVariables[[#This Row],[Base monetaria]]-C1705)/C1705</f>
        <v>-1.6949176601179436E-2</v>
      </c>
      <c r="I1706" s="12">
        <f>(PrincipalesVariables[[#This Row],[Dólar  mayorista]]-E1705)/E1705</f>
        <v>3.1737635546151134E-3</v>
      </c>
      <c r="J1706" s="12">
        <f>(PrincipalesVariables[[#This Row],[Reservas internacionales]]-F1705)/F1705</f>
        <v>5.9283130149271886E-4</v>
      </c>
    </row>
    <row r="1707" spans="1:10" ht="15.75" thickBot="1" x14ac:dyDescent="0.3">
      <c r="A1707" s="14">
        <v>43468</v>
      </c>
      <c r="B1707" s="15">
        <v>43468</v>
      </c>
      <c r="C1707" s="16">
        <v>1354135</v>
      </c>
      <c r="D1707" s="10">
        <f>PrincipalesVariables[[#This Row],[Base monetaria]]/1000000</f>
        <v>1.3541350000000001</v>
      </c>
      <c r="E1707" s="10">
        <v>37.549999999999997</v>
      </c>
      <c r="F1707" s="11">
        <v>65817</v>
      </c>
      <c r="H1707" s="12">
        <f>(PrincipalesVariables[[#This Row],[Base monetaria]]-C1706)/C1706</f>
        <v>-2.235296326030831E-2</v>
      </c>
      <c r="I1707" s="12">
        <f>(PrincipalesVariables[[#This Row],[Dólar  mayorista]]-E1706)/E1706</f>
        <v>-1.0018455048774124E-2</v>
      </c>
      <c r="J1707" s="12">
        <f>(PrincipalesVariables[[#This Row],[Reservas internacionales]]-F1706)/F1706</f>
        <v>-1.2153437143942271E-4</v>
      </c>
    </row>
    <row r="1708" spans="1:10" ht="15.75" thickBot="1" x14ac:dyDescent="0.3">
      <c r="A1708" s="14">
        <v>43469</v>
      </c>
      <c r="B1708" s="15">
        <v>43469</v>
      </c>
      <c r="C1708" s="16">
        <v>1345571</v>
      </c>
      <c r="D1708" s="10">
        <f>PrincipalesVariables[[#This Row],[Base monetaria]]/1000000</f>
        <v>1.3455710000000001</v>
      </c>
      <c r="E1708" s="10">
        <v>37.39</v>
      </c>
      <c r="F1708" s="11">
        <v>65716</v>
      </c>
      <c r="H1708" s="12">
        <f>(PrincipalesVariables[[#This Row],[Base monetaria]]-C1707)/C1707</f>
        <v>-6.3243325074678666E-3</v>
      </c>
      <c r="I1708" s="12">
        <f>(PrincipalesVariables[[#This Row],[Dólar  mayorista]]-E1707)/E1707</f>
        <v>-4.2609853528627591E-3</v>
      </c>
      <c r="J1708" s="12">
        <f>(PrincipalesVariables[[#This Row],[Reservas internacionales]]-F1707)/F1707</f>
        <v>-1.5345579409575033E-3</v>
      </c>
    </row>
    <row r="1709" spans="1:10" ht="15.75" thickBot="1" x14ac:dyDescent="0.3">
      <c r="A1709" s="14">
        <v>43472</v>
      </c>
      <c r="B1709" s="15">
        <v>43472</v>
      </c>
      <c r="C1709" s="16">
        <v>1333701</v>
      </c>
      <c r="D1709" s="10">
        <f>PrincipalesVariables[[#This Row],[Base monetaria]]/1000000</f>
        <v>1.333701</v>
      </c>
      <c r="E1709" s="10">
        <v>37.36</v>
      </c>
      <c r="F1709" s="11">
        <v>65736</v>
      </c>
      <c r="H1709" s="12">
        <f>(PrincipalesVariables[[#This Row],[Base monetaria]]-C1708)/C1708</f>
        <v>-8.8215337577875856E-3</v>
      </c>
      <c r="I1709" s="12">
        <f>(PrincipalesVariables[[#This Row],[Dólar  mayorista]]-E1708)/E1708</f>
        <v>-8.0235357047341905E-4</v>
      </c>
      <c r="J1709" s="12">
        <f>(PrincipalesVariables[[#This Row],[Reservas internacionales]]-F1708)/F1708</f>
        <v>3.0433988678556212E-4</v>
      </c>
    </row>
    <row r="1710" spans="1:10" ht="15.75" thickBot="1" x14ac:dyDescent="0.3">
      <c r="A1710" s="14">
        <v>43473</v>
      </c>
      <c r="B1710" s="15">
        <v>43473</v>
      </c>
      <c r="C1710" s="16">
        <v>1342767</v>
      </c>
      <c r="D1710" s="10">
        <f>PrincipalesVariables[[#This Row],[Base monetaria]]/1000000</f>
        <v>1.342767</v>
      </c>
      <c r="E1710" s="10">
        <v>37.369999999999997</v>
      </c>
      <c r="F1710" s="11">
        <v>65818</v>
      </c>
      <c r="H1710" s="12">
        <f>(PrincipalesVariables[[#This Row],[Base monetaria]]-C1709)/C1709</f>
        <v>6.797625554753277E-3</v>
      </c>
      <c r="I1710" s="12">
        <f>(PrincipalesVariables[[#This Row],[Dólar  mayorista]]-E1709)/E1709</f>
        <v>2.6766595289073902E-4</v>
      </c>
      <c r="J1710" s="12">
        <f>(PrincipalesVariables[[#This Row],[Reservas internacionales]]-F1709)/F1709</f>
        <v>1.2474138980163078E-3</v>
      </c>
    </row>
    <row r="1711" spans="1:10" ht="15.75" thickBot="1" x14ac:dyDescent="0.3">
      <c r="A1711" s="14">
        <v>43474</v>
      </c>
      <c r="B1711" s="15">
        <v>43474</v>
      </c>
      <c r="C1711" s="16">
        <v>1319163</v>
      </c>
      <c r="D1711" s="10">
        <f>PrincipalesVariables[[#This Row],[Base monetaria]]/1000000</f>
        <v>1.3191630000000001</v>
      </c>
      <c r="E1711" s="10">
        <v>37.47</v>
      </c>
      <c r="F1711" s="11">
        <v>65946</v>
      </c>
      <c r="H1711" s="12">
        <f>(PrincipalesVariables[[#This Row],[Base monetaria]]-C1710)/C1710</f>
        <v>-1.7578626820587636E-2</v>
      </c>
      <c r="I1711" s="12">
        <f>(PrincipalesVariables[[#This Row],[Dólar  mayorista]]-E1710)/E1710</f>
        <v>2.6759432700027143E-3</v>
      </c>
      <c r="J1711" s="12">
        <f>(PrincipalesVariables[[#This Row],[Reservas internacionales]]-F1710)/F1710</f>
        <v>1.9447567534716947E-3</v>
      </c>
    </row>
    <row r="1712" spans="1:10" ht="15.75" thickBot="1" x14ac:dyDescent="0.3">
      <c r="A1712" s="14">
        <v>43475</v>
      </c>
      <c r="B1712" s="15">
        <v>43475</v>
      </c>
      <c r="C1712" s="16">
        <v>1321496</v>
      </c>
      <c r="D1712" s="10">
        <f>PrincipalesVariables[[#This Row],[Base monetaria]]/1000000</f>
        <v>1.321496</v>
      </c>
      <c r="E1712" s="10">
        <v>37.31</v>
      </c>
      <c r="F1712" s="11">
        <v>66042</v>
      </c>
      <c r="H1712" s="12">
        <f>(PrincipalesVariables[[#This Row],[Base monetaria]]-C1711)/C1711</f>
        <v>1.76854566115029E-3</v>
      </c>
      <c r="I1712" s="12">
        <f>(PrincipalesVariables[[#This Row],[Dólar  mayorista]]-E1711)/E1711</f>
        <v>-4.270082732852858E-3</v>
      </c>
      <c r="J1712" s="12">
        <f>(PrincipalesVariables[[#This Row],[Reservas internacionales]]-F1711)/F1711</f>
        <v>1.4557365116913839E-3</v>
      </c>
    </row>
    <row r="1713" spans="1:10" ht="15.75" thickBot="1" x14ac:dyDescent="0.3">
      <c r="A1713" s="14">
        <v>43476</v>
      </c>
      <c r="B1713" s="15">
        <v>43476</v>
      </c>
      <c r="C1713" s="16">
        <v>1312443</v>
      </c>
      <c r="D1713" s="10">
        <f>PrincipalesVariables[[#This Row],[Base monetaria]]/1000000</f>
        <v>1.312443</v>
      </c>
      <c r="E1713" s="10">
        <v>37.1</v>
      </c>
      <c r="F1713" s="11">
        <v>66036</v>
      </c>
      <c r="H1713" s="12">
        <f>(PrincipalesVariables[[#This Row],[Base monetaria]]-C1712)/C1712</f>
        <v>-6.8505693547313042E-3</v>
      </c>
      <c r="I1713" s="12">
        <f>(PrincipalesVariables[[#This Row],[Dólar  mayorista]]-E1712)/E1712</f>
        <v>-5.6285178236397974E-3</v>
      </c>
      <c r="J1713" s="12">
        <f>(PrincipalesVariables[[#This Row],[Reservas internacionales]]-F1712)/F1712</f>
        <v>-9.0851276460434272E-5</v>
      </c>
    </row>
    <row r="1714" spans="1:10" ht="15.75" thickBot="1" x14ac:dyDescent="0.3">
      <c r="A1714" s="14">
        <v>43479</v>
      </c>
      <c r="B1714" s="15">
        <v>43479</v>
      </c>
      <c r="C1714" s="16">
        <v>1337620</v>
      </c>
      <c r="D1714" s="10">
        <f>PrincipalesVariables[[#This Row],[Base monetaria]]/1000000</f>
        <v>1.33762</v>
      </c>
      <c r="E1714" s="10">
        <v>37.1</v>
      </c>
      <c r="F1714" s="11">
        <v>65961</v>
      </c>
      <c r="H1714" s="12">
        <f>(PrincipalesVariables[[#This Row],[Base monetaria]]-C1713)/C1713</f>
        <v>1.9183309294194109E-2</v>
      </c>
      <c r="I1714" s="12">
        <f>(PrincipalesVariables[[#This Row],[Dólar  mayorista]]-E1713)/E1713</f>
        <v>0</v>
      </c>
      <c r="J1714" s="12">
        <f>(PrincipalesVariables[[#This Row],[Reservas internacionales]]-F1713)/F1713</f>
        <v>-1.1357441395602398E-3</v>
      </c>
    </row>
    <row r="1715" spans="1:10" ht="15.75" thickBot="1" x14ac:dyDescent="0.3">
      <c r="A1715" s="14">
        <v>43480</v>
      </c>
      <c r="B1715" s="15">
        <v>43480</v>
      </c>
      <c r="C1715" s="16">
        <v>1340936</v>
      </c>
      <c r="D1715" s="10">
        <f>PrincipalesVariables[[#This Row],[Base monetaria]]/1000000</f>
        <v>1.3409359999999999</v>
      </c>
      <c r="E1715" s="10">
        <v>37.14</v>
      </c>
      <c r="F1715" s="11">
        <v>66020</v>
      </c>
      <c r="H1715" s="12">
        <f>(PrincipalesVariables[[#This Row],[Base monetaria]]-C1714)/C1714</f>
        <v>2.4790299188110227E-3</v>
      </c>
      <c r="I1715" s="12">
        <f>(PrincipalesVariables[[#This Row],[Dólar  mayorista]]-E1714)/E1714</f>
        <v>1.0781671159029419E-3</v>
      </c>
      <c r="J1715" s="12">
        <f>(PrincipalesVariables[[#This Row],[Reservas internacionales]]-F1714)/F1714</f>
        <v>8.9446794317854495E-4</v>
      </c>
    </row>
    <row r="1716" spans="1:10" ht="15.75" thickBot="1" x14ac:dyDescent="0.3">
      <c r="A1716" s="14">
        <v>43481</v>
      </c>
      <c r="B1716" s="15">
        <v>43481</v>
      </c>
      <c r="C1716" s="16">
        <v>1334741</v>
      </c>
      <c r="D1716" s="10">
        <f>PrincipalesVariables[[#This Row],[Base monetaria]]/1000000</f>
        <v>1.334741</v>
      </c>
      <c r="E1716" s="10">
        <v>37.36</v>
      </c>
      <c r="F1716" s="11">
        <v>66165</v>
      </c>
      <c r="H1716" s="12">
        <f>(PrincipalesVariables[[#This Row],[Base monetaria]]-C1715)/C1715</f>
        <v>-4.6199072886401737E-3</v>
      </c>
      <c r="I1716" s="12">
        <f>(PrincipalesVariables[[#This Row],[Dólar  mayorista]]-E1715)/E1715</f>
        <v>5.9235325794291561E-3</v>
      </c>
      <c r="J1716" s="12">
        <f>(PrincipalesVariables[[#This Row],[Reservas internacionales]]-F1715)/F1715</f>
        <v>2.1963041502574979E-3</v>
      </c>
    </row>
    <row r="1717" spans="1:10" ht="15.75" thickBot="1" x14ac:dyDescent="0.3">
      <c r="A1717" s="14">
        <v>43482</v>
      </c>
      <c r="B1717" s="15">
        <v>43482</v>
      </c>
      <c r="C1717" s="16">
        <v>1340895</v>
      </c>
      <c r="D1717" s="10">
        <f>PrincipalesVariables[[#This Row],[Base monetaria]]/1000000</f>
        <v>1.3408949999999999</v>
      </c>
      <c r="E1717" s="10">
        <v>37.74</v>
      </c>
      <c r="F1717" s="11">
        <v>66257</v>
      </c>
      <c r="H1717" s="12">
        <f>(PrincipalesVariables[[#This Row],[Base monetaria]]-C1716)/C1716</f>
        <v>4.6106323249229626E-3</v>
      </c>
      <c r="I1717" s="12">
        <f>(PrincipalesVariables[[#This Row],[Dólar  mayorista]]-E1716)/E1716</f>
        <v>1.0171306209850175E-2</v>
      </c>
      <c r="J1717" s="12">
        <f>(PrincipalesVariables[[#This Row],[Reservas internacionales]]-F1716)/F1716</f>
        <v>1.3904632358497696E-3</v>
      </c>
    </row>
    <row r="1718" spans="1:10" ht="15.75" thickBot="1" x14ac:dyDescent="0.3">
      <c r="A1718" s="14">
        <v>43483</v>
      </c>
      <c r="B1718" s="15">
        <v>43483</v>
      </c>
      <c r="C1718" s="16">
        <v>1314390</v>
      </c>
      <c r="D1718" s="10">
        <f>PrincipalesVariables[[#This Row],[Base monetaria]]/1000000</f>
        <v>1.3143899999999999</v>
      </c>
      <c r="E1718" s="10">
        <v>37.619999999999997</v>
      </c>
      <c r="F1718" s="11">
        <v>66429</v>
      </c>
      <c r="H1718" s="12">
        <f>(PrincipalesVariables[[#This Row],[Base monetaria]]-C1717)/C1717</f>
        <v>-1.976664839528822E-2</v>
      </c>
      <c r="I1718" s="12">
        <f>(PrincipalesVariables[[#This Row],[Dólar  mayorista]]-E1717)/E1717</f>
        <v>-3.1796502384738882E-3</v>
      </c>
      <c r="J1718" s="12">
        <f>(PrincipalesVariables[[#This Row],[Reservas internacionales]]-F1717)/F1717</f>
        <v>2.5959521258131215E-3</v>
      </c>
    </row>
    <row r="1719" spans="1:10" ht="15.75" thickBot="1" x14ac:dyDescent="0.3">
      <c r="A1719" s="14">
        <v>43486</v>
      </c>
      <c r="B1719" s="15">
        <v>43486</v>
      </c>
      <c r="C1719" s="16">
        <v>1324726</v>
      </c>
      <c r="D1719" s="10">
        <f>PrincipalesVariables[[#This Row],[Base monetaria]]/1000000</f>
        <v>1.3247260000000001</v>
      </c>
      <c r="E1719" s="10">
        <v>37.71</v>
      </c>
      <c r="F1719" s="11">
        <v>66418</v>
      </c>
      <c r="H1719" s="12">
        <f>(PrincipalesVariables[[#This Row],[Base monetaria]]-C1718)/C1718</f>
        <v>7.8637238566939792E-3</v>
      </c>
      <c r="I1719" s="12">
        <f>(PrincipalesVariables[[#This Row],[Dólar  mayorista]]-E1718)/E1718</f>
        <v>2.3923444976077465E-3</v>
      </c>
      <c r="J1719" s="12">
        <f>(PrincipalesVariables[[#This Row],[Reservas internacionales]]-F1718)/F1718</f>
        <v>-1.6559032952475575E-4</v>
      </c>
    </row>
    <row r="1720" spans="1:10" ht="15.75" thickBot="1" x14ac:dyDescent="0.3">
      <c r="A1720" s="14">
        <v>43487</v>
      </c>
      <c r="B1720" s="15">
        <v>43487</v>
      </c>
      <c r="C1720" s="16">
        <v>1342409</v>
      </c>
      <c r="D1720" s="10">
        <f>PrincipalesVariables[[#This Row],[Base monetaria]]/1000000</f>
        <v>1.342409</v>
      </c>
      <c r="E1720" s="10">
        <v>37.590000000000003</v>
      </c>
      <c r="F1720" s="11">
        <v>66490</v>
      </c>
      <c r="H1720" s="12">
        <f>(PrincipalesVariables[[#This Row],[Base monetaria]]-C1719)/C1719</f>
        <v>1.3348420730022662E-2</v>
      </c>
      <c r="I1720" s="12">
        <f>(PrincipalesVariables[[#This Row],[Dólar  mayorista]]-E1719)/E1719</f>
        <v>-3.1821797931582455E-3</v>
      </c>
      <c r="J1720" s="12">
        <f>(PrincipalesVariables[[#This Row],[Reservas internacionales]]-F1719)/F1719</f>
        <v>1.0840434821885634E-3</v>
      </c>
    </row>
    <row r="1721" spans="1:10" ht="15.75" thickBot="1" x14ac:dyDescent="0.3">
      <c r="A1721" s="14">
        <v>43488</v>
      </c>
      <c r="B1721" s="15">
        <v>43488</v>
      </c>
      <c r="C1721" s="16">
        <v>1354000</v>
      </c>
      <c r="D1721" s="10">
        <f>PrincipalesVariables[[#This Row],[Base monetaria]]/1000000</f>
        <v>1.3540000000000001</v>
      </c>
      <c r="E1721" s="10">
        <v>37.56</v>
      </c>
      <c r="F1721" s="11">
        <v>66621</v>
      </c>
      <c r="H1721" s="12">
        <f>(PrincipalesVariables[[#This Row],[Base monetaria]]-C1720)/C1720</f>
        <v>8.6344772718299715E-3</v>
      </c>
      <c r="I1721" s="12">
        <f>(PrincipalesVariables[[#This Row],[Dólar  mayorista]]-E1720)/E1720</f>
        <v>-7.9808459696730871E-4</v>
      </c>
      <c r="J1721" s="12">
        <f>(PrincipalesVariables[[#This Row],[Reservas internacionales]]-F1720)/F1720</f>
        <v>1.9702210858775757E-3</v>
      </c>
    </row>
    <row r="1722" spans="1:10" ht="15.75" thickBot="1" x14ac:dyDescent="0.3">
      <c r="A1722" s="14">
        <v>43489</v>
      </c>
      <c r="B1722" s="15">
        <v>43489</v>
      </c>
      <c r="C1722" s="16">
        <v>1363169</v>
      </c>
      <c r="D1722" s="10">
        <f>PrincipalesVariables[[#This Row],[Base monetaria]]/1000000</f>
        <v>1.3631690000000001</v>
      </c>
      <c r="E1722" s="10">
        <v>37.56</v>
      </c>
      <c r="F1722" s="11">
        <v>66519</v>
      </c>
      <c r="H1722" s="12">
        <f>(PrincipalesVariables[[#This Row],[Base monetaria]]-C1721)/C1721</f>
        <v>6.7717872968980795E-3</v>
      </c>
      <c r="I1722" s="12">
        <f>(PrincipalesVariables[[#This Row],[Dólar  mayorista]]-E1721)/E1721</f>
        <v>0</v>
      </c>
      <c r="J1722" s="12">
        <f>(PrincipalesVariables[[#This Row],[Reservas internacionales]]-F1721)/F1721</f>
        <v>-1.5310487684063584E-3</v>
      </c>
    </row>
    <row r="1723" spans="1:10" ht="15.75" thickBot="1" x14ac:dyDescent="0.3">
      <c r="A1723" s="14">
        <v>43490</v>
      </c>
      <c r="B1723" s="15">
        <v>43490</v>
      </c>
      <c r="C1723" s="16">
        <v>1367319</v>
      </c>
      <c r="D1723" s="10">
        <f>PrincipalesVariables[[#This Row],[Base monetaria]]/1000000</f>
        <v>1.367319</v>
      </c>
      <c r="E1723" s="10">
        <v>37.14</v>
      </c>
      <c r="F1723" s="11">
        <v>66413</v>
      </c>
      <c r="H1723" s="12">
        <f>(PrincipalesVariables[[#This Row],[Base monetaria]]-C1722)/C1722</f>
        <v>3.0443767427222892E-3</v>
      </c>
      <c r="I1723" s="12">
        <f>(PrincipalesVariables[[#This Row],[Dólar  mayorista]]-E1722)/E1722</f>
        <v>-1.1182108626198128E-2</v>
      </c>
      <c r="J1723" s="12">
        <f>(PrincipalesVariables[[#This Row],[Reservas internacionales]]-F1722)/F1722</f>
        <v>-1.5935296682150965E-3</v>
      </c>
    </row>
    <row r="1724" spans="1:10" ht="15.75" thickBot="1" x14ac:dyDescent="0.3">
      <c r="A1724" s="14">
        <v>43493</v>
      </c>
      <c r="B1724" s="15">
        <v>43493</v>
      </c>
      <c r="C1724" s="16">
        <v>1366824</v>
      </c>
      <c r="D1724" s="10">
        <f>PrincipalesVariables[[#This Row],[Base monetaria]]/1000000</f>
        <v>1.366824</v>
      </c>
      <c r="E1724" s="10">
        <v>37.090000000000003</v>
      </c>
      <c r="F1724" s="11">
        <v>66429</v>
      </c>
      <c r="H1724" s="12">
        <f>(PrincipalesVariables[[#This Row],[Base monetaria]]-C1723)/C1723</f>
        <v>-3.6202232251581379E-4</v>
      </c>
      <c r="I1724" s="12">
        <f>(PrincipalesVariables[[#This Row],[Dólar  mayorista]]-E1723)/E1723</f>
        <v>-1.3462574044156477E-3</v>
      </c>
      <c r="J1724" s="12">
        <f>(PrincipalesVariables[[#This Row],[Reservas internacionales]]-F1723)/F1723</f>
        <v>2.4091668799783176E-4</v>
      </c>
    </row>
    <row r="1725" spans="1:10" ht="15.75" thickBot="1" x14ac:dyDescent="0.3">
      <c r="A1725" s="14">
        <v>43494</v>
      </c>
      <c r="B1725" s="15">
        <v>43494</v>
      </c>
      <c r="C1725" s="16">
        <v>1389379</v>
      </c>
      <c r="D1725" s="10">
        <f>PrincipalesVariables[[#This Row],[Base monetaria]]/1000000</f>
        <v>1.3893789999999999</v>
      </c>
      <c r="E1725" s="10">
        <v>37.229999999999997</v>
      </c>
      <c r="F1725" s="11">
        <v>66449</v>
      </c>
      <c r="H1725" s="12">
        <f>(PrincipalesVariables[[#This Row],[Base monetaria]]-C1724)/C1724</f>
        <v>1.6501758821911235E-2</v>
      </c>
      <c r="I1725" s="12">
        <f>(PrincipalesVariables[[#This Row],[Dólar  mayorista]]-E1724)/E1724</f>
        <v>3.7746023186841049E-3</v>
      </c>
      <c r="J1725" s="12">
        <f>(PrincipalesVariables[[#This Row],[Reservas internacionales]]-F1724)/F1724</f>
        <v>3.0107332640864681E-4</v>
      </c>
    </row>
    <row r="1726" spans="1:10" ht="15.75" thickBot="1" x14ac:dyDescent="0.3">
      <c r="A1726" s="14">
        <v>43495</v>
      </c>
      <c r="B1726" s="15">
        <v>43495</v>
      </c>
      <c r="C1726" s="16">
        <v>1381202</v>
      </c>
      <c r="D1726" s="10">
        <f>PrincipalesVariables[[#This Row],[Base monetaria]]/1000000</f>
        <v>1.381202</v>
      </c>
      <c r="E1726" s="10">
        <v>37.61</v>
      </c>
      <c r="F1726" s="11">
        <v>66409</v>
      </c>
      <c r="H1726" s="12">
        <f>(PrincipalesVariables[[#This Row],[Base monetaria]]-C1725)/C1725</f>
        <v>-5.8853631730434964E-3</v>
      </c>
      <c r="I1726" s="12">
        <f>(PrincipalesVariables[[#This Row],[Dólar  mayorista]]-E1725)/E1725</f>
        <v>1.020682245500947E-2</v>
      </c>
      <c r="J1726" s="12">
        <f>(PrincipalesVariables[[#This Row],[Reservas internacionales]]-F1725)/F1725</f>
        <v>-6.0196541708678838E-4</v>
      </c>
    </row>
    <row r="1727" spans="1:10" ht="15.75" thickBot="1" x14ac:dyDescent="0.3">
      <c r="A1727" s="14">
        <v>43496</v>
      </c>
      <c r="B1727" s="15">
        <v>43496</v>
      </c>
      <c r="C1727" s="16">
        <v>1352805</v>
      </c>
      <c r="D1727" s="10">
        <f>PrincipalesVariables[[#This Row],[Base monetaria]]/1000000</f>
        <v>1.352805</v>
      </c>
      <c r="E1727" s="10">
        <v>37.04</v>
      </c>
      <c r="F1727" s="11">
        <v>66811</v>
      </c>
      <c r="H1727" s="12">
        <f>(PrincipalesVariables[[#This Row],[Base monetaria]]-C1726)/C1726</f>
        <v>-2.0559628497497106E-2</v>
      </c>
      <c r="I1727" s="12">
        <f>(PrincipalesVariables[[#This Row],[Dólar  mayorista]]-E1726)/E1726</f>
        <v>-1.5155543738367463E-2</v>
      </c>
      <c r="J1727" s="12">
        <f>(PrincipalesVariables[[#This Row],[Reservas internacionales]]-F1726)/F1726</f>
        <v>6.0533963769970941E-3</v>
      </c>
    </row>
    <row r="1728" spans="1:10" ht="15.75" thickBot="1" x14ac:dyDescent="0.3">
      <c r="A1728" s="14">
        <v>43497</v>
      </c>
      <c r="B1728" s="15">
        <v>43497</v>
      </c>
      <c r="C1728" s="16">
        <v>1441458</v>
      </c>
      <c r="D1728" s="10">
        <f>PrincipalesVariables[[#This Row],[Base monetaria]]/1000000</f>
        <v>1.4414579999999999</v>
      </c>
      <c r="E1728" s="10">
        <v>37.24</v>
      </c>
      <c r="F1728" s="11">
        <v>66843</v>
      </c>
      <c r="H1728" s="12">
        <f>(PrincipalesVariables[[#This Row],[Base monetaria]]-C1727)/C1727</f>
        <v>6.5532726446161857E-2</v>
      </c>
      <c r="I1728" s="12">
        <f>(PrincipalesVariables[[#This Row],[Dólar  mayorista]]-E1727)/E1727</f>
        <v>5.3995680345573123E-3</v>
      </c>
      <c r="J1728" s="12">
        <f>(PrincipalesVariables[[#This Row],[Reservas internacionales]]-F1727)/F1727</f>
        <v>4.7896304500755866E-4</v>
      </c>
    </row>
    <row r="1729" spans="1:10" ht="15.75" thickBot="1" x14ac:dyDescent="0.3">
      <c r="A1729" s="14">
        <v>43500</v>
      </c>
      <c r="B1729" s="15">
        <v>43500</v>
      </c>
      <c r="C1729" s="16">
        <v>1408659</v>
      </c>
      <c r="D1729" s="10">
        <f>PrincipalesVariables[[#This Row],[Base monetaria]]/1000000</f>
        <v>1.4086590000000001</v>
      </c>
      <c r="E1729" s="10">
        <v>37.24</v>
      </c>
      <c r="F1729" s="11">
        <v>66845</v>
      </c>
      <c r="H1729" s="12">
        <f>(PrincipalesVariables[[#This Row],[Base monetaria]]-C1728)/C1728</f>
        <v>-2.2754044862909637E-2</v>
      </c>
      <c r="I1729" s="12">
        <f>(PrincipalesVariables[[#This Row],[Dólar  mayorista]]-E1728)/E1728</f>
        <v>0</v>
      </c>
      <c r="J1729" s="12">
        <f>(PrincipalesVariables[[#This Row],[Reservas internacionales]]-F1728)/F1728</f>
        <v>2.9920859327079873E-5</v>
      </c>
    </row>
    <row r="1730" spans="1:10" ht="15.75" thickBot="1" x14ac:dyDescent="0.3">
      <c r="A1730" s="14">
        <v>43501</v>
      </c>
      <c r="B1730" s="15">
        <v>43501</v>
      </c>
      <c r="C1730" s="16">
        <v>1382286</v>
      </c>
      <c r="D1730" s="10">
        <f>PrincipalesVariables[[#This Row],[Base monetaria]]/1000000</f>
        <v>1.3822859999999999</v>
      </c>
      <c r="E1730" s="10">
        <v>37.200000000000003</v>
      </c>
      <c r="F1730" s="11">
        <v>66962</v>
      </c>
      <c r="H1730" s="12">
        <f>(PrincipalesVariables[[#This Row],[Base monetaria]]-C1729)/C1729</f>
        <v>-1.8722061194369966E-2</v>
      </c>
      <c r="I1730" s="12">
        <f>(PrincipalesVariables[[#This Row],[Dólar  mayorista]]-E1729)/E1729</f>
        <v>-1.0741138560687203E-3</v>
      </c>
      <c r="J1730" s="12">
        <f>(PrincipalesVariables[[#This Row],[Reservas internacionales]]-F1729)/F1729</f>
        <v>1.7503178996185205E-3</v>
      </c>
    </row>
    <row r="1731" spans="1:10" ht="15.75" thickBot="1" x14ac:dyDescent="0.3">
      <c r="A1731" s="14">
        <v>43502</v>
      </c>
      <c r="B1731" s="15">
        <v>43502</v>
      </c>
      <c r="C1731" s="16">
        <v>1370908</v>
      </c>
      <c r="D1731" s="10">
        <f>PrincipalesVariables[[#This Row],[Base monetaria]]/1000000</f>
        <v>1.370908</v>
      </c>
      <c r="E1731" s="10">
        <v>37.43</v>
      </c>
      <c r="F1731" s="11">
        <v>67001</v>
      </c>
      <c r="H1731" s="12">
        <f>(PrincipalesVariables[[#This Row],[Base monetaria]]-C1730)/C1730</f>
        <v>-8.2312922217254603E-3</v>
      </c>
      <c r="I1731" s="12">
        <f>(PrincipalesVariables[[#This Row],[Dólar  mayorista]]-E1730)/E1730</f>
        <v>6.1827956989246469E-3</v>
      </c>
      <c r="J1731" s="12">
        <f>(PrincipalesVariables[[#This Row],[Reservas internacionales]]-F1730)/F1730</f>
        <v>5.8241987993190168E-4</v>
      </c>
    </row>
    <row r="1732" spans="1:10" ht="15.75" thickBot="1" x14ac:dyDescent="0.3">
      <c r="A1732" s="14">
        <v>43503</v>
      </c>
      <c r="B1732" s="15">
        <v>43503</v>
      </c>
      <c r="C1732" s="16">
        <v>1339313</v>
      </c>
      <c r="D1732" s="10">
        <f>PrincipalesVariables[[#This Row],[Base monetaria]]/1000000</f>
        <v>1.339313</v>
      </c>
      <c r="E1732" s="10">
        <v>37.9</v>
      </c>
      <c r="F1732" s="11">
        <v>66980</v>
      </c>
      <c r="H1732" s="12">
        <f>(PrincipalesVariables[[#This Row],[Base monetaria]]-C1731)/C1731</f>
        <v>-2.3046769002733954E-2</v>
      </c>
      <c r="I1732" s="12">
        <f>(PrincipalesVariables[[#This Row],[Dólar  mayorista]]-E1731)/E1731</f>
        <v>1.2556772642265531E-2</v>
      </c>
      <c r="J1732" s="12">
        <f>(PrincipalesVariables[[#This Row],[Reservas internacionales]]-F1731)/F1731</f>
        <v>-3.134281577886897E-4</v>
      </c>
    </row>
    <row r="1733" spans="1:10" ht="15.75" thickBot="1" x14ac:dyDescent="0.3">
      <c r="A1733" s="14">
        <v>43504</v>
      </c>
      <c r="B1733" s="15">
        <v>43504</v>
      </c>
      <c r="C1733" s="16">
        <v>1327684</v>
      </c>
      <c r="D1733" s="10">
        <f>PrincipalesVariables[[#This Row],[Base monetaria]]/1000000</f>
        <v>1.3276840000000001</v>
      </c>
      <c r="E1733" s="10">
        <v>37.86</v>
      </c>
      <c r="F1733" s="11">
        <v>66894</v>
      </c>
      <c r="H1733" s="12">
        <f>(PrincipalesVariables[[#This Row],[Base monetaria]]-C1732)/C1732</f>
        <v>-8.6828097688889747E-3</v>
      </c>
      <c r="I1733" s="12">
        <f>(PrincipalesVariables[[#This Row],[Dólar  mayorista]]-E1732)/E1732</f>
        <v>-1.0554089709762309E-3</v>
      </c>
      <c r="J1733" s="12">
        <f>(PrincipalesVariables[[#This Row],[Reservas internacionales]]-F1732)/F1732</f>
        <v>-1.2839653627948642E-3</v>
      </c>
    </row>
    <row r="1734" spans="1:10" ht="15.75" thickBot="1" x14ac:dyDescent="0.3">
      <c r="A1734" s="14">
        <v>43507</v>
      </c>
      <c r="B1734" s="15">
        <v>43507</v>
      </c>
      <c r="C1734" s="16">
        <v>1316423</v>
      </c>
      <c r="D1734" s="10">
        <f>PrincipalesVariables[[#This Row],[Base monetaria]]/1000000</f>
        <v>1.3164229999999999</v>
      </c>
      <c r="E1734" s="10">
        <v>38.32</v>
      </c>
      <c r="F1734" s="11">
        <v>66783</v>
      </c>
      <c r="H1734" s="12">
        <f>(PrincipalesVariables[[#This Row],[Base monetaria]]-C1733)/C1733</f>
        <v>-8.4816869074267678E-3</v>
      </c>
      <c r="I1734" s="12">
        <f>(PrincipalesVariables[[#This Row],[Dólar  mayorista]]-E1733)/E1733</f>
        <v>1.2150026413100921E-2</v>
      </c>
      <c r="J1734" s="12">
        <f>(PrincipalesVariables[[#This Row],[Reservas internacionales]]-F1733)/F1733</f>
        <v>-1.6593416449905822E-3</v>
      </c>
    </row>
    <row r="1735" spans="1:10" ht="15.75" thickBot="1" x14ac:dyDescent="0.3">
      <c r="A1735" s="14">
        <v>43508</v>
      </c>
      <c r="B1735" s="15">
        <v>43508</v>
      </c>
      <c r="C1735" s="16">
        <v>1315552</v>
      </c>
      <c r="D1735" s="10">
        <f>PrincipalesVariables[[#This Row],[Base monetaria]]/1000000</f>
        <v>1.3155520000000001</v>
      </c>
      <c r="E1735" s="10">
        <v>37.82</v>
      </c>
      <c r="F1735" s="11">
        <v>66918</v>
      </c>
      <c r="H1735" s="12">
        <f>(PrincipalesVariables[[#This Row],[Base monetaria]]-C1734)/C1734</f>
        <v>-6.6164143288289558E-4</v>
      </c>
      <c r="I1735" s="12">
        <f>(PrincipalesVariables[[#This Row],[Dólar  mayorista]]-E1734)/E1734</f>
        <v>-1.3048016701461378E-2</v>
      </c>
      <c r="J1735" s="12">
        <f>(PrincipalesVariables[[#This Row],[Reservas internacionales]]-F1734)/F1734</f>
        <v>2.021472530434392E-3</v>
      </c>
    </row>
    <row r="1736" spans="1:10" ht="15.75" thickBot="1" x14ac:dyDescent="0.3">
      <c r="A1736" s="14">
        <v>43509</v>
      </c>
      <c r="B1736" s="15">
        <v>43509</v>
      </c>
      <c r="C1736" s="16">
        <v>1292994</v>
      </c>
      <c r="D1736" s="10">
        <f>PrincipalesVariables[[#This Row],[Base monetaria]]/1000000</f>
        <v>1.292994</v>
      </c>
      <c r="E1736" s="10">
        <v>38.15</v>
      </c>
      <c r="F1736" s="11">
        <v>67054</v>
      </c>
      <c r="H1736" s="12">
        <f>(PrincipalesVariables[[#This Row],[Base monetaria]]-C1735)/C1735</f>
        <v>-1.7147174722093844E-2</v>
      </c>
      <c r="I1736" s="12">
        <f>(PrincipalesVariables[[#This Row],[Dólar  mayorista]]-E1735)/E1735</f>
        <v>8.7255420412479714E-3</v>
      </c>
      <c r="J1736" s="12">
        <f>(PrincipalesVariables[[#This Row],[Reservas internacionales]]-F1735)/F1735</f>
        <v>2.0323380854179742E-3</v>
      </c>
    </row>
    <row r="1737" spans="1:10" ht="15.75" thickBot="1" x14ac:dyDescent="0.3">
      <c r="A1737" s="14">
        <v>43510</v>
      </c>
      <c r="B1737" s="15">
        <v>43510</v>
      </c>
      <c r="C1737" s="16">
        <v>1293910</v>
      </c>
      <c r="D1737" s="10">
        <f>PrincipalesVariables[[#This Row],[Base monetaria]]/1000000</f>
        <v>1.2939099999999999</v>
      </c>
      <c r="E1737" s="10">
        <v>38.369999999999997</v>
      </c>
      <c r="F1737" s="11">
        <v>66955</v>
      </c>
      <c r="H1737" s="12">
        <f>(PrincipalesVariables[[#This Row],[Base monetaria]]-C1736)/C1736</f>
        <v>7.0843329512743287E-4</v>
      </c>
      <c r="I1737" s="12">
        <f>(PrincipalesVariables[[#This Row],[Dólar  mayorista]]-E1736)/E1736</f>
        <v>5.7667103538662874E-3</v>
      </c>
      <c r="J1737" s="12">
        <f>(PrincipalesVariables[[#This Row],[Reservas internacionales]]-F1736)/F1736</f>
        <v>-1.4764219882482776E-3</v>
      </c>
    </row>
    <row r="1738" spans="1:10" ht="15.75" thickBot="1" x14ac:dyDescent="0.3">
      <c r="A1738" s="14">
        <v>43511</v>
      </c>
      <c r="B1738" s="15">
        <v>43511</v>
      </c>
      <c r="C1738" s="16">
        <v>1297732</v>
      </c>
      <c r="D1738" s="10">
        <f>PrincipalesVariables[[#This Row],[Base monetaria]]/1000000</f>
        <v>1.2977320000000001</v>
      </c>
      <c r="E1738" s="10">
        <v>38.33</v>
      </c>
      <c r="F1738" s="11">
        <v>66925</v>
      </c>
      <c r="H1738" s="12">
        <f>(PrincipalesVariables[[#This Row],[Base monetaria]]-C1737)/C1737</f>
        <v>2.9538375930319729E-3</v>
      </c>
      <c r="I1738" s="12">
        <f>(PrincipalesVariables[[#This Row],[Dólar  mayorista]]-E1737)/E1737</f>
        <v>-1.0424811050299492E-3</v>
      </c>
      <c r="J1738" s="12">
        <f>(PrincipalesVariables[[#This Row],[Reservas internacionales]]-F1737)/F1737</f>
        <v>-4.4806213128220445E-4</v>
      </c>
    </row>
    <row r="1739" spans="1:10" ht="15.75" thickBot="1" x14ac:dyDescent="0.3">
      <c r="A1739" s="14">
        <v>43514</v>
      </c>
      <c r="B1739" s="15">
        <v>43514</v>
      </c>
      <c r="C1739" s="16">
        <v>1300646</v>
      </c>
      <c r="D1739" s="10">
        <f>PrincipalesVariables[[#This Row],[Base monetaria]]/1000000</f>
        <v>1.300646</v>
      </c>
      <c r="E1739" s="10">
        <v>38.770000000000003</v>
      </c>
      <c r="F1739" s="11">
        <v>66972</v>
      </c>
      <c r="H1739" s="12">
        <f>(PrincipalesVariables[[#This Row],[Base monetaria]]-C1738)/C1738</f>
        <v>2.2454559184793164E-3</v>
      </c>
      <c r="I1739" s="12">
        <f>(PrincipalesVariables[[#This Row],[Dólar  mayorista]]-E1738)/E1738</f>
        <v>1.1479259066005866E-2</v>
      </c>
      <c r="J1739" s="12">
        <f>(PrincipalesVariables[[#This Row],[Reservas internacionales]]-F1738)/F1738</f>
        <v>7.0227867015315647E-4</v>
      </c>
    </row>
    <row r="1740" spans="1:10" ht="15.75" thickBot="1" x14ac:dyDescent="0.3">
      <c r="A1740" s="14">
        <v>43515</v>
      </c>
      <c r="B1740" s="15">
        <v>43515</v>
      </c>
      <c r="C1740" s="16">
        <v>1312165</v>
      </c>
      <c r="D1740" s="10">
        <f>PrincipalesVariables[[#This Row],[Base monetaria]]/1000000</f>
        <v>1.312165</v>
      </c>
      <c r="E1740" s="10">
        <v>38.92</v>
      </c>
      <c r="F1740" s="11">
        <v>67012</v>
      </c>
      <c r="H1740" s="12">
        <f>(PrincipalesVariables[[#This Row],[Base monetaria]]-C1739)/C1739</f>
        <v>8.8563682969847284E-3</v>
      </c>
      <c r="I1740" s="12">
        <f>(PrincipalesVariables[[#This Row],[Dólar  mayorista]]-E1739)/E1739</f>
        <v>3.8689708537528646E-3</v>
      </c>
      <c r="J1740" s="12">
        <f>(PrincipalesVariables[[#This Row],[Reservas internacionales]]-F1739)/F1739</f>
        <v>5.9726452845965475E-4</v>
      </c>
    </row>
    <row r="1741" spans="1:10" ht="15.75" thickBot="1" x14ac:dyDescent="0.3">
      <c r="A1741" s="14">
        <v>43516</v>
      </c>
      <c r="B1741" s="15">
        <v>43516</v>
      </c>
      <c r="C1741" s="16">
        <v>1300929</v>
      </c>
      <c r="D1741" s="10">
        <f>PrincipalesVariables[[#This Row],[Base monetaria]]/1000000</f>
        <v>1.300929</v>
      </c>
      <c r="E1741" s="10">
        <v>40.04</v>
      </c>
      <c r="F1741" s="11">
        <v>67034</v>
      </c>
      <c r="H1741" s="12">
        <f>(PrincipalesVariables[[#This Row],[Base monetaria]]-C1740)/C1740</f>
        <v>-8.5629474951701961E-3</v>
      </c>
      <c r="I1741" s="12">
        <f>(PrincipalesVariables[[#This Row],[Dólar  mayorista]]-E1740)/E1740</f>
        <v>2.8776978417266119E-2</v>
      </c>
      <c r="J1741" s="12">
        <f>(PrincipalesVariables[[#This Row],[Reservas internacionales]]-F1740)/F1740</f>
        <v>3.2829940906106366E-4</v>
      </c>
    </row>
    <row r="1742" spans="1:10" ht="15.75" thickBot="1" x14ac:dyDescent="0.3">
      <c r="A1742" s="14">
        <v>43517</v>
      </c>
      <c r="B1742" s="15">
        <v>43517</v>
      </c>
      <c r="C1742" s="16">
        <v>1298811</v>
      </c>
      <c r="D1742" s="10">
        <f>PrincipalesVariables[[#This Row],[Base monetaria]]/1000000</f>
        <v>1.2988109999999999</v>
      </c>
      <c r="E1742" s="10">
        <v>39.659999999999997</v>
      </c>
      <c r="F1742" s="11">
        <v>66984</v>
      </c>
      <c r="H1742" s="12">
        <f>(PrincipalesVariables[[#This Row],[Base monetaria]]-C1741)/C1741</f>
        <v>-1.6280673272715113E-3</v>
      </c>
      <c r="I1742" s="12">
        <f>(PrincipalesVariables[[#This Row],[Dólar  mayorista]]-E1741)/E1741</f>
        <v>-9.4905094905095543E-3</v>
      </c>
      <c r="J1742" s="12">
        <f>(PrincipalesVariables[[#This Row],[Reservas internacionales]]-F1741)/F1741</f>
        <v>-7.4589014529940025E-4</v>
      </c>
    </row>
    <row r="1743" spans="1:10" ht="15.75" thickBot="1" x14ac:dyDescent="0.3">
      <c r="A1743" s="14">
        <v>43518</v>
      </c>
      <c r="B1743" s="15">
        <v>43518</v>
      </c>
      <c r="C1743" s="16">
        <v>1315114</v>
      </c>
      <c r="D1743" s="10">
        <f>PrincipalesVariables[[#This Row],[Base monetaria]]/1000000</f>
        <v>1.3151139999999999</v>
      </c>
      <c r="E1743" s="10">
        <v>39.25</v>
      </c>
      <c r="F1743" s="11">
        <v>67010</v>
      </c>
      <c r="H1743" s="12">
        <f>(PrincipalesVariables[[#This Row],[Base monetaria]]-C1742)/C1742</f>
        <v>1.2552249711466873E-2</v>
      </c>
      <c r="I1743" s="12">
        <f>(PrincipalesVariables[[#This Row],[Dólar  mayorista]]-E1742)/E1742</f>
        <v>-1.0337871911245503E-2</v>
      </c>
      <c r="J1743" s="12">
        <f>(PrincipalesVariables[[#This Row],[Reservas internacionales]]-F1742)/F1742</f>
        <v>3.8815239460169594E-4</v>
      </c>
    </row>
    <row r="1744" spans="1:10" ht="15.75" thickBot="1" x14ac:dyDescent="0.3">
      <c r="A1744" s="14">
        <v>43521</v>
      </c>
      <c r="B1744" s="15">
        <v>43521</v>
      </c>
      <c r="C1744" s="16">
        <v>1351096</v>
      </c>
      <c r="D1744" s="10">
        <f>PrincipalesVariables[[#This Row],[Base monetaria]]/1000000</f>
        <v>1.3510960000000001</v>
      </c>
      <c r="E1744" s="10">
        <v>38.96</v>
      </c>
      <c r="F1744" s="11">
        <v>67044</v>
      </c>
      <c r="H1744" s="12">
        <f>(PrincipalesVariables[[#This Row],[Base monetaria]]-C1743)/C1743</f>
        <v>2.7360365717344657E-2</v>
      </c>
      <c r="I1744" s="12">
        <f>(PrincipalesVariables[[#This Row],[Dólar  mayorista]]-E1743)/E1743</f>
        <v>-7.3885350318471116E-3</v>
      </c>
      <c r="J1744" s="12">
        <f>(PrincipalesVariables[[#This Row],[Reservas internacionales]]-F1743)/F1743</f>
        <v>5.0738695717057151E-4</v>
      </c>
    </row>
    <row r="1745" spans="1:10" ht="15.75" thickBot="1" x14ac:dyDescent="0.3">
      <c r="A1745" s="14">
        <v>43522</v>
      </c>
      <c r="B1745" s="15">
        <v>43522</v>
      </c>
      <c r="C1745" s="16">
        <v>1373527</v>
      </c>
      <c r="D1745" s="10">
        <f>PrincipalesVariables[[#This Row],[Base monetaria]]/1000000</f>
        <v>1.3735269999999999</v>
      </c>
      <c r="E1745" s="10">
        <v>38.99</v>
      </c>
      <c r="F1745" s="11">
        <v>66993</v>
      </c>
      <c r="H1745" s="12">
        <f>(PrincipalesVariables[[#This Row],[Base monetaria]]-C1744)/C1744</f>
        <v>1.6602077128494201E-2</v>
      </c>
      <c r="I1745" s="12">
        <f>(PrincipalesVariables[[#This Row],[Dólar  mayorista]]-E1744)/E1744</f>
        <v>7.7002053388093268E-4</v>
      </c>
      <c r="J1745" s="12">
        <f>(PrincipalesVariables[[#This Row],[Reservas internacionales]]-F1744)/F1744</f>
        <v>-7.6069446930374085E-4</v>
      </c>
    </row>
    <row r="1746" spans="1:10" ht="15.75" thickBot="1" x14ac:dyDescent="0.3">
      <c r="A1746" s="14">
        <v>43523</v>
      </c>
      <c r="B1746" s="15">
        <v>43523</v>
      </c>
      <c r="C1746" s="16">
        <v>1404154</v>
      </c>
      <c r="D1746" s="10">
        <f>PrincipalesVariables[[#This Row],[Base monetaria]]/1000000</f>
        <v>1.4041539999999999</v>
      </c>
      <c r="E1746" s="10">
        <v>38.75</v>
      </c>
      <c r="F1746" s="11">
        <v>66986</v>
      </c>
      <c r="H1746" s="12">
        <f>(PrincipalesVariables[[#This Row],[Base monetaria]]-C1745)/C1745</f>
        <v>2.2298069131513252E-2</v>
      </c>
      <c r="I1746" s="12">
        <f>(PrincipalesVariables[[#This Row],[Dólar  mayorista]]-E1745)/E1745</f>
        <v>-6.1554244678123102E-3</v>
      </c>
      <c r="J1746" s="12">
        <f>(PrincipalesVariables[[#This Row],[Reservas internacionales]]-F1745)/F1745</f>
        <v>-1.0448852865224726E-4</v>
      </c>
    </row>
    <row r="1747" spans="1:10" ht="15.75" thickBot="1" x14ac:dyDescent="0.3">
      <c r="A1747" s="14">
        <v>43524</v>
      </c>
      <c r="B1747" s="15">
        <v>43524</v>
      </c>
      <c r="C1747" s="16">
        <v>1403081</v>
      </c>
      <c r="D1747" s="10">
        <f>PrincipalesVariables[[#This Row],[Base monetaria]]/1000000</f>
        <v>1.403081</v>
      </c>
      <c r="E1747" s="10">
        <v>39</v>
      </c>
      <c r="F1747" s="11">
        <v>68015</v>
      </c>
      <c r="H1747" s="12">
        <f>(PrincipalesVariables[[#This Row],[Base monetaria]]-C1746)/C1746</f>
        <v>-7.6416119599417159E-4</v>
      </c>
      <c r="I1747" s="12">
        <f>(PrincipalesVariables[[#This Row],[Dólar  mayorista]]-E1746)/E1746</f>
        <v>6.4516129032258064E-3</v>
      </c>
      <c r="J1747" s="12">
        <f>(PrincipalesVariables[[#This Row],[Reservas internacionales]]-F1746)/F1746</f>
        <v>1.5361418803929178E-2</v>
      </c>
    </row>
    <row r="1748" spans="1:10" ht="15.75" thickBot="1" x14ac:dyDescent="0.3">
      <c r="A1748" s="14">
        <v>43525</v>
      </c>
      <c r="B1748" s="15">
        <v>43525</v>
      </c>
      <c r="C1748" s="16">
        <v>1403592</v>
      </c>
      <c r="D1748" s="10">
        <f>PrincipalesVariables[[#This Row],[Base monetaria]]/1000000</f>
        <v>1.403592</v>
      </c>
      <c r="E1748" s="10">
        <v>39.450000000000003</v>
      </c>
      <c r="F1748" s="11">
        <v>68345</v>
      </c>
      <c r="H1748" s="12">
        <f>(PrincipalesVariables[[#This Row],[Base monetaria]]-C1747)/C1747</f>
        <v>3.641985031512792E-4</v>
      </c>
      <c r="I1748" s="12">
        <f>(PrincipalesVariables[[#This Row],[Dólar  mayorista]]-E1747)/E1747</f>
        <v>1.1538461538461612E-2</v>
      </c>
      <c r="J1748" s="12">
        <f>(PrincipalesVariables[[#This Row],[Reservas internacionales]]-F1747)/F1747</f>
        <v>4.8518709108284937E-3</v>
      </c>
    </row>
    <row r="1749" spans="1:10" ht="15.75" thickBot="1" x14ac:dyDescent="0.3">
      <c r="A1749" s="14">
        <v>43530</v>
      </c>
      <c r="B1749" s="15">
        <v>43530</v>
      </c>
      <c r="C1749" s="16">
        <v>1366894</v>
      </c>
      <c r="D1749" s="10">
        <f>PrincipalesVariables[[#This Row],[Base monetaria]]/1000000</f>
        <v>1.3668940000000001</v>
      </c>
      <c r="E1749" s="10">
        <v>40.479999999999997</v>
      </c>
      <c r="F1749" s="11">
        <v>68352</v>
      </c>
      <c r="H1749" s="12">
        <f>(PrincipalesVariables[[#This Row],[Base monetaria]]-C1748)/C1748</f>
        <v>-2.6145774555568855E-2</v>
      </c>
      <c r="I1749" s="12">
        <f>(PrincipalesVariables[[#This Row],[Dólar  mayorista]]-E1748)/E1748</f>
        <v>2.6108998732572723E-2</v>
      </c>
      <c r="J1749" s="12">
        <f>(PrincipalesVariables[[#This Row],[Reservas internacionales]]-F1748)/F1748</f>
        <v>1.0242153778623162E-4</v>
      </c>
    </row>
    <row r="1750" spans="1:10" ht="15.75" thickBot="1" x14ac:dyDescent="0.3">
      <c r="A1750" s="14">
        <v>43531</v>
      </c>
      <c r="B1750" s="15">
        <v>43531</v>
      </c>
      <c r="C1750" s="16">
        <v>1305690</v>
      </c>
      <c r="D1750" s="10">
        <f>PrincipalesVariables[[#This Row],[Base monetaria]]/1000000</f>
        <v>1.30569</v>
      </c>
      <c r="E1750" s="10">
        <v>41.23</v>
      </c>
      <c r="F1750" s="11">
        <v>68421</v>
      </c>
      <c r="H1750" s="12">
        <f>(PrincipalesVariables[[#This Row],[Base monetaria]]-C1749)/C1749</f>
        <v>-4.4775966534347213E-2</v>
      </c>
      <c r="I1750" s="12">
        <f>(PrincipalesVariables[[#This Row],[Dólar  mayorista]]-E1749)/E1749</f>
        <v>1.8527667984189724E-2</v>
      </c>
      <c r="J1750" s="12">
        <f>(PrincipalesVariables[[#This Row],[Reservas internacionales]]-F1749)/F1749</f>
        <v>1.0094803370786518E-3</v>
      </c>
    </row>
    <row r="1751" spans="1:10" ht="15.75" thickBot="1" x14ac:dyDescent="0.3">
      <c r="A1751" s="14">
        <v>43532</v>
      </c>
      <c r="B1751" s="15">
        <v>43532</v>
      </c>
      <c r="C1751" s="16">
        <v>1287055</v>
      </c>
      <c r="D1751" s="10">
        <f>PrincipalesVariables[[#This Row],[Base monetaria]]/1000000</f>
        <v>1.2870550000000001</v>
      </c>
      <c r="E1751" s="10">
        <v>41.3</v>
      </c>
      <c r="F1751" s="11">
        <v>68578</v>
      </c>
      <c r="H1751" s="12">
        <f>(PrincipalesVariables[[#This Row],[Base monetaria]]-C1750)/C1750</f>
        <v>-1.4272147293768045E-2</v>
      </c>
      <c r="I1751" s="12">
        <f>(PrincipalesVariables[[#This Row],[Dólar  mayorista]]-E1750)/E1750</f>
        <v>1.697792869269956E-3</v>
      </c>
      <c r="J1751" s="12">
        <f>(PrincipalesVariables[[#This Row],[Reservas internacionales]]-F1750)/F1750</f>
        <v>2.2946171497054998E-3</v>
      </c>
    </row>
    <row r="1752" spans="1:10" ht="15.75" thickBot="1" x14ac:dyDescent="0.3">
      <c r="A1752" s="14">
        <v>43535</v>
      </c>
      <c r="B1752" s="15">
        <v>43535</v>
      </c>
      <c r="C1752" s="16">
        <v>1254877</v>
      </c>
      <c r="D1752" s="10">
        <f>PrincipalesVariables[[#This Row],[Base monetaria]]/1000000</f>
        <v>1.254877</v>
      </c>
      <c r="E1752" s="10">
        <v>40.869999999999997</v>
      </c>
      <c r="F1752" s="11">
        <v>68526</v>
      </c>
      <c r="H1752" s="12">
        <f>(PrincipalesVariables[[#This Row],[Base monetaria]]-C1751)/C1751</f>
        <v>-2.5001262572306546E-2</v>
      </c>
      <c r="I1752" s="12">
        <f>(PrincipalesVariables[[#This Row],[Dólar  mayorista]]-E1751)/E1751</f>
        <v>-1.0411622276029049E-2</v>
      </c>
      <c r="J1752" s="12">
        <f>(PrincipalesVariables[[#This Row],[Reservas internacionales]]-F1751)/F1751</f>
        <v>-7.5826066668610928E-4</v>
      </c>
    </row>
    <row r="1753" spans="1:10" ht="15.75" thickBot="1" x14ac:dyDescent="0.3">
      <c r="A1753" s="14">
        <v>43536</v>
      </c>
      <c r="B1753" s="15">
        <v>43536</v>
      </c>
      <c r="C1753" s="16">
        <v>1257110</v>
      </c>
      <c r="D1753" s="10">
        <f>PrincipalesVariables[[#This Row],[Base monetaria]]/1000000</f>
        <v>1.2571099999999999</v>
      </c>
      <c r="E1753" s="10">
        <v>41.35</v>
      </c>
      <c r="F1753" s="11">
        <v>68488</v>
      </c>
      <c r="H1753" s="12">
        <f>(PrincipalesVariables[[#This Row],[Base monetaria]]-C1752)/C1752</f>
        <v>1.7794572695172515E-3</v>
      </c>
      <c r="I1753" s="12">
        <f>(PrincipalesVariables[[#This Row],[Dólar  mayorista]]-E1752)/E1752</f>
        <v>1.1744555908979789E-2</v>
      </c>
      <c r="J1753" s="12">
        <f>(PrincipalesVariables[[#This Row],[Reservas internacionales]]-F1752)/F1752</f>
        <v>-5.5453404547179178E-4</v>
      </c>
    </row>
    <row r="1754" spans="1:10" ht="15.75" thickBot="1" x14ac:dyDescent="0.3">
      <c r="A1754" s="14">
        <v>43537</v>
      </c>
      <c r="B1754" s="15">
        <v>43537</v>
      </c>
      <c r="C1754" s="16">
        <v>1259051</v>
      </c>
      <c r="D1754" s="10">
        <f>PrincipalesVariables[[#This Row],[Base monetaria]]/1000000</f>
        <v>1.2590509999999999</v>
      </c>
      <c r="E1754" s="10">
        <v>41.65</v>
      </c>
      <c r="F1754" s="11">
        <v>68483</v>
      </c>
      <c r="H1754" s="12">
        <f>(PrincipalesVariables[[#This Row],[Base monetaria]]-C1753)/C1753</f>
        <v>1.5440176277334522E-3</v>
      </c>
      <c r="I1754" s="12">
        <f>(PrincipalesVariables[[#This Row],[Dólar  mayorista]]-E1753)/E1753</f>
        <v>7.2551390568318533E-3</v>
      </c>
      <c r="J1754" s="12">
        <f>(PrincipalesVariables[[#This Row],[Reservas internacionales]]-F1753)/F1753</f>
        <v>-7.3005490012848965E-5</v>
      </c>
    </row>
    <row r="1755" spans="1:10" ht="15.75" thickBot="1" x14ac:dyDescent="0.3">
      <c r="A1755" s="14">
        <v>43538</v>
      </c>
      <c r="B1755" s="15">
        <v>43538</v>
      </c>
      <c r="C1755" s="16">
        <v>1282333</v>
      </c>
      <c r="D1755" s="10">
        <f>PrincipalesVariables[[#This Row],[Base monetaria]]/1000000</f>
        <v>1.2823329999999999</v>
      </c>
      <c r="E1755" s="10">
        <v>40.98</v>
      </c>
      <c r="F1755" s="11">
        <v>68392</v>
      </c>
      <c r="H1755" s="12">
        <f>(PrincipalesVariables[[#This Row],[Base monetaria]]-C1754)/C1754</f>
        <v>1.8491705260549413E-2</v>
      </c>
      <c r="I1755" s="12">
        <f>(PrincipalesVariables[[#This Row],[Dólar  mayorista]]-E1754)/E1754</f>
        <v>-1.6086434573829574E-2</v>
      </c>
      <c r="J1755" s="12">
        <f>(PrincipalesVariables[[#This Row],[Reservas internacionales]]-F1754)/F1754</f>
        <v>-1.3287969277046858E-3</v>
      </c>
    </row>
    <row r="1756" spans="1:10" ht="15.75" thickBot="1" x14ac:dyDescent="0.3">
      <c r="A1756" s="14">
        <v>43539</v>
      </c>
      <c r="B1756" s="15">
        <v>43539</v>
      </c>
      <c r="C1756" s="16">
        <v>1285540</v>
      </c>
      <c r="D1756" s="10">
        <f>PrincipalesVariables[[#This Row],[Base monetaria]]/1000000</f>
        <v>1.2855399999999999</v>
      </c>
      <c r="E1756" s="10">
        <v>39.94</v>
      </c>
      <c r="F1756" s="11">
        <v>68285</v>
      </c>
      <c r="H1756" s="12">
        <f>(PrincipalesVariables[[#This Row],[Base monetaria]]-C1755)/C1755</f>
        <v>2.5009104499377306E-3</v>
      </c>
      <c r="I1756" s="12">
        <f>(PrincipalesVariables[[#This Row],[Dólar  mayorista]]-E1755)/E1755</f>
        <v>-2.5378233284529018E-2</v>
      </c>
      <c r="J1756" s="12">
        <f>(PrincipalesVariables[[#This Row],[Reservas internacionales]]-F1755)/F1755</f>
        <v>-1.5645104690607088E-3</v>
      </c>
    </row>
    <row r="1757" spans="1:10" ht="15.75" thickBot="1" x14ac:dyDescent="0.3">
      <c r="A1757" s="14">
        <v>43542</v>
      </c>
      <c r="B1757" s="15">
        <v>43542</v>
      </c>
      <c r="C1757" s="16">
        <v>1282623</v>
      </c>
      <c r="D1757" s="10">
        <f>PrincipalesVariables[[#This Row],[Base monetaria]]/1000000</f>
        <v>1.2826230000000001</v>
      </c>
      <c r="E1757" s="10">
        <v>39.71</v>
      </c>
      <c r="F1757" s="11">
        <v>68303</v>
      </c>
      <c r="H1757" s="12">
        <f>(PrincipalesVariables[[#This Row],[Base monetaria]]-C1756)/C1756</f>
        <v>-2.2690853649050204E-3</v>
      </c>
      <c r="I1757" s="12">
        <f>(PrincipalesVariables[[#This Row],[Dólar  mayorista]]-E1756)/E1756</f>
        <v>-5.7586379569353249E-3</v>
      </c>
      <c r="J1757" s="12">
        <f>(PrincipalesVariables[[#This Row],[Reservas internacionales]]-F1756)/F1756</f>
        <v>2.6360108369334406E-4</v>
      </c>
    </row>
    <row r="1758" spans="1:10" ht="15.75" thickBot="1" x14ac:dyDescent="0.3">
      <c r="A1758" s="14">
        <v>43543</v>
      </c>
      <c r="B1758" s="15">
        <v>43543</v>
      </c>
      <c r="C1758" s="16">
        <v>1275195</v>
      </c>
      <c r="D1758" s="10">
        <f>PrincipalesVariables[[#This Row],[Base monetaria]]/1000000</f>
        <v>1.2751950000000001</v>
      </c>
      <c r="E1758" s="10">
        <v>40.33</v>
      </c>
      <c r="F1758" s="11">
        <v>68250</v>
      </c>
      <c r="H1758" s="12">
        <f>(PrincipalesVariables[[#This Row],[Base monetaria]]-C1757)/C1757</f>
        <v>-5.7912574466542389E-3</v>
      </c>
      <c r="I1758" s="12">
        <f>(PrincipalesVariables[[#This Row],[Dólar  mayorista]]-E1757)/E1757</f>
        <v>1.5613195668597266E-2</v>
      </c>
      <c r="J1758" s="12">
        <f>(PrincipalesVariables[[#This Row],[Reservas internacionales]]-F1757)/F1757</f>
        <v>-7.7595420406131497E-4</v>
      </c>
    </row>
    <row r="1759" spans="1:10" ht="15.75" thickBot="1" x14ac:dyDescent="0.3">
      <c r="A1759" s="14">
        <v>43544</v>
      </c>
      <c r="B1759" s="15">
        <v>43544</v>
      </c>
      <c r="C1759" s="16">
        <v>1269645</v>
      </c>
      <c r="D1759" s="10">
        <f>PrincipalesVariables[[#This Row],[Base monetaria]]/1000000</f>
        <v>1.2696449999999999</v>
      </c>
      <c r="E1759" s="10">
        <v>41.08</v>
      </c>
      <c r="F1759" s="11">
        <v>68312</v>
      </c>
      <c r="H1759" s="12">
        <f>(PrincipalesVariables[[#This Row],[Base monetaria]]-C1758)/C1758</f>
        <v>-4.3522755343300438E-3</v>
      </c>
      <c r="I1759" s="12">
        <f>(PrincipalesVariables[[#This Row],[Dólar  mayorista]]-E1758)/E1758</f>
        <v>1.8596578229605754E-2</v>
      </c>
      <c r="J1759" s="12">
        <f>(PrincipalesVariables[[#This Row],[Reservas internacionales]]-F1758)/F1758</f>
        <v>9.0842490842490845E-4</v>
      </c>
    </row>
    <row r="1760" spans="1:10" ht="15.75" thickBot="1" x14ac:dyDescent="0.3">
      <c r="A1760" s="14">
        <v>43545</v>
      </c>
      <c r="B1760" s="15">
        <v>43545</v>
      </c>
      <c r="C1760" s="16">
        <v>1283588</v>
      </c>
      <c r="D1760" s="10">
        <f>PrincipalesVariables[[#This Row],[Base monetaria]]/1000000</f>
        <v>1.283588</v>
      </c>
      <c r="E1760" s="10">
        <v>40.74</v>
      </c>
      <c r="F1760" s="11">
        <v>68204</v>
      </c>
      <c r="H1760" s="12">
        <f>(PrincipalesVariables[[#This Row],[Base monetaria]]-C1759)/C1759</f>
        <v>1.0981809875988957E-2</v>
      </c>
      <c r="I1760" s="12">
        <f>(PrincipalesVariables[[#This Row],[Dólar  mayorista]]-E1759)/E1759</f>
        <v>-8.2765335929892003E-3</v>
      </c>
      <c r="J1760" s="12">
        <f>(PrincipalesVariables[[#This Row],[Reservas internacionales]]-F1759)/F1759</f>
        <v>-1.5809813795526408E-3</v>
      </c>
    </row>
    <row r="1761" spans="1:10" ht="15.75" thickBot="1" x14ac:dyDescent="0.3">
      <c r="A1761" s="14">
        <v>43546</v>
      </c>
      <c r="B1761" s="15">
        <v>43546</v>
      </c>
      <c r="C1761" s="16">
        <v>1284127</v>
      </c>
      <c r="D1761" s="10">
        <f>PrincipalesVariables[[#This Row],[Base monetaria]]/1000000</f>
        <v>1.284127</v>
      </c>
      <c r="E1761" s="10">
        <v>42.01</v>
      </c>
      <c r="F1761" s="11">
        <v>68043</v>
      </c>
      <c r="H1761" s="12">
        <f>(PrincipalesVariables[[#This Row],[Base monetaria]]-C1760)/C1760</f>
        <v>4.1991667108137504E-4</v>
      </c>
      <c r="I1761" s="12">
        <f>(PrincipalesVariables[[#This Row],[Dólar  mayorista]]-E1760)/E1760</f>
        <v>3.1173294059891898E-2</v>
      </c>
      <c r="J1761" s="12">
        <f>(PrincipalesVariables[[#This Row],[Reservas internacionales]]-F1760)/F1760</f>
        <v>-2.3605653627353233E-3</v>
      </c>
    </row>
    <row r="1762" spans="1:10" ht="15.75" thickBot="1" x14ac:dyDescent="0.3">
      <c r="A1762" s="14">
        <v>43549</v>
      </c>
      <c r="B1762" s="15">
        <v>43549</v>
      </c>
      <c r="C1762" s="16">
        <v>1292409</v>
      </c>
      <c r="D1762" s="10">
        <f>PrincipalesVariables[[#This Row],[Base monetaria]]/1000000</f>
        <v>1.2924089999999999</v>
      </c>
      <c r="E1762" s="10">
        <v>41.79</v>
      </c>
      <c r="F1762" s="11">
        <v>67509</v>
      </c>
      <c r="H1762" s="12">
        <f>(PrincipalesVariables[[#This Row],[Base monetaria]]-C1761)/C1761</f>
        <v>6.4495178436400763E-3</v>
      </c>
      <c r="I1762" s="12">
        <f>(PrincipalesVariables[[#This Row],[Dólar  mayorista]]-E1761)/E1761</f>
        <v>-5.2368483694358219E-3</v>
      </c>
      <c r="J1762" s="12">
        <f>(PrincipalesVariables[[#This Row],[Reservas internacionales]]-F1761)/F1761</f>
        <v>-7.847978484193819E-3</v>
      </c>
    </row>
    <row r="1763" spans="1:10" ht="15.75" thickBot="1" x14ac:dyDescent="0.3">
      <c r="A1763" s="14">
        <v>43550</v>
      </c>
      <c r="B1763" s="15">
        <v>43550</v>
      </c>
      <c r="C1763" s="16">
        <v>1315215</v>
      </c>
      <c r="D1763" s="10">
        <f>PrincipalesVariables[[#This Row],[Base monetaria]]/1000000</f>
        <v>1.315215</v>
      </c>
      <c r="E1763" s="10">
        <v>42.35</v>
      </c>
      <c r="F1763" s="11">
        <v>67183</v>
      </c>
      <c r="H1763" s="12">
        <f>(PrincipalesVariables[[#This Row],[Base monetaria]]-C1762)/C1762</f>
        <v>1.7646116670496724E-2</v>
      </c>
      <c r="I1763" s="12">
        <f>(PrincipalesVariables[[#This Row],[Dólar  mayorista]]-E1762)/E1762</f>
        <v>1.3400335008375263E-2</v>
      </c>
      <c r="J1763" s="12">
        <f>(PrincipalesVariables[[#This Row],[Reservas internacionales]]-F1762)/F1762</f>
        <v>-4.8289857648609819E-3</v>
      </c>
    </row>
    <row r="1764" spans="1:10" ht="15.75" thickBot="1" x14ac:dyDescent="0.3">
      <c r="A1764" s="14">
        <v>43551</v>
      </c>
      <c r="B1764" s="15">
        <v>43551</v>
      </c>
      <c r="C1764" s="16">
        <v>1327051</v>
      </c>
      <c r="D1764" s="10">
        <f>PrincipalesVariables[[#This Row],[Base monetaria]]/1000000</f>
        <v>1.327051</v>
      </c>
      <c r="E1764" s="10">
        <v>43.7</v>
      </c>
      <c r="F1764" s="11">
        <v>66870</v>
      </c>
      <c r="H1764" s="12">
        <f>(PrincipalesVariables[[#This Row],[Base monetaria]]-C1763)/C1763</f>
        <v>8.9992890896165266E-3</v>
      </c>
      <c r="I1764" s="12">
        <f>(PrincipalesVariables[[#This Row],[Dólar  mayorista]]-E1763)/E1763</f>
        <v>3.1877213695395548E-2</v>
      </c>
      <c r="J1764" s="12">
        <f>(PrincipalesVariables[[#This Row],[Reservas internacionales]]-F1763)/F1763</f>
        <v>-4.6589166902341363E-3</v>
      </c>
    </row>
    <row r="1765" spans="1:10" ht="15.75" thickBot="1" x14ac:dyDescent="0.3">
      <c r="A1765" s="14">
        <v>43552</v>
      </c>
      <c r="B1765" s="15">
        <v>43552</v>
      </c>
      <c r="C1765" s="16">
        <v>1331676</v>
      </c>
      <c r="D1765" s="10">
        <f>PrincipalesVariables[[#This Row],[Base monetaria]]/1000000</f>
        <v>1.3316760000000001</v>
      </c>
      <c r="E1765" s="10">
        <v>43.59</v>
      </c>
      <c r="F1765" s="11">
        <v>66414</v>
      </c>
      <c r="H1765" s="12">
        <f>(PrincipalesVariables[[#This Row],[Base monetaria]]-C1764)/C1764</f>
        <v>3.4851712556638742E-3</v>
      </c>
      <c r="I1765" s="12">
        <f>(PrincipalesVariables[[#This Row],[Dólar  mayorista]]-E1764)/E1764</f>
        <v>-2.517162471395868E-3</v>
      </c>
      <c r="J1765" s="12">
        <f>(PrincipalesVariables[[#This Row],[Reservas internacionales]]-F1764)/F1764</f>
        <v>-6.8192014356213545E-3</v>
      </c>
    </row>
    <row r="1766" spans="1:10" ht="15.75" thickBot="1" x14ac:dyDescent="0.3">
      <c r="A1766" s="14">
        <v>43553</v>
      </c>
      <c r="B1766" s="15">
        <v>43553</v>
      </c>
      <c r="C1766" s="16">
        <v>1351521</v>
      </c>
      <c r="D1766" s="10">
        <f>PrincipalesVariables[[#This Row],[Base monetaria]]/1000000</f>
        <v>1.351521</v>
      </c>
      <c r="E1766" s="10">
        <v>43.35</v>
      </c>
      <c r="F1766" s="11">
        <v>66187</v>
      </c>
      <c r="H1766" s="12">
        <f>(PrincipalesVariables[[#This Row],[Base monetaria]]-C1765)/C1765</f>
        <v>1.4902273525992809E-2</v>
      </c>
      <c r="I1766" s="12">
        <f>(PrincipalesVariables[[#This Row],[Dólar  mayorista]]-E1765)/E1765</f>
        <v>-5.5058499655884826E-3</v>
      </c>
      <c r="J1766" s="12">
        <f>(PrincipalesVariables[[#This Row],[Reservas internacionales]]-F1765)/F1765</f>
        <v>-3.4179540458337096E-3</v>
      </c>
    </row>
    <row r="1767" spans="1:10" ht="15.75" thickBot="1" x14ac:dyDescent="0.3">
      <c r="A1767" s="14">
        <v>43556</v>
      </c>
      <c r="B1767" s="15">
        <v>43556</v>
      </c>
      <c r="C1767" s="16">
        <v>1362163</v>
      </c>
      <c r="D1767" s="10">
        <f>PrincipalesVariables[[#This Row],[Base monetaria]]/1000000</f>
        <v>1.362163</v>
      </c>
      <c r="E1767" s="10">
        <v>42.82</v>
      </c>
      <c r="F1767" s="11">
        <v>66213</v>
      </c>
      <c r="H1767" s="12">
        <f>(PrincipalesVariables[[#This Row],[Base monetaria]]-C1766)/C1766</f>
        <v>7.8740914865547771E-3</v>
      </c>
      <c r="I1767" s="12">
        <f>(PrincipalesVariables[[#This Row],[Dólar  mayorista]]-E1766)/E1766</f>
        <v>-1.2226066897347201E-2</v>
      </c>
      <c r="J1767" s="12">
        <f>(PrincipalesVariables[[#This Row],[Reservas internacionales]]-F1766)/F1766</f>
        <v>3.9282638584616316E-4</v>
      </c>
    </row>
    <row r="1768" spans="1:10" ht="15.75" thickBot="1" x14ac:dyDescent="0.3">
      <c r="A1768" s="14">
        <v>43558</v>
      </c>
      <c r="B1768" s="15">
        <v>43558</v>
      </c>
      <c r="C1768" s="16">
        <v>1349648</v>
      </c>
      <c r="D1768" s="10">
        <f>PrincipalesVariables[[#This Row],[Base monetaria]]/1000000</f>
        <v>1.349648</v>
      </c>
      <c r="E1768" s="10">
        <v>42.65</v>
      </c>
      <c r="F1768" s="11">
        <v>66263</v>
      </c>
      <c r="H1768" s="12">
        <f>(PrincipalesVariables[[#This Row],[Base monetaria]]-C1767)/C1767</f>
        <v>-9.1875935552499961E-3</v>
      </c>
      <c r="I1768" s="12">
        <f>(PrincipalesVariables[[#This Row],[Dólar  mayorista]]-E1767)/E1767</f>
        <v>-3.9701074264362844E-3</v>
      </c>
      <c r="J1768" s="12">
        <f>(PrincipalesVariables[[#This Row],[Reservas internacionales]]-F1767)/F1767</f>
        <v>7.5513871898267714E-4</v>
      </c>
    </row>
    <row r="1769" spans="1:10" ht="15.75" thickBot="1" x14ac:dyDescent="0.3">
      <c r="A1769" s="14">
        <v>43559</v>
      </c>
      <c r="B1769" s="15">
        <v>43559</v>
      </c>
      <c r="C1769" s="16">
        <v>1347035</v>
      </c>
      <c r="D1769" s="10">
        <f>PrincipalesVariables[[#This Row],[Base monetaria]]/1000000</f>
        <v>1.347035</v>
      </c>
      <c r="E1769" s="10">
        <v>43.25</v>
      </c>
      <c r="F1769" s="11">
        <v>66375</v>
      </c>
      <c r="H1769" s="12">
        <f>(PrincipalesVariables[[#This Row],[Base monetaria]]-C1768)/C1768</f>
        <v>-1.9360603653693408E-3</v>
      </c>
      <c r="I1769" s="12">
        <f>(PrincipalesVariables[[#This Row],[Dólar  mayorista]]-E1768)/E1768</f>
        <v>1.4067995310668263E-2</v>
      </c>
      <c r="J1769" s="12">
        <f>(PrincipalesVariables[[#This Row],[Reservas internacionales]]-F1768)/F1768</f>
        <v>1.6902343691049303E-3</v>
      </c>
    </row>
    <row r="1770" spans="1:10" ht="15.75" thickBot="1" x14ac:dyDescent="0.3">
      <c r="A1770" s="14">
        <v>43560</v>
      </c>
      <c r="B1770" s="15">
        <v>43560</v>
      </c>
      <c r="C1770" s="16">
        <v>1318691</v>
      </c>
      <c r="D1770" s="10">
        <f>PrincipalesVariables[[#This Row],[Base monetaria]]/1000000</f>
        <v>1.3186910000000001</v>
      </c>
      <c r="E1770" s="10">
        <v>43.69</v>
      </c>
      <c r="F1770" s="11">
        <v>66623</v>
      </c>
      <c r="H1770" s="12">
        <f>(PrincipalesVariables[[#This Row],[Base monetaria]]-C1769)/C1769</f>
        <v>-2.104176951601109E-2</v>
      </c>
      <c r="I1770" s="12">
        <f>(PrincipalesVariables[[#This Row],[Dólar  mayorista]]-E1769)/E1769</f>
        <v>1.0173410404624226E-2</v>
      </c>
      <c r="J1770" s="12">
        <f>(PrincipalesVariables[[#This Row],[Reservas internacionales]]-F1769)/F1769</f>
        <v>3.7363465160075329E-3</v>
      </c>
    </row>
    <row r="1771" spans="1:10" ht="15.75" thickBot="1" x14ac:dyDescent="0.3">
      <c r="A1771" s="14">
        <v>43563</v>
      </c>
      <c r="B1771" s="15">
        <v>43563</v>
      </c>
      <c r="C1771" s="16">
        <v>1288954</v>
      </c>
      <c r="D1771" s="10">
        <f>PrincipalesVariables[[#This Row],[Base monetaria]]/1000000</f>
        <v>1.2889539999999999</v>
      </c>
      <c r="E1771" s="10">
        <v>43.8</v>
      </c>
      <c r="F1771" s="11">
        <v>66662</v>
      </c>
      <c r="H1771" s="12">
        <f>(PrincipalesVariables[[#This Row],[Base monetaria]]-C1770)/C1770</f>
        <v>-2.255039277586637E-2</v>
      </c>
      <c r="I1771" s="12">
        <f>(PrincipalesVariables[[#This Row],[Dólar  mayorista]]-E1770)/E1770</f>
        <v>2.5177386129548967E-3</v>
      </c>
      <c r="J1771" s="12">
        <f>(PrincipalesVariables[[#This Row],[Reservas internacionales]]-F1770)/F1770</f>
        <v>5.8538342614412441E-4</v>
      </c>
    </row>
    <row r="1772" spans="1:10" ht="15.75" thickBot="1" x14ac:dyDescent="0.3">
      <c r="A1772" s="14">
        <v>43564</v>
      </c>
      <c r="B1772" s="15">
        <v>43564</v>
      </c>
      <c r="C1772" s="16">
        <v>1289677</v>
      </c>
      <c r="D1772" s="10">
        <f>PrincipalesVariables[[#This Row],[Base monetaria]]/1000000</f>
        <v>1.289677</v>
      </c>
      <c r="E1772" s="10">
        <v>43.74</v>
      </c>
      <c r="F1772" s="11">
        <v>77481</v>
      </c>
      <c r="H1772" s="12">
        <f>(PrincipalesVariables[[#This Row],[Base monetaria]]-C1771)/C1771</f>
        <v>5.6091993973407897E-4</v>
      </c>
      <c r="I1772" s="12">
        <f>(PrincipalesVariables[[#This Row],[Dólar  mayorista]]-E1771)/E1771</f>
        <v>-1.36986301369852E-3</v>
      </c>
      <c r="J1772" s="12">
        <f>(PrincipalesVariables[[#This Row],[Reservas internacionales]]-F1771)/F1771</f>
        <v>0.16229636074525217</v>
      </c>
    </row>
    <row r="1773" spans="1:10" ht="15.75" thickBot="1" x14ac:dyDescent="0.3">
      <c r="A1773" s="14">
        <v>43565</v>
      </c>
      <c r="B1773" s="15">
        <v>43565</v>
      </c>
      <c r="C1773" s="16">
        <v>1293752</v>
      </c>
      <c r="D1773" s="10">
        <f>PrincipalesVariables[[#This Row],[Base monetaria]]/1000000</f>
        <v>1.293752</v>
      </c>
      <c r="E1773" s="10">
        <v>43.04</v>
      </c>
      <c r="F1773" s="11">
        <v>77334</v>
      </c>
      <c r="H1773" s="12">
        <f>(PrincipalesVariables[[#This Row],[Base monetaria]]-C1772)/C1772</f>
        <v>3.1597058798443333E-3</v>
      </c>
      <c r="I1773" s="12">
        <f>(PrincipalesVariables[[#This Row],[Dólar  mayorista]]-E1772)/E1772</f>
        <v>-1.6003657978966686E-2</v>
      </c>
      <c r="J1773" s="12">
        <f>(PrincipalesVariables[[#This Row],[Reservas internacionales]]-F1772)/F1772</f>
        <v>-1.8972393231889107E-3</v>
      </c>
    </row>
    <row r="1774" spans="1:10" ht="15.75" thickBot="1" x14ac:dyDescent="0.3">
      <c r="A1774" s="14">
        <v>43566</v>
      </c>
      <c r="B1774" s="15">
        <v>43566</v>
      </c>
      <c r="C1774" s="16">
        <v>1302051</v>
      </c>
      <c r="D1774" s="10">
        <f>PrincipalesVariables[[#This Row],[Base monetaria]]/1000000</f>
        <v>1.3020510000000001</v>
      </c>
      <c r="E1774" s="10">
        <v>42.91</v>
      </c>
      <c r="F1774" s="11">
        <v>77095</v>
      </c>
      <c r="H1774" s="12">
        <f>(PrincipalesVariables[[#This Row],[Base monetaria]]-C1773)/C1773</f>
        <v>6.4146760739307073E-3</v>
      </c>
      <c r="I1774" s="12">
        <f>(PrincipalesVariables[[#This Row],[Dólar  mayorista]]-E1773)/E1773</f>
        <v>-3.0204460966543347E-3</v>
      </c>
      <c r="J1774" s="12">
        <f>(PrincipalesVariables[[#This Row],[Reservas internacionales]]-F1773)/F1773</f>
        <v>-3.0904905992189722E-3</v>
      </c>
    </row>
    <row r="1775" spans="1:10" ht="15.75" thickBot="1" x14ac:dyDescent="0.3">
      <c r="A1775" s="14">
        <v>43567</v>
      </c>
      <c r="B1775" s="15">
        <v>43567</v>
      </c>
      <c r="C1775" s="16">
        <v>1320660</v>
      </c>
      <c r="D1775" s="10">
        <f>PrincipalesVariables[[#This Row],[Base monetaria]]/1000000</f>
        <v>1.3206599999999999</v>
      </c>
      <c r="E1775" s="10">
        <v>42.33</v>
      </c>
      <c r="F1775" s="11">
        <v>76985</v>
      </c>
      <c r="H1775" s="12">
        <f>(PrincipalesVariables[[#This Row],[Base monetaria]]-C1774)/C1774</f>
        <v>1.4292066900605275E-2</v>
      </c>
      <c r="I1775" s="12">
        <f>(PrincipalesVariables[[#This Row],[Dólar  mayorista]]-E1774)/E1774</f>
        <v>-1.3516662782568127E-2</v>
      </c>
      <c r="J1775" s="12">
        <f>(PrincipalesVariables[[#This Row],[Reservas internacionales]]-F1774)/F1774</f>
        <v>-1.4268110772423634E-3</v>
      </c>
    </row>
    <row r="1776" spans="1:10" ht="15.75" thickBot="1" x14ac:dyDescent="0.3">
      <c r="A1776" s="14">
        <v>43570</v>
      </c>
      <c r="B1776" s="15">
        <v>43570</v>
      </c>
      <c r="C1776" s="16">
        <v>1317300</v>
      </c>
      <c r="D1776" s="10">
        <f>PrincipalesVariables[[#This Row],[Base monetaria]]/1000000</f>
        <v>1.3172999999999999</v>
      </c>
      <c r="E1776" s="10">
        <v>41.56</v>
      </c>
      <c r="F1776" s="11">
        <v>76894</v>
      </c>
      <c r="H1776" s="12">
        <f>(PrincipalesVariables[[#This Row],[Base monetaria]]-C1775)/C1775</f>
        <v>-2.5441824542274316E-3</v>
      </c>
      <c r="I1776" s="12">
        <f>(PrincipalesVariables[[#This Row],[Dólar  mayorista]]-E1775)/E1775</f>
        <v>-1.8190408693597827E-2</v>
      </c>
      <c r="J1776" s="12">
        <f>(PrincipalesVariables[[#This Row],[Reservas internacionales]]-F1775)/F1775</f>
        <v>-1.1820484509969475E-3</v>
      </c>
    </row>
    <row r="1777" spans="1:10" ht="15.75" thickBot="1" x14ac:dyDescent="0.3">
      <c r="A1777" s="14">
        <v>43571</v>
      </c>
      <c r="B1777" s="15">
        <v>43571</v>
      </c>
      <c r="C1777" s="16">
        <v>1308149</v>
      </c>
      <c r="D1777" s="10">
        <f>PrincipalesVariables[[#This Row],[Base monetaria]]/1000000</f>
        <v>1.308149</v>
      </c>
      <c r="E1777" s="10">
        <v>42.11</v>
      </c>
      <c r="F1777" s="11">
        <v>76794</v>
      </c>
      <c r="H1777" s="12">
        <f>(PrincipalesVariables[[#This Row],[Base monetaria]]-C1776)/C1776</f>
        <v>-6.946785090715858E-3</v>
      </c>
      <c r="I1777" s="12">
        <f>(PrincipalesVariables[[#This Row],[Dólar  mayorista]]-E1776)/E1776</f>
        <v>1.3233878729547573E-2</v>
      </c>
      <c r="J1777" s="12">
        <f>(PrincipalesVariables[[#This Row],[Reservas internacionales]]-F1776)/F1776</f>
        <v>-1.3004915858194398E-3</v>
      </c>
    </row>
    <row r="1778" spans="1:10" ht="15.75" thickBot="1" x14ac:dyDescent="0.3">
      <c r="A1778" s="14">
        <v>43572</v>
      </c>
      <c r="B1778" s="15">
        <v>43572</v>
      </c>
      <c r="C1778" s="16">
        <v>1262097</v>
      </c>
      <c r="D1778" s="10">
        <f>PrincipalesVariables[[#This Row],[Base monetaria]]/1000000</f>
        <v>1.262097</v>
      </c>
      <c r="E1778" s="10">
        <v>41.78</v>
      </c>
      <c r="F1778" s="11">
        <v>76663</v>
      </c>
      <c r="H1778" s="12">
        <f>(PrincipalesVariables[[#This Row],[Base monetaria]]-C1777)/C1777</f>
        <v>-3.5203940835485864E-2</v>
      </c>
      <c r="I1778" s="12">
        <f>(PrincipalesVariables[[#This Row],[Dólar  mayorista]]-E1777)/E1777</f>
        <v>-7.8366183804321615E-3</v>
      </c>
      <c r="J1778" s="12">
        <f>(PrincipalesVariables[[#This Row],[Reservas internacionales]]-F1777)/F1777</f>
        <v>-1.7058624371695706E-3</v>
      </c>
    </row>
    <row r="1779" spans="1:10" ht="15.75" thickBot="1" x14ac:dyDescent="0.3">
      <c r="A1779" s="14">
        <v>43577</v>
      </c>
      <c r="B1779" s="15">
        <v>43577</v>
      </c>
      <c r="C1779" s="16">
        <v>1268387</v>
      </c>
      <c r="D1779" s="10">
        <f>PrincipalesVariables[[#This Row],[Base monetaria]]/1000000</f>
        <v>1.2683869999999999</v>
      </c>
      <c r="E1779" s="10">
        <v>42.69</v>
      </c>
      <c r="F1779" s="11">
        <v>72803</v>
      </c>
      <c r="H1779" s="12">
        <f>(PrincipalesVariables[[#This Row],[Base monetaria]]-C1778)/C1778</f>
        <v>4.9837690763863633E-3</v>
      </c>
      <c r="I1779" s="12">
        <f>(PrincipalesVariables[[#This Row],[Dólar  mayorista]]-E1778)/E1778</f>
        <v>2.1780756342747645E-2</v>
      </c>
      <c r="J1779" s="12">
        <f>(PrincipalesVariables[[#This Row],[Reservas internacionales]]-F1778)/F1778</f>
        <v>-5.0350234141632859E-2</v>
      </c>
    </row>
    <row r="1780" spans="1:10" ht="15.75" thickBot="1" x14ac:dyDescent="0.3">
      <c r="A1780" s="14">
        <v>43578</v>
      </c>
      <c r="B1780" s="15">
        <v>43578</v>
      </c>
      <c r="C1780" s="16">
        <v>1287873</v>
      </c>
      <c r="D1780" s="10">
        <f>PrincipalesVariables[[#This Row],[Base monetaria]]/1000000</f>
        <v>1.287873</v>
      </c>
      <c r="E1780" s="10">
        <v>42.38</v>
      </c>
      <c r="F1780" s="11">
        <v>72559</v>
      </c>
      <c r="H1780" s="12">
        <f>(PrincipalesVariables[[#This Row],[Base monetaria]]-C1779)/C1779</f>
        <v>1.5362819076512137E-2</v>
      </c>
      <c r="I1780" s="12">
        <f>(PrincipalesVariables[[#This Row],[Dólar  mayorista]]-E1779)/E1779</f>
        <v>-7.2616537830872616E-3</v>
      </c>
      <c r="J1780" s="12">
        <f>(PrincipalesVariables[[#This Row],[Reservas internacionales]]-F1779)/F1779</f>
        <v>-3.351510239962639E-3</v>
      </c>
    </row>
    <row r="1781" spans="1:10" ht="15.75" thickBot="1" x14ac:dyDescent="0.3">
      <c r="A1781" s="14">
        <v>43579</v>
      </c>
      <c r="B1781" s="15">
        <v>43579</v>
      </c>
      <c r="C1781" s="16">
        <v>1318021</v>
      </c>
      <c r="D1781" s="10">
        <f>PrincipalesVariables[[#This Row],[Base monetaria]]/1000000</f>
        <v>1.3180210000000001</v>
      </c>
      <c r="E1781" s="10">
        <v>43.48</v>
      </c>
      <c r="F1781" s="11">
        <v>72330</v>
      </c>
      <c r="H1781" s="12">
        <f>(PrincipalesVariables[[#This Row],[Base monetaria]]-C1780)/C1780</f>
        <v>2.3409140497549059E-2</v>
      </c>
      <c r="I1781" s="12">
        <f>(PrincipalesVariables[[#This Row],[Dólar  mayorista]]-E1780)/E1780</f>
        <v>2.5955639452571833E-2</v>
      </c>
      <c r="J1781" s="12">
        <f>(PrincipalesVariables[[#This Row],[Reservas internacionales]]-F1780)/F1780</f>
        <v>-3.156052316046252E-3</v>
      </c>
    </row>
    <row r="1782" spans="1:10" ht="15.75" thickBot="1" x14ac:dyDescent="0.3">
      <c r="A1782" s="14">
        <v>43580</v>
      </c>
      <c r="B1782" s="15">
        <v>43580</v>
      </c>
      <c r="C1782" s="16">
        <v>1353210</v>
      </c>
      <c r="D1782" s="10">
        <f>PrincipalesVariables[[#This Row],[Base monetaria]]/1000000</f>
        <v>1.35321</v>
      </c>
      <c r="E1782" s="10">
        <v>45.63</v>
      </c>
      <c r="F1782" s="11">
        <v>72087</v>
      </c>
      <c r="H1782" s="12">
        <f>(PrincipalesVariables[[#This Row],[Base monetaria]]-C1781)/C1781</f>
        <v>2.6698360648274952E-2</v>
      </c>
      <c r="I1782" s="12">
        <f>(PrincipalesVariables[[#This Row],[Dólar  mayorista]]-E1781)/E1781</f>
        <v>4.9448022079116971E-2</v>
      </c>
      <c r="J1782" s="12">
        <f>(PrincipalesVariables[[#This Row],[Reservas internacionales]]-F1781)/F1781</f>
        <v>-3.3596018249688925E-3</v>
      </c>
    </row>
    <row r="1783" spans="1:10" ht="15.75" thickBot="1" x14ac:dyDescent="0.3">
      <c r="A1783" s="14">
        <v>43581</v>
      </c>
      <c r="B1783" s="15">
        <v>43581</v>
      </c>
      <c r="C1783" s="16">
        <v>1418319</v>
      </c>
      <c r="D1783" s="10">
        <f>PrincipalesVariables[[#This Row],[Base monetaria]]/1000000</f>
        <v>1.4183190000000001</v>
      </c>
      <c r="E1783" s="10">
        <v>44.88</v>
      </c>
      <c r="F1783" s="11">
        <v>71903</v>
      </c>
      <c r="H1783" s="12">
        <f>(PrincipalesVariables[[#This Row],[Base monetaria]]-C1782)/C1782</f>
        <v>4.8114483339614697E-2</v>
      </c>
      <c r="I1783" s="12">
        <f>(PrincipalesVariables[[#This Row],[Dólar  mayorista]]-E1782)/E1782</f>
        <v>-1.6436554898093359E-2</v>
      </c>
      <c r="J1783" s="12">
        <f>(PrincipalesVariables[[#This Row],[Reservas internacionales]]-F1782)/F1782</f>
        <v>-2.5524713193779739E-3</v>
      </c>
    </row>
    <row r="1784" spans="1:10" ht="15.75" thickBot="1" x14ac:dyDescent="0.3">
      <c r="A1784" s="14">
        <v>43584</v>
      </c>
      <c r="B1784" s="15">
        <v>43584</v>
      </c>
      <c r="C1784" s="16">
        <v>1409917</v>
      </c>
      <c r="D1784" s="10">
        <f>PrincipalesVariables[[#This Row],[Base monetaria]]/1000000</f>
        <v>1.4099170000000001</v>
      </c>
      <c r="E1784" s="10">
        <v>44.67</v>
      </c>
      <c r="F1784" s="11">
        <v>71747</v>
      </c>
      <c r="H1784" s="12">
        <f>(PrincipalesVariables[[#This Row],[Base monetaria]]-C1783)/C1783</f>
        <v>-5.9239141547141371E-3</v>
      </c>
      <c r="I1784" s="12">
        <f>(PrincipalesVariables[[#This Row],[Dólar  mayorista]]-E1783)/E1783</f>
        <v>-4.6791443850267567E-3</v>
      </c>
      <c r="J1784" s="12">
        <f>(PrincipalesVariables[[#This Row],[Reservas internacionales]]-F1783)/F1783</f>
        <v>-2.1695895859699874E-3</v>
      </c>
    </row>
    <row r="1785" spans="1:10" ht="15.75" thickBot="1" x14ac:dyDescent="0.3">
      <c r="A1785" s="14">
        <v>43585</v>
      </c>
      <c r="B1785" s="15">
        <v>43585</v>
      </c>
      <c r="C1785" s="16">
        <v>1402919</v>
      </c>
      <c r="D1785" s="10">
        <f>PrincipalesVariables[[#This Row],[Base monetaria]]/1000000</f>
        <v>1.402919</v>
      </c>
      <c r="E1785" s="10">
        <v>44.01</v>
      </c>
      <c r="F1785" s="11">
        <v>71663</v>
      </c>
      <c r="H1785" s="12">
        <f>(PrincipalesVariables[[#This Row],[Base monetaria]]-C1784)/C1784</f>
        <v>-4.9634127398988735E-3</v>
      </c>
      <c r="I1785" s="12">
        <f>(PrincipalesVariables[[#This Row],[Dólar  mayorista]]-E1784)/E1784</f>
        <v>-1.4775016789791888E-2</v>
      </c>
      <c r="J1785" s="12">
        <f>(PrincipalesVariables[[#This Row],[Reservas internacionales]]-F1784)/F1784</f>
        <v>-1.170780659818529E-3</v>
      </c>
    </row>
    <row r="1786" spans="1:10" ht="15.75" thickBot="1" x14ac:dyDescent="0.3">
      <c r="A1786" s="14">
        <v>43587</v>
      </c>
      <c r="B1786" s="15">
        <v>43587</v>
      </c>
      <c r="C1786" s="16">
        <v>1397243</v>
      </c>
      <c r="D1786" s="10">
        <f>PrincipalesVariables[[#This Row],[Base monetaria]]/1000000</f>
        <v>1.397243</v>
      </c>
      <c r="E1786" s="10">
        <v>44.75</v>
      </c>
      <c r="F1786" s="11">
        <v>71529</v>
      </c>
      <c r="H1786" s="12">
        <f>(PrincipalesVariables[[#This Row],[Base monetaria]]-C1785)/C1785</f>
        <v>-4.0458501167922028E-3</v>
      </c>
      <c r="I1786" s="12">
        <f>(PrincipalesVariables[[#This Row],[Dólar  mayorista]]-E1785)/E1785</f>
        <v>1.6814360372642626E-2</v>
      </c>
      <c r="J1786" s="12">
        <f>(PrincipalesVariables[[#This Row],[Reservas internacionales]]-F1785)/F1785</f>
        <v>-1.8698631092753583E-3</v>
      </c>
    </row>
    <row r="1787" spans="1:10" ht="15.75" thickBot="1" x14ac:dyDescent="0.3">
      <c r="A1787" s="14">
        <v>43588</v>
      </c>
      <c r="B1787" s="15">
        <v>43588</v>
      </c>
      <c r="C1787" s="16">
        <v>1395528</v>
      </c>
      <c r="D1787" s="10">
        <f>PrincipalesVariables[[#This Row],[Base monetaria]]/1000000</f>
        <v>1.3955280000000001</v>
      </c>
      <c r="E1787" s="10">
        <v>44.42</v>
      </c>
      <c r="F1787" s="11">
        <v>71295</v>
      </c>
      <c r="H1787" s="12">
        <f>(PrincipalesVariables[[#This Row],[Base monetaria]]-C1786)/C1786</f>
        <v>-1.227417135029483E-3</v>
      </c>
      <c r="I1787" s="12">
        <f>(PrincipalesVariables[[#This Row],[Dólar  mayorista]]-E1786)/E1786</f>
        <v>-7.3743016759776157E-3</v>
      </c>
      <c r="J1787" s="12">
        <f>(PrincipalesVariables[[#This Row],[Reservas internacionales]]-F1786)/F1786</f>
        <v>-3.2714004110221029E-3</v>
      </c>
    </row>
    <row r="1788" spans="1:10" ht="15.75" thickBot="1" x14ac:dyDescent="0.3">
      <c r="A1788" s="14">
        <v>43591</v>
      </c>
      <c r="B1788" s="15">
        <v>43591</v>
      </c>
      <c r="C1788" s="16">
        <v>1372632</v>
      </c>
      <c r="D1788" s="10">
        <f>PrincipalesVariables[[#This Row],[Base monetaria]]/1000000</f>
        <v>1.3726320000000001</v>
      </c>
      <c r="E1788" s="10">
        <v>44.9</v>
      </c>
      <c r="F1788" s="11">
        <v>70860</v>
      </c>
      <c r="H1788" s="12">
        <f>(PrincipalesVariables[[#This Row],[Base monetaria]]-C1787)/C1787</f>
        <v>-1.6406693380569933E-2</v>
      </c>
      <c r="I1788" s="12">
        <f>(PrincipalesVariables[[#This Row],[Dólar  mayorista]]-E1787)/E1787</f>
        <v>1.0805943268797767E-2</v>
      </c>
      <c r="J1788" s="12">
        <f>(PrincipalesVariables[[#This Row],[Reservas internacionales]]-F1787)/F1787</f>
        <v>-6.1014096360193565E-3</v>
      </c>
    </row>
    <row r="1789" spans="1:10" ht="15.75" thickBot="1" x14ac:dyDescent="0.3">
      <c r="A1789" s="14">
        <v>43592</v>
      </c>
      <c r="B1789" s="15">
        <v>43592</v>
      </c>
      <c r="C1789" s="16">
        <v>1371937</v>
      </c>
      <c r="D1789" s="10">
        <f>PrincipalesVariables[[#This Row],[Base monetaria]]/1000000</f>
        <v>1.371937</v>
      </c>
      <c r="E1789" s="10">
        <v>44.9</v>
      </c>
      <c r="F1789" s="11">
        <v>68931</v>
      </c>
      <c r="H1789" s="12">
        <f>(PrincipalesVariables[[#This Row],[Base monetaria]]-C1788)/C1788</f>
        <v>-5.0632653180167732E-4</v>
      </c>
      <c r="I1789" s="12">
        <f>(PrincipalesVariables[[#This Row],[Dólar  mayorista]]-E1788)/E1788</f>
        <v>0</v>
      </c>
      <c r="J1789" s="12">
        <f>(PrincipalesVariables[[#This Row],[Reservas internacionales]]-F1788)/F1788</f>
        <v>-2.7222692633361557E-2</v>
      </c>
    </row>
    <row r="1790" spans="1:10" ht="15.75" thickBot="1" x14ac:dyDescent="0.3">
      <c r="A1790" s="14">
        <v>43593</v>
      </c>
      <c r="B1790" s="15">
        <v>43593</v>
      </c>
      <c r="C1790" s="16">
        <v>1327565</v>
      </c>
      <c r="D1790" s="10">
        <f>PrincipalesVariables[[#This Row],[Base monetaria]]/1000000</f>
        <v>1.3275650000000001</v>
      </c>
      <c r="E1790" s="10">
        <v>45.04</v>
      </c>
      <c r="F1790" s="11">
        <v>68758</v>
      </c>
      <c r="H1790" s="12">
        <f>(PrincipalesVariables[[#This Row],[Base monetaria]]-C1789)/C1789</f>
        <v>-3.2342592990786019E-2</v>
      </c>
      <c r="I1790" s="12">
        <f>(PrincipalesVariables[[#This Row],[Dólar  mayorista]]-E1789)/E1789</f>
        <v>3.1180400890868723E-3</v>
      </c>
      <c r="J1790" s="12">
        <f>(PrincipalesVariables[[#This Row],[Reservas internacionales]]-F1789)/F1789</f>
        <v>-2.5097561329445388E-3</v>
      </c>
    </row>
    <row r="1791" spans="1:10" ht="15.75" thickBot="1" x14ac:dyDescent="0.3">
      <c r="A1791" s="14">
        <v>43594</v>
      </c>
      <c r="B1791" s="15">
        <v>43594</v>
      </c>
      <c r="C1791" s="16">
        <v>1304673</v>
      </c>
      <c r="D1791" s="10">
        <f>PrincipalesVariables[[#This Row],[Base monetaria]]/1000000</f>
        <v>1.304673</v>
      </c>
      <c r="E1791" s="10">
        <v>45.57</v>
      </c>
      <c r="F1791" s="11">
        <v>68431</v>
      </c>
      <c r="H1791" s="12">
        <f>(PrincipalesVariables[[#This Row],[Base monetaria]]-C1790)/C1790</f>
        <v>-1.7243600125040958E-2</v>
      </c>
      <c r="I1791" s="12">
        <f>(PrincipalesVariables[[#This Row],[Dólar  mayorista]]-E1790)/E1790</f>
        <v>1.1767317939609261E-2</v>
      </c>
      <c r="J1791" s="12">
        <f>(PrincipalesVariables[[#This Row],[Reservas internacionales]]-F1790)/F1790</f>
        <v>-4.7558102329910701E-3</v>
      </c>
    </row>
    <row r="1792" spans="1:10" ht="15.75" thickBot="1" x14ac:dyDescent="0.3">
      <c r="A1792" s="14">
        <v>43595</v>
      </c>
      <c r="B1792" s="15">
        <v>43595</v>
      </c>
      <c r="C1792" s="16">
        <v>1287408</v>
      </c>
      <c r="D1792" s="10">
        <f>PrincipalesVariables[[#This Row],[Base monetaria]]/1000000</f>
        <v>1.2874080000000001</v>
      </c>
      <c r="E1792" s="10">
        <v>44.98</v>
      </c>
      <c r="F1792" s="11">
        <v>68114</v>
      </c>
      <c r="H1792" s="12">
        <f>(PrincipalesVariables[[#This Row],[Base monetaria]]-C1791)/C1791</f>
        <v>-1.3233200962999923E-2</v>
      </c>
      <c r="I1792" s="12">
        <f>(PrincipalesVariables[[#This Row],[Dólar  mayorista]]-E1791)/E1791</f>
        <v>-1.2947114329602884E-2</v>
      </c>
      <c r="J1792" s="12">
        <f>(PrincipalesVariables[[#This Row],[Reservas internacionales]]-F1791)/F1791</f>
        <v>-4.6324034428840734E-3</v>
      </c>
    </row>
    <row r="1793" spans="1:10" ht="15.75" thickBot="1" x14ac:dyDescent="0.3">
      <c r="A1793" s="14">
        <v>43598</v>
      </c>
      <c r="B1793" s="15">
        <v>43598</v>
      </c>
      <c r="C1793" s="16">
        <v>1309257</v>
      </c>
      <c r="D1793" s="10">
        <f>PrincipalesVariables[[#This Row],[Base monetaria]]/1000000</f>
        <v>1.3092569999999999</v>
      </c>
      <c r="E1793" s="10">
        <v>45.41</v>
      </c>
      <c r="F1793" s="11">
        <v>67800</v>
      </c>
      <c r="H1793" s="12">
        <f>(PrincipalesVariables[[#This Row],[Base monetaria]]-C1792)/C1792</f>
        <v>1.697130979456396E-2</v>
      </c>
      <c r="I1793" s="12">
        <f>(PrincipalesVariables[[#This Row],[Dólar  mayorista]]-E1792)/E1792</f>
        <v>9.5598043574922128E-3</v>
      </c>
      <c r="J1793" s="12">
        <f>(PrincipalesVariables[[#This Row],[Reservas internacionales]]-F1792)/F1792</f>
        <v>-4.6099186657662158E-3</v>
      </c>
    </row>
    <row r="1794" spans="1:10" ht="15.75" thickBot="1" x14ac:dyDescent="0.3">
      <c r="A1794" s="14">
        <v>43599</v>
      </c>
      <c r="B1794" s="15">
        <v>43599</v>
      </c>
      <c r="C1794" s="16">
        <v>1332829</v>
      </c>
      <c r="D1794" s="10">
        <f>PrincipalesVariables[[#This Row],[Base monetaria]]/1000000</f>
        <v>1.332829</v>
      </c>
      <c r="E1794" s="10">
        <v>44.99</v>
      </c>
      <c r="F1794" s="11">
        <v>67461</v>
      </c>
      <c r="H1794" s="12">
        <f>(PrincipalesVariables[[#This Row],[Base monetaria]]-C1793)/C1793</f>
        <v>1.8004104618115465E-2</v>
      </c>
      <c r="I1794" s="12">
        <f>(PrincipalesVariables[[#This Row],[Dólar  mayorista]]-E1793)/E1793</f>
        <v>-9.2490640828010277E-3</v>
      </c>
      <c r="J1794" s="12">
        <f>(PrincipalesVariables[[#This Row],[Reservas internacionales]]-F1793)/F1793</f>
        <v>-5.0000000000000001E-3</v>
      </c>
    </row>
    <row r="1795" spans="1:10" ht="15.75" thickBot="1" x14ac:dyDescent="0.3">
      <c r="A1795" s="14">
        <v>43600</v>
      </c>
      <c r="B1795" s="15">
        <v>43600</v>
      </c>
      <c r="C1795" s="16">
        <v>1349525</v>
      </c>
      <c r="D1795" s="10">
        <f>PrincipalesVariables[[#This Row],[Base monetaria]]/1000000</f>
        <v>1.3495250000000001</v>
      </c>
      <c r="E1795" s="10">
        <v>45.15</v>
      </c>
      <c r="F1795" s="11">
        <v>67306</v>
      </c>
      <c r="H1795" s="12">
        <f>(PrincipalesVariables[[#This Row],[Base monetaria]]-C1794)/C1794</f>
        <v>1.2526738238738802E-2</v>
      </c>
      <c r="I1795" s="12">
        <f>(PrincipalesVariables[[#This Row],[Dólar  mayorista]]-E1794)/E1794</f>
        <v>3.5563458546342872E-3</v>
      </c>
      <c r="J1795" s="12">
        <f>(PrincipalesVariables[[#This Row],[Reservas internacionales]]-F1794)/F1794</f>
        <v>-2.2976238122767228E-3</v>
      </c>
    </row>
    <row r="1796" spans="1:10" ht="15.75" thickBot="1" x14ac:dyDescent="0.3">
      <c r="A1796" s="14">
        <v>43601</v>
      </c>
      <c r="B1796" s="15">
        <v>43601</v>
      </c>
      <c r="C1796" s="16">
        <v>1347129</v>
      </c>
      <c r="D1796" s="10">
        <f>PrincipalesVariables[[#This Row],[Base monetaria]]/1000000</f>
        <v>1.347129</v>
      </c>
      <c r="E1796" s="10">
        <v>44.86</v>
      </c>
      <c r="F1796" s="11">
        <v>67244</v>
      </c>
      <c r="H1796" s="12">
        <f>(PrincipalesVariables[[#This Row],[Base monetaria]]-C1795)/C1795</f>
        <v>-1.7754395064930252E-3</v>
      </c>
      <c r="I1796" s="12">
        <f>(PrincipalesVariables[[#This Row],[Dólar  mayorista]]-E1795)/E1795</f>
        <v>-6.4230343300110551E-3</v>
      </c>
      <c r="J1796" s="12">
        <f>(PrincipalesVariables[[#This Row],[Reservas internacionales]]-F1795)/F1795</f>
        <v>-9.2116601788844979E-4</v>
      </c>
    </row>
    <row r="1797" spans="1:10" ht="15.75" thickBot="1" x14ac:dyDescent="0.3">
      <c r="A1797" s="14">
        <v>43602</v>
      </c>
      <c r="B1797" s="15">
        <v>43602</v>
      </c>
      <c r="C1797" s="16">
        <v>1351141</v>
      </c>
      <c r="D1797" s="10">
        <f>PrincipalesVariables[[#This Row],[Base monetaria]]/1000000</f>
        <v>1.3511409999999999</v>
      </c>
      <c r="E1797" s="10">
        <v>45.02</v>
      </c>
      <c r="F1797" s="11">
        <v>66998</v>
      </c>
      <c r="H1797" s="12">
        <f>(PrincipalesVariables[[#This Row],[Base monetaria]]-C1796)/C1796</f>
        <v>2.9781854595959259E-3</v>
      </c>
      <c r="I1797" s="12">
        <f>(PrincipalesVariables[[#This Row],[Dólar  mayorista]]-E1796)/E1796</f>
        <v>3.5666518056175589E-3</v>
      </c>
      <c r="J1797" s="12">
        <f>(PrincipalesVariables[[#This Row],[Reservas internacionales]]-F1796)/F1796</f>
        <v>-3.6583189578252334E-3</v>
      </c>
    </row>
    <row r="1798" spans="1:10" ht="15.75" thickBot="1" x14ac:dyDescent="0.3">
      <c r="A1798" s="14">
        <v>43605</v>
      </c>
      <c r="B1798" s="15">
        <v>43605</v>
      </c>
      <c r="C1798" s="16">
        <v>1338266</v>
      </c>
      <c r="D1798" s="10">
        <f>PrincipalesVariables[[#This Row],[Base monetaria]]/1000000</f>
        <v>1.338266</v>
      </c>
      <c r="E1798" s="10">
        <v>45.32</v>
      </c>
      <c r="F1798" s="11">
        <v>67063</v>
      </c>
      <c r="H1798" s="12">
        <f>(PrincipalesVariables[[#This Row],[Base monetaria]]-C1797)/C1797</f>
        <v>-9.5289832815376035E-3</v>
      </c>
      <c r="I1798" s="12">
        <f>(PrincipalesVariables[[#This Row],[Dólar  mayorista]]-E1797)/E1797</f>
        <v>6.6637050199910512E-3</v>
      </c>
      <c r="J1798" s="12">
        <f>(PrincipalesVariables[[#This Row],[Reservas internacionales]]-F1797)/F1797</f>
        <v>9.7017821427505303E-4</v>
      </c>
    </row>
    <row r="1799" spans="1:10" ht="15.75" thickBot="1" x14ac:dyDescent="0.3">
      <c r="A1799" s="14">
        <v>43606</v>
      </c>
      <c r="B1799" s="15">
        <v>43606</v>
      </c>
      <c r="C1799" s="16">
        <v>1320460</v>
      </c>
      <c r="D1799" s="10">
        <f>PrincipalesVariables[[#This Row],[Base monetaria]]/1000000</f>
        <v>1.32046</v>
      </c>
      <c r="E1799" s="10">
        <v>44.82</v>
      </c>
      <c r="F1799" s="11">
        <v>67103</v>
      </c>
      <c r="H1799" s="12">
        <f>(PrincipalesVariables[[#This Row],[Base monetaria]]-C1798)/C1798</f>
        <v>-1.3305277127267673E-2</v>
      </c>
      <c r="I1799" s="12">
        <f>(PrincipalesVariables[[#This Row],[Dólar  mayorista]]-E1798)/E1798</f>
        <v>-1.1032656663724626E-2</v>
      </c>
      <c r="J1799" s="12">
        <f>(PrincipalesVariables[[#This Row],[Reservas internacionales]]-F1798)/F1798</f>
        <v>5.9645408049147813E-4</v>
      </c>
    </row>
    <row r="1800" spans="1:10" ht="15.75" thickBot="1" x14ac:dyDescent="0.3">
      <c r="A1800" s="14">
        <v>43607</v>
      </c>
      <c r="B1800" s="15">
        <v>43607</v>
      </c>
      <c r="C1800" s="16">
        <v>1331772</v>
      </c>
      <c r="D1800" s="10">
        <f>PrincipalesVariables[[#This Row],[Base monetaria]]/1000000</f>
        <v>1.331772</v>
      </c>
      <c r="E1800" s="10">
        <v>44.72</v>
      </c>
      <c r="F1800" s="11">
        <v>67071</v>
      </c>
      <c r="H1800" s="12">
        <f>(PrincipalesVariables[[#This Row],[Base monetaria]]-C1799)/C1799</f>
        <v>8.5667116005028552E-3</v>
      </c>
      <c r="I1800" s="12">
        <f>(PrincipalesVariables[[#This Row],[Dólar  mayorista]]-E1799)/E1799</f>
        <v>-2.2311468094600943E-3</v>
      </c>
      <c r="J1800" s="12">
        <f>(PrincipalesVariables[[#This Row],[Reservas internacionales]]-F1799)/F1799</f>
        <v>-4.7687882807028001E-4</v>
      </c>
    </row>
    <row r="1801" spans="1:10" ht="15.75" thickBot="1" x14ac:dyDescent="0.3">
      <c r="A1801" s="14">
        <v>43608</v>
      </c>
      <c r="B1801" s="15">
        <v>43608</v>
      </c>
      <c r="C1801" s="16">
        <v>1345172</v>
      </c>
      <c r="D1801" s="10">
        <f>PrincipalesVariables[[#This Row],[Base monetaria]]/1000000</f>
        <v>1.345172</v>
      </c>
      <c r="E1801" s="10">
        <v>45.15</v>
      </c>
      <c r="F1801" s="11">
        <v>66491</v>
      </c>
      <c r="H1801" s="12">
        <f>(PrincipalesVariables[[#This Row],[Base monetaria]]-C1800)/C1800</f>
        <v>1.0061782347128487E-2</v>
      </c>
      <c r="I1801" s="12">
        <f>(PrincipalesVariables[[#This Row],[Dólar  mayorista]]-E1800)/E1800</f>
        <v>9.615384615384609E-3</v>
      </c>
      <c r="J1801" s="12">
        <f>(PrincipalesVariables[[#This Row],[Reservas internacionales]]-F1800)/F1800</f>
        <v>-8.6475525935202999E-3</v>
      </c>
    </row>
    <row r="1802" spans="1:10" ht="15.75" thickBot="1" x14ac:dyDescent="0.3">
      <c r="A1802" s="14">
        <v>43609</v>
      </c>
      <c r="B1802" s="15">
        <v>43609</v>
      </c>
      <c r="C1802" s="16">
        <v>1314985</v>
      </c>
      <c r="D1802" s="10">
        <f>PrincipalesVariables[[#This Row],[Base monetaria]]/1000000</f>
        <v>1.3149850000000001</v>
      </c>
      <c r="E1802" s="10">
        <v>44.96</v>
      </c>
      <c r="F1802" s="11">
        <v>65598</v>
      </c>
      <c r="H1802" s="12">
        <f>(PrincipalesVariables[[#This Row],[Base monetaria]]-C1801)/C1801</f>
        <v>-2.2440996393026318E-2</v>
      </c>
      <c r="I1802" s="12">
        <f>(PrincipalesVariables[[#This Row],[Dólar  mayorista]]-E1801)/E1801</f>
        <v>-4.2081949058692739E-3</v>
      </c>
      <c r="J1802" s="12">
        <f>(PrincipalesVariables[[#This Row],[Reservas internacionales]]-F1801)/F1801</f>
        <v>-1.3430389075213187E-2</v>
      </c>
    </row>
    <row r="1803" spans="1:10" ht="15.75" thickBot="1" x14ac:dyDescent="0.3">
      <c r="A1803" s="14">
        <v>43612</v>
      </c>
      <c r="B1803" s="15">
        <v>43612</v>
      </c>
      <c r="C1803" s="16">
        <v>1333708</v>
      </c>
      <c r="D1803" s="10">
        <f>PrincipalesVariables[[#This Row],[Base monetaria]]/1000000</f>
        <v>1.3337079999999999</v>
      </c>
      <c r="E1803" s="10">
        <v>44.98</v>
      </c>
      <c r="F1803" s="11">
        <v>65581</v>
      </c>
      <c r="H1803" s="12">
        <f>(PrincipalesVariables[[#This Row],[Base monetaria]]-C1802)/C1802</f>
        <v>1.423818522644745E-2</v>
      </c>
      <c r="I1803" s="12">
        <f>(PrincipalesVariables[[#This Row],[Dólar  mayorista]]-E1802)/E1802</f>
        <v>4.4483985765115706E-4</v>
      </c>
      <c r="J1803" s="12">
        <f>(PrincipalesVariables[[#This Row],[Reservas internacionales]]-F1802)/F1802</f>
        <v>-2.591542425073935E-4</v>
      </c>
    </row>
    <row r="1804" spans="1:10" ht="15.75" thickBot="1" x14ac:dyDescent="0.3">
      <c r="A1804" s="14">
        <v>43613</v>
      </c>
      <c r="B1804" s="15">
        <v>43613</v>
      </c>
      <c r="C1804" s="16">
        <v>1341420</v>
      </c>
      <c r="D1804" s="10">
        <f>PrincipalesVariables[[#This Row],[Base monetaria]]/1000000</f>
        <v>1.3414200000000001</v>
      </c>
      <c r="E1804" s="10">
        <v>44.79</v>
      </c>
      <c r="F1804" s="11">
        <v>65219</v>
      </c>
      <c r="H1804" s="12">
        <f>(PrincipalesVariables[[#This Row],[Base monetaria]]-C1803)/C1803</f>
        <v>5.7823751525821242E-3</v>
      </c>
      <c r="I1804" s="12">
        <f>(PrincipalesVariables[[#This Row],[Dólar  mayorista]]-E1803)/E1803</f>
        <v>-4.2240995998220933E-3</v>
      </c>
      <c r="J1804" s="12">
        <f>(PrincipalesVariables[[#This Row],[Reservas internacionales]]-F1803)/F1803</f>
        <v>-5.5198914319696257E-3</v>
      </c>
    </row>
    <row r="1805" spans="1:10" ht="15.75" thickBot="1" x14ac:dyDescent="0.3">
      <c r="A1805" s="14">
        <v>43614</v>
      </c>
      <c r="B1805" s="15">
        <v>43614</v>
      </c>
      <c r="C1805" s="16">
        <v>1345789</v>
      </c>
      <c r="D1805" s="10">
        <f>PrincipalesVariables[[#This Row],[Base monetaria]]/1000000</f>
        <v>1.3457889999999999</v>
      </c>
      <c r="E1805" s="10">
        <v>44.5</v>
      </c>
      <c r="F1805" s="11">
        <v>64681</v>
      </c>
      <c r="H1805" s="12">
        <f>(PrincipalesVariables[[#This Row],[Base monetaria]]-C1804)/C1804</f>
        <v>3.256996317335361E-3</v>
      </c>
      <c r="I1805" s="12">
        <f>(PrincipalesVariables[[#This Row],[Dólar  mayorista]]-E1804)/E1804</f>
        <v>-6.4746595222147608E-3</v>
      </c>
      <c r="J1805" s="12">
        <f>(PrincipalesVariables[[#This Row],[Reservas internacionales]]-F1804)/F1804</f>
        <v>-8.2491298547969147E-3</v>
      </c>
    </row>
    <row r="1806" spans="1:10" ht="15.75" thickBot="1" x14ac:dyDescent="0.3">
      <c r="A1806" s="14">
        <v>43615</v>
      </c>
      <c r="B1806" s="15">
        <v>43615</v>
      </c>
      <c r="C1806" s="16">
        <v>1345859</v>
      </c>
      <c r="D1806" s="10">
        <f>PrincipalesVariables[[#This Row],[Base monetaria]]/1000000</f>
        <v>1.3458589999999999</v>
      </c>
      <c r="E1806" s="10">
        <v>44.45</v>
      </c>
      <c r="F1806" s="11">
        <v>64744</v>
      </c>
      <c r="H1806" s="12">
        <f>(PrincipalesVariables[[#This Row],[Base monetaria]]-C1805)/C1805</f>
        <v>5.2014097306487121E-5</v>
      </c>
      <c r="I1806" s="12">
        <f>(PrincipalesVariables[[#This Row],[Dólar  mayorista]]-E1805)/E1805</f>
        <v>-1.1235955056179137E-3</v>
      </c>
      <c r="J1806" s="12">
        <f>(PrincipalesVariables[[#This Row],[Reservas internacionales]]-F1805)/F1805</f>
        <v>9.7401091510644546E-4</v>
      </c>
    </row>
    <row r="1807" spans="1:10" ht="15.75" thickBot="1" x14ac:dyDescent="0.3">
      <c r="A1807" s="14">
        <v>43616</v>
      </c>
      <c r="B1807" s="15">
        <v>43616</v>
      </c>
      <c r="C1807" s="16">
        <v>1356452</v>
      </c>
      <c r="D1807" s="10">
        <f>PrincipalesVariables[[#This Row],[Base monetaria]]/1000000</f>
        <v>1.356452</v>
      </c>
      <c r="E1807" s="10">
        <v>44.87</v>
      </c>
      <c r="F1807" s="11">
        <v>64779</v>
      </c>
      <c r="H1807" s="12">
        <f>(PrincipalesVariables[[#This Row],[Base monetaria]]-C1806)/C1806</f>
        <v>7.870809646478568E-3</v>
      </c>
      <c r="I1807" s="12">
        <f>(PrincipalesVariables[[#This Row],[Dólar  mayorista]]-E1806)/E1806</f>
        <v>9.4488188976376737E-3</v>
      </c>
      <c r="J1807" s="12">
        <f>(PrincipalesVariables[[#This Row],[Reservas internacionales]]-F1806)/F1806</f>
        <v>5.405906338811318E-4</v>
      </c>
    </row>
    <row r="1808" spans="1:10" ht="15.75" thickBot="1" x14ac:dyDescent="0.3">
      <c r="A1808" s="14">
        <v>43619</v>
      </c>
      <c r="B1808" s="15">
        <v>43619</v>
      </c>
      <c r="C1808" s="16">
        <v>1405000</v>
      </c>
      <c r="D1808" s="10">
        <f>PrincipalesVariables[[#This Row],[Base monetaria]]/1000000</f>
        <v>1.405</v>
      </c>
      <c r="E1808" s="10">
        <v>44.87</v>
      </c>
      <c r="F1808" s="11">
        <v>64782</v>
      </c>
      <c r="H1808" s="12">
        <f>(PrincipalesVariables[[#This Row],[Base monetaria]]-C1807)/C1807</f>
        <v>3.5790429738759649E-2</v>
      </c>
      <c r="I1808" s="12">
        <f>(PrincipalesVariables[[#This Row],[Dólar  mayorista]]-E1807)/E1807</f>
        <v>0</v>
      </c>
      <c r="J1808" s="12">
        <f>(PrincipalesVariables[[#This Row],[Reservas internacionales]]-F1807)/F1807</f>
        <v>4.6311304589450285E-5</v>
      </c>
    </row>
    <row r="1809" spans="1:10" ht="15.75" thickBot="1" x14ac:dyDescent="0.3">
      <c r="A1809" s="14">
        <v>43620</v>
      </c>
      <c r="B1809" s="15">
        <v>43620</v>
      </c>
      <c r="C1809" s="16">
        <v>1390802</v>
      </c>
      <c r="D1809" s="10">
        <f>PrincipalesVariables[[#This Row],[Base monetaria]]/1000000</f>
        <v>1.3908020000000001</v>
      </c>
      <c r="E1809" s="10">
        <v>44.76</v>
      </c>
      <c r="F1809" s="11">
        <v>64751</v>
      </c>
      <c r="H1809" s="12">
        <f>(PrincipalesVariables[[#This Row],[Base monetaria]]-C1808)/C1808</f>
        <v>-1.0105338078291814E-2</v>
      </c>
      <c r="I1809" s="12">
        <f>(PrincipalesVariables[[#This Row],[Dólar  mayorista]]-E1808)/E1808</f>
        <v>-2.4515266324938588E-3</v>
      </c>
      <c r="J1809" s="12">
        <f>(PrincipalesVariables[[#This Row],[Reservas internacionales]]-F1808)/F1808</f>
        <v>-4.7852798616899756E-4</v>
      </c>
    </row>
    <row r="1810" spans="1:10" ht="15.75" thickBot="1" x14ac:dyDescent="0.3">
      <c r="A1810" s="14">
        <v>43621</v>
      </c>
      <c r="B1810" s="15">
        <v>43621</v>
      </c>
      <c r="C1810" s="16">
        <v>1348276</v>
      </c>
      <c r="D1810" s="10">
        <f>PrincipalesVariables[[#This Row],[Base monetaria]]/1000000</f>
        <v>1.348276</v>
      </c>
      <c r="E1810" s="10">
        <v>44.8</v>
      </c>
      <c r="F1810" s="11">
        <v>64661</v>
      </c>
      <c r="H1810" s="12">
        <f>(PrincipalesVariables[[#This Row],[Base monetaria]]-C1809)/C1809</f>
        <v>-3.0576602564563467E-2</v>
      </c>
      <c r="I1810" s="12">
        <f>(PrincipalesVariables[[#This Row],[Dólar  mayorista]]-E1809)/E1809</f>
        <v>8.9365504915100871E-4</v>
      </c>
      <c r="J1810" s="12">
        <f>(PrincipalesVariables[[#This Row],[Reservas internacionales]]-F1809)/F1809</f>
        <v>-1.389939923707742E-3</v>
      </c>
    </row>
    <row r="1811" spans="1:10" ht="15.75" thickBot="1" x14ac:dyDescent="0.3">
      <c r="A1811" s="14">
        <v>43622</v>
      </c>
      <c r="B1811" s="15">
        <v>43622</v>
      </c>
      <c r="C1811" s="16">
        <v>1286790</v>
      </c>
      <c r="D1811" s="10">
        <f>PrincipalesVariables[[#This Row],[Base monetaria]]/1000000</f>
        <v>1.2867900000000001</v>
      </c>
      <c r="E1811" s="10">
        <v>44.98</v>
      </c>
      <c r="F1811" s="11">
        <v>64660</v>
      </c>
      <c r="H1811" s="12">
        <f>(PrincipalesVariables[[#This Row],[Base monetaria]]-C1810)/C1810</f>
        <v>-4.5603422444662665E-2</v>
      </c>
      <c r="I1811" s="12">
        <f>(PrincipalesVariables[[#This Row],[Dólar  mayorista]]-E1810)/E1810</f>
        <v>4.0178571428571364E-3</v>
      </c>
      <c r="J1811" s="12">
        <f>(PrincipalesVariables[[#This Row],[Reservas internacionales]]-F1810)/F1810</f>
        <v>-1.5465272730084595E-5</v>
      </c>
    </row>
    <row r="1812" spans="1:10" ht="15.75" thickBot="1" x14ac:dyDescent="0.3">
      <c r="A1812" s="14">
        <v>43623</v>
      </c>
      <c r="B1812" s="15">
        <v>43623</v>
      </c>
      <c r="C1812" s="16">
        <v>1295067</v>
      </c>
      <c r="D1812" s="10">
        <f>PrincipalesVariables[[#This Row],[Base monetaria]]/1000000</f>
        <v>1.295067</v>
      </c>
      <c r="E1812" s="10">
        <v>44.88</v>
      </c>
      <c r="F1812" s="11">
        <v>64757</v>
      </c>
      <c r="H1812" s="12">
        <f>(PrincipalesVariables[[#This Row],[Base monetaria]]-C1811)/C1811</f>
        <v>6.432284988226517E-3</v>
      </c>
      <c r="I1812" s="12">
        <f>(PrincipalesVariables[[#This Row],[Dólar  mayorista]]-E1811)/E1811</f>
        <v>-2.2232103156957384E-3</v>
      </c>
      <c r="J1812" s="12">
        <f>(PrincipalesVariables[[#This Row],[Reservas internacionales]]-F1811)/F1811</f>
        <v>1.5001546551190845E-3</v>
      </c>
    </row>
    <row r="1813" spans="1:10" ht="15.75" thickBot="1" x14ac:dyDescent="0.3">
      <c r="A1813" s="14">
        <v>43626</v>
      </c>
      <c r="B1813" s="15">
        <v>43626</v>
      </c>
      <c r="C1813" s="16">
        <v>1300223</v>
      </c>
      <c r="D1813" s="10">
        <f>PrincipalesVariables[[#This Row],[Base monetaria]]/1000000</f>
        <v>1.3002229999999999</v>
      </c>
      <c r="E1813" s="10">
        <v>44.97</v>
      </c>
      <c r="F1813" s="11">
        <v>64699</v>
      </c>
      <c r="H1813" s="12">
        <f>(PrincipalesVariables[[#This Row],[Base monetaria]]-C1812)/C1812</f>
        <v>3.9812612011579322E-3</v>
      </c>
      <c r="I1813" s="12">
        <f>(PrincipalesVariables[[#This Row],[Dólar  mayorista]]-E1812)/E1812</f>
        <v>2.0053475935828051E-3</v>
      </c>
      <c r="J1813" s="12">
        <f>(PrincipalesVariables[[#This Row],[Reservas internacionales]]-F1812)/F1812</f>
        <v>-8.9565606806986115E-4</v>
      </c>
    </row>
    <row r="1814" spans="1:10" ht="15.75" thickBot="1" x14ac:dyDescent="0.3">
      <c r="A1814" s="14">
        <v>43627</v>
      </c>
      <c r="B1814" s="15">
        <v>43627</v>
      </c>
      <c r="C1814" s="16">
        <v>1302666</v>
      </c>
      <c r="D1814" s="10">
        <f>PrincipalesVariables[[#This Row],[Base monetaria]]/1000000</f>
        <v>1.3026660000000001</v>
      </c>
      <c r="E1814" s="10">
        <v>44.74</v>
      </c>
      <c r="F1814" s="11">
        <v>64764</v>
      </c>
      <c r="H1814" s="12">
        <f>(PrincipalesVariables[[#This Row],[Base monetaria]]-C1813)/C1813</f>
        <v>1.8789084641634549E-3</v>
      </c>
      <c r="I1814" s="12">
        <f>(PrincipalesVariables[[#This Row],[Dólar  mayorista]]-E1813)/E1813</f>
        <v>-5.1145207916388014E-3</v>
      </c>
      <c r="J1814" s="12">
        <f>(PrincipalesVariables[[#This Row],[Reservas internacionales]]-F1813)/F1813</f>
        <v>1.0046523130187483E-3</v>
      </c>
    </row>
    <row r="1815" spans="1:10" ht="15.75" thickBot="1" x14ac:dyDescent="0.3">
      <c r="A1815" s="14">
        <v>43628</v>
      </c>
      <c r="B1815" s="15">
        <v>43628</v>
      </c>
      <c r="C1815" s="16">
        <v>1324750</v>
      </c>
      <c r="D1815" s="10">
        <f>PrincipalesVariables[[#This Row],[Base monetaria]]/1000000</f>
        <v>1.3247500000000001</v>
      </c>
      <c r="E1815" s="10">
        <v>43.75</v>
      </c>
      <c r="F1815" s="11">
        <v>64676</v>
      </c>
      <c r="H1815" s="12">
        <f>(PrincipalesVariables[[#This Row],[Base monetaria]]-C1814)/C1814</f>
        <v>1.6952925769153412E-2</v>
      </c>
      <c r="I1815" s="12">
        <f>(PrincipalesVariables[[#This Row],[Dólar  mayorista]]-E1814)/E1814</f>
        <v>-2.2127849798837772E-2</v>
      </c>
      <c r="J1815" s="12">
        <f>(PrincipalesVariables[[#This Row],[Reservas internacionales]]-F1814)/F1814</f>
        <v>-1.3587795688963004E-3</v>
      </c>
    </row>
    <row r="1816" spans="1:10" ht="15.75" thickBot="1" x14ac:dyDescent="0.3">
      <c r="A1816" s="14">
        <v>43629</v>
      </c>
      <c r="B1816" s="15">
        <v>43629</v>
      </c>
      <c r="C1816" s="16">
        <v>1319808</v>
      </c>
      <c r="D1816" s="10">
        <f>PrincipalesVariables[[#This Row],[Base monetaria]]/1000000</f>
        <v>1.3198080000000001</v>
      </c>
      <c r="E1816" s="10">
        <v>43.59</v>
      </c>
      <c r="F1816" s="11">
        <v>63781</v>
      </c>
      <c r="H1816" s="12">
        <f>(PrincipalesVariables[[#This Row],[Base monetaria]]-C1815)/C1815</f>
        <v>-3.7305151915455748E-3</v>
      </c>
      <c r="I1816" s="12">
        <f>(PrincipalesVariables[[#This Row],[Dólar  mayorista]]-E1815)/E1815</f>
        <v>-3.657142857142779E-3</v>
      </c>
      <c r="J1816" s="12">
        <f>(PrincipalesVariables[[#This Row],[Reservas internacionales]]-F1815)/F1815</f>
        <v>-1.3838208918300451E-2</v>
      </c>
    </row>
    <row r="1817" spans="1:10" ht="15.75" thickBot="1" x14ac:dyDescent="0.3">
      <c r="A1817" s="14">
        <v>43630</v>
      </c>
      <c r="B1817" s="15">
        <v>43630</v>
      </c>
      <c r="C1817" s="16">
        <v>1322922</v>
      </c>
      <c r="D1817" s="10">
        <f>PrincipalesVariables[[#This Row],[Base monetaria]]/1000000</f>
        <v>1.3229219999999999</v>
      </c>
      <c r="E1817" s="10">
        <v>43.87</v>
      </c>
      <c r="F1817" s="11">
        <v>63782</v>
      </c>
      <c r="H1817" s="12">
        <f>(PrincipalesVariables[[#This Row],[Base monetaria]]-C1816)/C1816</f>
        <v>2.3594340995053828E-3</v>
      </c>
      <c r="I1817" s="12">
        <f>(PrincipalesVariables[[#This Row],[Dólar  mayorista]]-E1816)/E1816</f>
        <v>6.4234916265197067E-3</v>
      </c>
      <c r="J1817" s="12">
        <f>(PrincipalesVariables[[#This Row],[Reservas internacionales]]-F1816)/F1816</f>
        <v>1.5678650381775137E-5</v>
      </c>
    </row>
    <row r="1818" spans="1:10" ht="15.75" thickBot="1" x14ac:dyDescent="0.3">
      <c r="A1818" s="14">
        <v>43634</v>
      </c>
      <c r="B1818" s="15">
        <v>43634</v>
      </c>
      <c r="C1818" s="16">
        <v>1342413</v>
      </c>
      <c r="D1818" s="10">
        <f>PrincipalesVariables[[#This Row],[Base monetaria]]/1000000</f>
        <v>1.3424130000000001</v>
      </c>
      <c r="E1818" s="10">
        <v>43.66</v>
      </c>
      <c r="F1818" s="11">
        <v>63981</v>
      </c>
      <c r="H1818" s="12">
        <f>(PrincipalesVariables[[#This Row],[Base monetaria]]-C1817)/C1817</f>
        <v>1.4733294933488142E-2</v>
      </c>
      <c r="I1818" s="12">
        <f>(PrincipalesVariables[[#This Row],[Dólar  mayorista]]-E1817)/E1817</f>
        <v>-4.786870298609548E-3</v>
      </c>
      <c r="J1818" s="12">
        <f>(PrincipalesVariables[[#This Row],[Reservas internacionales]]-F1817)/F1817</f>
        <v>3.1200025085447304E-3</v>
      </c>
    </row>
    <row r="1819" spans="1:10" ht="15.75" thickBot="1" x14ac:dyDescent="0.3">
      <c r="A1819" s="14">
        <v>43635</v>
      </c>
      <c r="B1819" s="15">
        <v>43635</v>
      </c>
      <c r="C1819" s="16">
        <v>1345054</v>
      </c>
      <c r="D1819" s="10">
        <f>PrincipalesVariables[[#This Row],[Base monetaria]]/1000000</f>
        <v>1.345054</v>
      </c>
      <c r="E1819" s="10">
        <v>43.45</v>
      </c>
      <c r="F1819" s="11">
        <v>64059</v>
      </c>
      <c r="H1819" s="12">
        <f>(PrincipalesVariables[[#This Row],[Base monetaria]]-C1818)/C1818</f>
        <v>1.9673528191398622E-3</v>
      </c>
      <c r="I1819" s="12">
        <f>(PrincipalesVariables[[#This Row],[Dólar  mayorista]]-E1818)/E1818</f>
        <v>-4.8098946404029723E-3</v>
      </c>
      <c r="J1819" s="12">
        <f>(PrincipalesVariables[[#This Row],[Reservas internacionales]]-F1818)/F1818</f>
        <v>1.2191119238523936E-3</v>
      </c>
    </row>
    <row r="1820" spans="1:10" ht="15.75" thickBot="1" x14ac:dyDescent="0.3">
      <c r="A1820" s="14">
        <v>43637</v>
      </c>
      <c r="B1820" s="15">
        <v>43637</v>
      </c>
      <c r="C1820" s="16">
        <v>1336895</v>
      </c>
      <c r="D1820" s="10">
        <f>PrincipalesVariables[[#This Row],[Base monetaria]]/1000000</f>
        <v>1.3368949999999999</v>
      </c>
      <c r="E1820" s="10">
        <v>42.92</v>
      </c>
      <c r="F1820" s="11">
        <v>64640</v>
      </c>
      <c r="H1820" s="12">
        <f>(PrincipalesVariables[[#This Row],[Base monetaria]]-C1819)/C1819</f>
        <v>-6.0659274646222379E-3</v>
      </c>
      <c r="I1820" s="12">
        <f>(PrincipalesVariables[[#This Row],[Dólar  mayorista]]-E1819)/E1819</f>
        <v>-1.2197928653624882E-2</v>
      </c>
      <c r="J1820" s="12">
        <f>(PrincipalesVariables[[#This Row],[Reservas internacionales]]-F1819)/F1819</f>
        <v>9.0697638114862859E-3</v>
      </c>
    </row>
    <row r="1821" spans="1:10" ht="15.75" thickBot="1" x14ac:dyDescent="0.3">
      <c r="A1821" s="14">
        <v>43640</v>
      </c>
      <c r="B1821" s="15">
        <v>43640</v>
      </c>
      <c r="C1821" s="16">
        <v>1349555</v>
      </c>
      <c r="D1821" s="10">
        <f>PrincipalesVariables[[#This Row],[Base monetaria]]/1000000</f>
        <v>1.3495550000000001</v>
      </c>
      <c r="E1821" s="10">
        <v>42.67</v>
      </c>
      <c r="F1821" s="11">
        <v>64442</v>
      </c>
      <c r="H1821" s="12">
        <f>(PrincipalesVariables[[#This Row],[Base monetaria]]-C1820)/C1820</f>
        <v>9.4697040530482956E-3</v>
      </c>
      <c r="I1821" s="12">
        <f>(PrincipalesVariables[[#This Row],[Dólar  mayorista]]-E1820)/E1820</f>
        <v>-5.824790307548928E-3</v>
      </c>
      <c r="J1821" s="12">
        <f>(PrincipalesVariables[[#This Row],[Reservas internacionales]]-F1820)/F1820</f>
        <v>-3.0631188118811882E-3</v>
      </c>
    </row>
    <row r="1822" spans="1:10" ht="15.75" thickBot="1" x14ac:dyDescent="0.3">
      <c r="A1822" s="14">
        <v>43641</v>
      </c>
      <c r="B1822" s="15">
        <v>43641</v>
      </c>
      <c r="C1822" s="16">
        <v>1366167</v>
      </c>
      <c r="D1822" s="10">
        <f>PrincipalesVariables[[#This Row],[Base monetaria]]/1000000</f>
        <v>1.3661669999999999</v>
      </c>
      <c r="E1822" s="10">
        <v>42.31</v>
      </c>
      <c r="F1822" s="11">
        <v>64296</v>
      </c>
      <c r="H1822" s="12">
        <f>(PrincipalesVariables[[#This Row],[Base monetaria]]-C1821)/C1821</f>
        <v>1.2309242676289592E-2</v>
      </c>
      <c r="I1822" s="12">
        <f>(PrincipalesVariables[[#This Row],[Dólar  mayorista]]-E1821)/E1821</f>
        <v>-8.436840871806876E-3</v>
      </c>
      <c r="J1822" s="12">
        <f>(PrincipalesVariables[[#This Row],[Reservas internacionales]]-F1821)/F1821</f>
        <v>-2.2656031780515814E-3</v>
      </c>
    </row>
    <row r="1823" spans="1:10" ht="15.75" thickBot="1" x14ac:dyDescent="0.3">
      <c r="A1823" s="14">
        <v>43642</v>
      </c>
      <c r="B1823" s="15">
        <v>43642</v>
      </c>
      <c r="C1823" s="16">
        <v>1402446</v>
      </c>
      <c r="D1823" s="10">
        <f>PrincipalesVariables[[#This Row],[Base monetaria]]/1000000</f>
        <v>1.4024460000000001</v>
      </c>
      <c r="E1823" s="10">
        <v>42.71</v>
      </c>
      <c r="F1823" s="11">
        <v>64394</v>
      </c>
      <c r="H1823" s="12">
        <f>(PrincipalesVariables[[#This Row],[Base monetaria]]-C1822)/C1822</f>
        <v>2.6555318639668504E-2</v>
      </c>
      <c r="I1823" s="12">
        <f>(PrincipalesVariables[[#This Row],[Dólar  mayorista]]-E1822)/E1822</f>
        <v>9.4540297801937734E-3</v>
      </c>
      <c r="J1823" s="12">
        <f>(PrincipalesVariables[[#This Row],[Reservas internacionales]]-F1822)/F1822</f>
        <v>1.5242005723528681E-3</v>
      </c>
    </row>
    <row r="1824" spans="1:10" ht="15.75" thickBot="1" x14ac:dyDescent="0.3">
      <c r="A1824" s="14">
        <v>43643</v>
      </c>
      <c r="B1824" s="15">
        <v>43643</v>
      </c>
      <c r="C1824" s="16">
        <v>1401312</v>
      </c>
      <c r="D1824" s="10">
        <f>PrincipalesVariables[[#This Row],[Base monetaria]]/1000000</f>
        <v>1.4013119999999999</v>
      </c>
      <c r="E1824" s="10">
        <v>42.84</v>
      </c>
      <c r="F1824" s="11">
        <v>64308</v>
      </c>
      <c r="H1824" s="12">
        <f>(PrincipalesVariables[[#This Row],[Base monetaria]]-C1823)/C1823</f>
        <v>-8.0858728250499481E-4</v>
      </c>
      <c r="I1824" s="12">
        <f>(PrincipalesVariables[[#This Row],[Dólar  mayorista]]-E1823)/E1823</f>
        <v>3.0437836572231925E-3</v>
      </c>
      <c r="J1824" s="12">
        <f>(PrincipalesVariables[[#This Row],[Reservas internacionales]]-F1823)/F1823</f>
        <v>-1.3355281547970308E-3</v>
      </c>
    </row>
    <row r="1825" spans="1:10" ht="15.75" thickBot="1" x14ac:dyDescent="0.3">
      <c r="A1825" s="14">
        <v>43644</v>
      </c>
      <c r="B1825" s="15">
        <v>43644</v>
      </c>
      <c r="C1825" s="16">
        <v>1375803</v>
      </c>
      <c r="D1825" s="10">
        <f>PrincipalesVariables[[#This Row],[Base monetaria]]/1000000</f>
        <v>1.3758030000000001</v>
      </c>
      <c r="E1825" s="10">
        <v>42.45</v>
      </c>
      <c r="F1825" s="11">
        <v>64278</v>
      </c>
      <c r="H1825" s="12">
        <f>(PrincipalesVariables[[#This Row],[Base monetaria]]-C1824)/C1824</f>
        <v>-1.8203654860587792E-2</v>
      </c>
      <c r="I1825" s="12">
        <f>(PrincipalesVariables[[#This Row],[Dólar  mayorista]]-E1824)/E1824</f>
        <v>-9.1036414565826458E-3</v>
      </c>
      <c r="J1825" s="12">
        <f>(PrincipalesVariables[[#This Row],[Reservas internacionales]]-F1824)/F1824</f>
        <v>-4.6650494495241652E-4</v>
      </c>
    </row>
    <row r="1826" spans="1:10" ht="15.75" thickBot="1" x14ac:dyDescent="0.3">
      <c r="A1826" s="14">
        <v>43647</v>
      </c>
      <c r="B1826" s="15">
        <v>43647</v>
      </c>
      <c r="C1826" s="16">
        <v>1412781</v>
      </c>
      <c r="D1826" s="10">
        <f>PrincipalesVariables[[#This Row],[Base monetaria]]/1000000</f>
        <v>1.4127810000000001</v>
      </c>
      <c r="E1826" s="10">
        <v>42.14</v>
      </c>
      <c r="F1826" s="11">
        <v>64148</v>
      </c>
      <c r="H1826" s="12">
        <f>(PrincipalesVariables[[#This Row],[Base monetaria]]-C1825)/C1825</f>
        <v>2.6877394510696661E-2</v>
      </c>
      <c r="I1826" s="12">
        <f>(PrincipalesVariables[[#This Row],[Dólar  mayorista]]-E1825)/E1825</f>
        <v>-7.3027090694935751E-3</v>
      </c>
      <c r="J1826" s="12">
        <f>(PrincipalesVariables[[#This Row],[Reservas internacionales]]-F1825)/F1825</f>
        <v>-2.0224649180123839E-3</v>
      </c>
    </row>
    <row r="1827" spans="1:10" ht="15.75" thickBot="1" x14ac:dyDescent="0.3">
      <c r="A1827" s="14">
        <v>43648</v>
      </c>
      <c r="B1827" s="15">
        <v>43648</v>
      </c>
      <c r="C1827" s="16">
        <v>1384200</v>
      </c>
      <c r="D1827" s="10">
        <f>PrincipalesVariables[[#This Row],[Base monetaria]]/1000000</f>
        <v>1.3842000000000001</v>
      </c>
      <c r="E1827" s="10">
        <v>42.47</v>
      </c>
      <c r="F1827" s="11">
        <v>64123</v>
      </c>
      <c r="H1827" s="12">
        <f>(PrincipalesVariables[[#This Row],[Base monetaria]]-C1826)/C1826</f>
        <v>-2.0230311704361823E-2</v>
      </c>
      <c r="I1827" s="12">
        <f>(PrincipalesVariables[[#This Row],[Dólar  mayorista]]-E1826)/E1826</f>
        <v>7.8310393925011459E-3</v>
      </c>
      <c r="J1827" s="12">
        <f>(PrincipalesVariables[[#This Row],[Reservas internacionales]]-F1826)/F1826</f>
        <v>-3.8972376379622123E-4</v>
      </c>
    </row>
    <row r="1828" spans="1:10" ht="15.75" thickBot="1" x14ac:dyDescent="0.3">
      <c r="A1828" s="14">
        <v>43649</v>
      </c>
      <c r="B1828" s="15">
        <v>43649</v>
      </c>
      <c r="C1828" s="16">
        <v>1325556</v>
      </c>
      <c r="D1828" s="10">
        <f>PrincipalesVariables[[#This Row],[Base monetaria]]/1000000</f>
        <v>1.325556</v>
      </c>
      <c r="E1828" s="10">
        <v>42.09</v>
      </c>
      <c r="F1828" s="11">
        <v>64108</v>
      </c>
      <c r="H1828" s="12">
        <f>(PrincipalesVariables[[#This Row],[Base monetaria]]-C1827)/C1827</f>
        <v>-4.2366710013003898E-2</v>
      </c>
      <c r="I1828" s="12">
        <f>(PrincipalesVariables[[#This Row],[Dólar  mayorista]]-E1827)/E1827</f>
        <v>-8.947492347539332E-3</v>
      </c>
      <c r="J1828" s="12">
        <f>(PrincipalesVariables[[#This Row],[Reservas internacionales]]-F1827)/F1827</f>
        <v>-2.339254245746456E-4</v>
      </c>
    </row>
    <row r="1829" spans="1:10" ht="15.75" thickBot="1" x14ac:dyDescent="0.3">
      <c r="A1829" s="14">
        <v>43650</v>
      </c>
      <c r="B1829" s="15">
        <v>43650</v>
      </c>
      <c r="C1829" s="16">
        <v>1341260</v>
      </c>
      <c r="D1829" s="10">
        <f>PrincipalesVariables[[#This Row],[Base monetaria]]/1000000</f>
        <v>1.3412599999999999</v>
      </c>
      <c r="E1829" s="10">
        <v>41.76</v>
      </c>
      <c r="F1829" s="11">
        <v>64095</v>
      </c>
      <c r="H1829" s="12">
        <f>(PrincipalesVariables[[#This Row],[Base monetaria]]-C1828)/C1828</f>
        <v>1.1847104158556863E-2</v>
      </c>
      <c r="I1829" s="12">
        <f>(PrincipalesVariables[[#This Row],[Dólar  mayorista]]-E1828)/E1828</f>
        <v>-7.8403421240200843E-3</v>
      </c>
      <c r="J1829" s="12">
        <f>(PrincipalesVariables[[#This Row],[Reservas internacionales]]-F1828)/F1828</f>
        <v>-2.0278280401821926E-4</v>
      </c>
    </row>
    <row r="1830" spans="1:10" ht="15.75" thickBot="1" x14ac:dyDescent="0.3">
      <c r="A1830" s="14">
        <v>43651</v>
      </c>
      <c r="B1830" s="15">
        <v>43651</v>
      </c>
      <c r="C1830" s="16">
        <v>1345343</v>
      </c>
      <c r="D1830" s="10">
        <f>PrincipalesVariables[[#This Row],[Base monetaria]]/1000000</f>
        <v>1.345343</v>
      </c>
      <c r="E1830" s="10">
        <v>41.98</v>
      </c>
      <c r="F1830" s="11">
        <v>63743</v>
      </c>
      <c r="H1830" s="12">
        <f>(PrincipalesVariables[[#This Row],[Base monetaria]]-C1829)/C1829</f>
        <v>3.0441525133083815E-3</v>
      </c>
      <c r="I1830" s="12">
        <f>(PrincipalesVariables[[#This Row],[Dólar  mayorista]]-E1829)/E1829</f>
        <v>5.2681992337164484E-3</v>
      </c>
      <c r="J1830" s="12">
        <f>(PrincipalesVariables[[#This Row],[Reservas internacionales]]-F1829)/F1829</f>
        <v>-5.4918480380684925E-3</v>
      </c>
    </row>
    <row r="1831" spans="1:10" ht="15.75" thickBot="1" x14ac:dyDescent="0.3">
      <c r="A1831" s="14">
        <v>43656</v>
      </c>
      <c r="B1831" s="15">
        <v>43656</v>
      </c>
      <c r="C1831" s="16">
        <v>1339884</v>
      </c>
      <c r="D1831" s="10">
        <f>PrincipalesVariables[[#This Row],[Base monetaria]]/1000000</f>
        <v>1.3398840000000001</v>
      </c>
      <c r="E1831" s="10">
        <v>41.88</v>
      </c>
      <c r="F1831" s="11">
        <v>63561</v>
      </c>
      <c r="H1831" s="12">
        <f>(PrincipalesVariables[[#This Row],[Base monetaria]]-C1830)/C1830</f>
        <v>-4.0577012702336874E-3</v>
      </c>
      <c r="I1831" s="12">
        <f>(PrincipalesVariables[[#This Row],[Dólar  mayorista]]-E1830)/E1830</f>
        <v>-2.3820867079560343E-3</v>
      </c>
      <c r="J1831" s="12">
        <f>(PrincipalesVariables[[#This Row],[Reservas internacionales]]-F1830)/F1830</f>
        <v>-2.8552154746403526E-3</v>
      </c>
    </row>
    <row r="1832" spans="1:10" ht="15.75" thickBot="1" x14ac:dyDescent="0.3">
      <c r="A1832" s="14">
        <v>43657</v>
      </c>
      <c r="B1832" s="15">
        <v>43657</v>
      </c>
      <c r="C1832" s="16">
        <v>1353919</v>
      </c>
      <c r="D1832" s="10">
        <f>PrincipalesVariables[[#This Row],[Base monetaria]]/1000000</f>
        <v>1.3539190000000001</v>
      </c>
      <c r="E1832" s="10">
        <v>41.76</v>
      </c>
      <c r="F1832" s="11">
        <v>63670</v>
      </c>
      <c r="H1832" s="12">
        <f>(PrincipalesVariables[[#This Row],[Base monetaria]]-C1831)/C1831</f>
        <v>1.0474787369652896E-2</v>
      </c>
      <c r="I1832" s="12">
        <f>(PrincipalesVariables[[#This Row],[Dólar  mayorista]]-E1831)/E1831</f>
        <v>-2.8653295128940911E-3</v>
      </c>
      <c r="J1832" s="12">
        <f>(PrincipalesVariables[[#This Row],[Reservas internacionales]]-F1831)/F1831</f>
        <v>1.7148880602885417E-3</v>
      </c>
    </row>
    <row r="1833" spans="1:10" ht="15.75" thickBot="1" x14ac:dyDescent="0.3">
      <c r="A1833" s="14">
        <v>43658</v>
      </c>
      <c r="B1833" s="15">
        <v>43658</v>
      </c>
      <c r="C1833" s="16">
        <v>1346391</v>
      </c>
      <c r="D1833" s="10">
        <f>PrincipalesVariables[[#This Row],[Base monetaria]]/1000000</f>
        <v>1.3463909999999999</v>
      </c>
      <c r="E1833" s="10">
        <v>41.66</v>
      </c>
      <c r="F1833" s="11">
        <v>63697</v>
      </c>
      <c r="H1833" s="12">
        <f>(PrincipalesVariables[[#This Row],[Base monetaria]]-C1832)/C1832</f>
        <v>-5.5601553711854251E-3</v>
      </c>
      <c r="I1833" s="12">
        <f>(PrincipalesVariables[[#This Row],[Dólar  mayorista]]-E1832)/E1832</f>
        <v>-2.3946360153257046E-3</v>
      </c>
      <c r="J1833" s="12">
        <f>(PrincipalesVariables[[#This Row],[Reservas internacionales]]-F1832)/F1832</f>
        <v>4.2406156745720117E-4</v>
      </c>
    </row>
    <row r="1834" spans="1:10" ht="15.75" thickBot="1" x14ac:dyDescent="0.3">
      <c r="A1834" s="14">
        <v>43661</v>
      </c>
      <c r="B1834" s="15">
        <v>43661</v>
      </c>
      <c r="C1834" s="16">
        <v>1373719</v>
      </c>
      <c r="D1834" s="10">
        <f>PrincipalesVariables[[#This Row],[Base monetaria]]/1000000</f>
        <v>1.3737189999999999</v>
      </c>
      <c r="E1834" s="10">
        <v>41.86</v>
      </c>
      <c r="F1834" s="11">
        <v>63568</v>
      </c>
      <c r="H1834" s="12">
        <f>(PrincipalesVariables[[#This Row],[Base monetaria]]-C1833)/C1833</f>
        <v>2.0297224209015065E-2</v>
      </c>
      <c r="I1834" s="12">
        <f>(PrincipalesVariables[[#This Row],[Dólar  mayorista]]-E1833)/E1833</f>
        <v>4.8007681228997325E-3</v>
      </c>
      <c r="J1834" s="12">
        <f>(PrincipalesVariables[[#This Row],[Reservas internacionales]]-F1833)/F1833</f>
        <v>-2.0252131183572226E-3</v>
      </c>
    </row>
    <row r="1835" spans="1:10" ht="15.75" thickBot="1" x14ac:dyDescent="0.3">
      <c r="A1835" s="14">
        <v>43662</v>
      </c>
      <c r="B1835" s="15">
        <v>43662</v>
      </c>
      <c r="C1835" s="16">
        <v>1386471</v>
      </c>
      <c r="D1835" s="10">
        <f>PrincipalesVariables[[#This Row],[Base monetaria]]/1000000</f>
        <v>1.386471</v>
      </c>
      <c r="E1835" s="10">
        <v>42.63</v>
      </c>
      <c r="F1835" s="11">
        <v>68732</v>
      </c>
      <c r="H1835" s="12">
        <f>(PrincipalesVariables[[#This Row],[Base monetaria]]-C1834)/C1834</f>
        <v>9.282830040204729E-3</v>
      </c>
      <c r="I1835" s="12">
        <f>(PrincipalesVariables[[#This Row],[Dólar  mayorista]]-E1834)/E1834</f>
        <v>1.8394648829431513E-2</v>
      </c>
      <c r="J1835" s="12">
        <f>(PrincipalesVariables[[#This Row],[Reservas internacionales]]-F1834)/F1834</f>
        <v>8.1235841933048072E-2</v>
      </c>
    </row>
    <row r="1836" spans="1:10" ht="15.75" thickBot="1" x14ac:dyDescent="0.3">
      <c r="A1836" s="14">
        <v>43663</v>
      </c>
      <c r="B1836" s="15">
        <v>43663</v>
      </c>
      <c r="C1836" s="16">
        <v>1403506</v>
      </c>
      <c r="D1836" s="10">
        <f>PrincipalesVariables[[#This Row],[Base monetaria]]/1000000</f>
        <v>1.4035059999999999</v>
      </c>
      <c r="E1836" s="10">
        <v>42.52</v>
      </c>
      <c r="F1836" s="11">
        <v>68761</v>
      </c>
      <c r="H1836" s="12">
        <f>(PrincipalesVariables[[#This Row],[Base monetaria]]-C1835)/C1835</f>
        <v>1.228658947789027E-2</v>
      </c>
      <c r="I1836" s="12">
        <f>(PrincipalesVariables[[#This Row],[Dólar  mayorista]]-E1835)/E1835</f>
        <v>-2.5803424818203009E-3</v>
      </c>
      <c r="J1836" s="12">
        <f>(PrincipalesVariables[[#This Row],[Reservas internacionales]]-F1835)/F1835</f>
        <v>4.2192865041028923E-4</v>
      </c>
    </row>
    <row r="1837" spans="1:10" ht="15.75" thickBot="1" x14ac:dyDescent="0.3">
      <c r="A1837" s="14">
        <v>43664</v>
      </c>
      <c r="B1837" s="15">
        <v>43664</v>
      </c>
      <c r="C1837" s="16">
        <v>1425323</v>
      </c>
      <c r="D1837" s="10">
        <f>PrincipalesVariables[[#This Row],[Base monetaria]]/1000000</f>
        <v>1.4253229999999999</v>
      </c>
      <c r="E1837" s="10">
        <v>42.35</v>
      </c>
      <c r="F1837" s="11">
        <v>68747</v>
      </c>
      <c r="H1837" s="12">
        <f>(PrincipalesVariables[[#This Row],[Base monetaria]]-C1836)/C1836</f>
        <v>1.5544643200670321E-2</v>
      </c>
      <c r="I1837" s="12">
        <f>(PrincipalesVariables[[#This Row],[Dólar  mayorista]]-E1836)/E1836</f>
        <v>-3.9981185324553551E-3</v>
      </c>
      <c r="J1837" s="12">
        <f>(PrincipalesVariables[[#This Row],[Reservas internacionales]]-F1836)/F1836</f>
        <v>-2.0360378703043877E-4</v>
      </c>
    </row>
    <row r="1838" spans="1:10" ht="15.75" thickBot="1" x14ac:dyDescent="0.3">
      <c r="A1838" s="14">
        <v>43665</v>
      </c>
      <c r="B1838" s="15">
        <v>43665</v>
      </c>
      <c r="C1838" s="16">
        <v>1446054</v>
      </c>
      <c r="D1838" s="10">
        <f>PrincipalesVariables[[#This Row],[Base monetaria]]/1000000</f>
        <v>1.446054</v>
      </c>
      <c r="E1838" s="10">
        <v>42.45</v>
      </c>
      <c r="F1838" s="11">
        <v>68600</v>
      </c>
      <c r="H1838" s="12">
        <f>(PrincipalesVariables[[#This Row],[Base monetaria]]-C1837)/C1837</f>
        <v>1.4544773360143631E-2</v>
      </c>
      <c r="I1838" s="12">
        <f>(PrincipalesVariables[[#This Row],[Dólar  mayorista]]-E1837)/E1837</f>
        <v>2.3612750885478491E-3</v>
      </c>
      <c r="J1838" s="12">
        <f>(PrincipalesVariables[[#This Row],[Reservas internacionales]]-F1837)/F1837</f>
        <v>-2.1382751247327157E-3</v>
      </c>
    </row>
    <row r="1839" spans="1:10" ht="15.75" thickBot="1" x14ac:dyDescent="0.3">
      <c r="A1839" s="14">
        <v>43668</v>
      </c>
      <c r="B1839" s="15">
        <v>43668</v>
      </c>
      <c r="C1839" s="16">
        <v>1402575</v>
      </c>
      <c r="D1839" s="10">
        <f>PrincipalesVariables[[#This Row],[Base monetaria]]/1000000</f>
        <v>1.4025749999999999</v>
      </c>
      <c r="E1839" s="10">
        <v>42.48</v>
      </c>
      <c r="F1839" s="11">
        <v>68334</v>
      </c>
      <c r="H1839" s="12">
        <f>(PrincipalesVariables[[#This Row],[Base monetaria]]-C1838)/C1838</f>
        <v>-3.0067341883498126E-2</v>
      </c>
      <c r="I1839" s="12">
        <f>(PrincipalesVariables[[#This Row],[Dólar  mayorista]]-E1838)/E1838</f>
        <v>7.0671378091858726E-4</v>
      </c>
      <c r="J1839" s="12">
        <f>(PrincipalesVariables[[#This Row],[Reservas internacionales]]-F1838)/F1838</f>
        <v>-3.8775510204081634E-3</v>
      </c>
    </row>
    <row r="1840" spans="1:10" ht="15.75" thickBot="1" x14ac:dyDescent="0.3">
      <c r="A1840" s="14">
        <v>43669</v>
      </c>
      <c r="B1840" s="15">
        <v>43669</v>
      </c>
      <c r="C1840" s="16">
        <v>1420027</v>
      </c>
      <c r="D1840" s="10">
        <f>PrincipalesVariables[[#This Row],[Base monetaria]]/1000000</f>
        <v>1.4200269999999999</v>
      </c>
      <c r="E1840" s="10">
        <v>42.63</v>
      </c>
      <c r="F1840" s="11">
        <v>68338</v>
      </c>
      <c r="H1840" s="12">
        <f>(PrincipalesVariables[[#This Row],[Base monetaria]]-C1839)/C1839</f>
        <v>1.2442828369249417E-2</v>
      </c>
      <c r="I1840" s="12">
        <f>(PrincipalesVariables[[#This Row],[Dólar  mayorista]]-E1839)/E1839</f>
        <v>3.5310734463278176E-3</v>
      </c>
      <c r="J1840" s="12">
        <f>(PrincipalesVariables[[#This Row],[Reservas internacionales]]-F1839)/F1839</f>
        <v>5.8536014282787487E-5</v>
      </c>
    </row>
    <row r="1841" spans="1:10" ht="15.75" thickBot="1" x14ac:dyDescent="0.3">
      <c r="A1841" s="14">
        <v>43670</v>
      </c>
      <c r="B1841" s="15">
        <v>43670</v>
      </c>
      <c r="C1841" s="16">
        <v>1422786</v>
      </c>
      <c r="D1841" s="10">
        <f>PrincipalesVariables[[#This Row],[Base monetaria]]/1000000</f>
        <v>1.4227860000000001</v>
      </c>
      <c r="E1841" s="10">
        <v>42.81</v>
      </c>
      <c r="F1841" s="11">
        <v>68317</v>
      </c>
      <c r="H1841" s="12">
        <f>(PrincipalesVariables[[#This Row],[Base monetaria]]-C1840)/C1840</f>
        <v>1.9429208036185227E-3</v>
      </c>
      <c r="I1841" s="12">
        <f>(PrincipalesVariables[[#This Row],[Dólar  mayorista]]-E1840)/E1840</f>
        <v>4.222378606615053E-3</v>
      </c>
      <c r="J1841" s="12">
        <f>(PrincipalesVariables[[#This Row],[Reservas internacionales]]-F1840)/F1840</f>
        <v>-3.0729608709649097E-4</v>
      </c>
    </row>
    <row r="1842" spans="1:10" ht="15.75" thickBot="1" x14ac:dyDescent="0.3">
      <c r="A1842" s="14">
        <v>43671</v>
      </c>
      <c r="B1842" s="15">
        <v>43671</v>
      </c>
      <c r="C1842" s="16">
        <v>1440669</v>
      </c>
      <c r="D1842" s="10">
        <f>PrincipalesVariables[[#This Row],[Base monetaria]]/1000000</f>
        <v>1.440669</v>
      </c>
      <c r="E1842" s="10">
        <v>43.25</v>
      </c>
      <c r="F1842" s="11">
        <v>67966</v>
      </c>
      <c r="H1842" s="12">
        <f>(PrincipalesVariables[[#This Row],[Base monetaria]]-C1841)/C1841</f>
        <v>1.2569001944073108E-2</v>
      </c>
      <c r="I1842" s="12">
        <f>(PrincipalesVariables[[#This Row],[Dólar  mayorista]]-E1841)/E1841</f>
        <v>1.0277972436346594E-2</v>
      </c>
      <c r="J1842" s="12">
        <f>(PrincipalesVariables[[#This Row],[Reservas internacionales]]-F1841)/F1841</f>
        <v>-5.1378134285756105E-3</v>
      </c>
    </row>
    <row r="1843" spans="1:10" ht="15.75" thickBot="1" x14ac:dyDescent="0.3">
      <c r="A1843" s="14">
        <v>43672</v>
      </c>
      <c r="B1843" s="15">
        <v>43672</v>
      </c>
      <c r="C1843" s="16">
        <v>1417160</v>
      </c>
      <c r="D1843" s="10">
        <f>PrincipalesVariables[[#This Row],[Base monetaria]]/1000000</f>
        <v>1.41716</v>
      </c>
      <c r="E1843" s="10">
        <v>43.22</v>
      </c>
      <c r="F1843" s="11">
        <v>68071</v>
      </c>
      <c r="H1843" s="12">
        <f>(PrincipalesVariables[[#This Row],[Base monetaria]]-C1842)/C1842</f>
        <v>-1.631811332096408E-2</v>
      </c>
      <c r="I1843" s="12">
        <f>(PrincipalesVariables[[#This Row],[Dólar  mayorista]]-E1842)/E1842</f>
        <v>-6.9364161849713615E-4</v>
      </c>
      <c r="J1843" s="12">
        <f>(PrincipalesVariables[[#This Row],[Reservas internacionales]]-F1842)/F1842</f>
        <v>1.544890092104876E-3</v>
      </c>
    </row>
    <row r="1844" spans="1:10" ht="15.75" thickBot="1" x14ac:dyDescent="0.3">
      <c r="A1844" s="14">
        <v>43675</v>
      </c>
      <c r="B1844" s="15">
        <v>43675</v>
      </c>
      <c r="C1844" s="16">
        <v>1374922</v>
      </c>
      <c r="D1844" s="10">
        <f>PrincipalesVariables[[#This Row],[Base monetaria]]/1000000</f>
        <v>1.374922</v>
      </c>
      <c r="E1844" s="10">
        <v>43.76</v>
      </c>
      <c r="F1844" s="11">
        <v>67994</v>
      </c>
      <c r="H1844" s="12">
        <f>(PrincipalesVariables[[#This Row],[Base monetaria]]-C1843)/C1843</f>
        <v>-2.980467978209941E-2</v>
      </c>
      <c r="I1844" s="12">
        <f>(PrincipalesVariables[[#This Row],[Dólar  mayorista]]-E1843)/E1843</f>
        <v>1.2494215640906968E-2</v>
      </c>
      <c r="J1844" s="12">
        <f>(PrincipalesVariables[[#This Row],[Reservas internacionales]]-F1843)/F1843</f>
        <v>-1.1311718646707114E-3</v>
      </c>
    </row>
    <row r="1845" spans="1:10" ht="15.75" thickBot="1" x14ac:dyDescent="0.3">
      <c r="A1845" s="14">
        <v>43676</v>
      </c>
      <c r="B1845" s="15">
        <v>43676</v>
      </c>
      <c r="C1845" s="16">
        <v>1325287</v>
      </c>
      <c r="D1845" s="10">
        <f>PrincipalesVariables[[#This Row],[Base monetaria]]/1000000</f>
        <v>1.3252870000000001</v>
      </c>
      <c r="E1845" s="10">
        <v>43.88</v>
      </c>
      <c r="F1845" s="11">
        <v>67951</v>
      </c>
      <c r="H1845" s="12">
        <f>(PrincipalesVariables[[#This Row],[Base monetaria]]-C1844)/C1844</f>
        <v>-3.610022968575672E-2</v>
      </c>
      <c r="I1845" s="12">
        <f>(PrincipalesVariables[[#This Row],[Dólar  mayorista]]-E1844)/E1844</f>
        <v>2.7422303473492813E-3</v>
      </c>
      <c r="J1845" s="12">
        <f>(PrincipalesVariables[[#This Row],[Reservas internacionales]]-F1844)/F1844</f>
        <v>-6.3240874194781893E-4</v>
      </c>
    </row>
    <row r="1846" spans="1:10" ht="15.75" thickBot="1" x14ac:dyDescent="0.3">
      <c r="A1846" s="14">
        <v>43677</v>
      </c>
      <c r="B1846" s="15">
        <v>43677</v>
      </c>
      <c r="C1846" s="16">
        <v>1339297</v>
      </c>
      <c r="D1846" s="10">
        <f>PrincipalesVariables[[#This Row],[Base monetaria]]/1000000</f>
        <v>1.339297</v>
      </c>
      <c r="E1846" s="10">
        <v>43.87</v>
      </c>
      <c r="F1846" s="11">
        <v>67899</v>
      </c>
      <c r="H1846" s="12">
        <f>(PrincipalesVariables[[#This Row],[Base monetaria]]-C1845)/C1845</f>
        <v>1.0571295123245002E-2</v>
      </c>
      <c r="I1846" s="12">
        <f>(PrincipalesVariables[[#This Row],[Dólar  mayorista]]-E1845)/E1845</f>
        <v>-2.2789425706483854E-4</v>
      </c>
      <c r="J1846" s="12">
        <f>(PrincipalesVariables[[#This Row],[Reservas internacionales]]-F1845)/F1845</f>
        <v>-7.6525731777310122E-4</v>
      </c>
    </row>
    <row r="1847" spans="1:10" ht="15.75" thickBot="1" x14ac:dyDescent="0.3">
      <c r="A1847" s="14">
        <v>43678</v>
      </c>
      <c r="B1847" s="15">
        <v>43678</v>
      </c>
      <c r="C1847" s="16">
        <v>1315810</v>
      </c>
      <c r="D1847" s="10">
        <f>PrincipalesVariables[[#This Row],[Base monetaria]]/1000000</f>
        <v>1.3158099999999999</v>
      </c>
      <c r="E1847" s="10">
        <v>44.32</v>
      </c>
      <c r="F1847" s="11">
        <v>67760</v>
      </c>
      <c r="H1847" s="12">
        <f>(PrincipalesVariables[[#This Row],[Base monetaria]]-C1846)/C1846</f>
        <v>-1.7536812223129E-2</v>
      </c>
      <c r="I1847" s="12">
        <f>(PrincipalesVariables[[#This Row],[Dólar  mayorista]]-E1846)/E1846</f>
        <v>1.0257579211306198E-2</v>
      </c>
      <c r="J1847" s="12">
        <f>(PrincipalesVariables[[#This Row],[Reservas internacionales]]-F1846)/F1846</f>
        <v>-2.0471582792088248E-3</v>
      </c>
    </row>
    <row r="1848" spans="1:10" ht="15.75" thickBot="1" x14ac:dyDescent="0.3">
      <c r="A1848" s="14">
        <v>43679</v>
      </c>
      <c r="B1848" s="15">
        <v>43679</v>
      </c>
      <c r="C1848" s="16">
        <v>1325578</v>
      </c>
      <c r="D1848" s="10">
        <f>PrincipalesVariables[[#This Row],[Base monetaria]]/1000000</f>
        <v>1.3255779999999999</v>
      </c>
      <c r="E1848" s="10">
        <v>44.7</v>
      </c>
      <c r="F1848" s="11">
        <v>67559</v>
      </c>
      <c r="H1848" s="12">
        <f>(PrincipalesVariables[[#This Row],[Base monetaria]]-C1847)/C1847</f>
        <v>7.4235641923985985E-3</v>
      </c>
      <c r="I1848" s="12">
        <f>(PrincipalesVariables[[#This Row],[Dólar  mayorista]]-E1847)/E1847</f>
        <v>8.5740072202166642E-3</v>
      </c>
      <c r="J1848" s="12">
        <f>(PrincipalesVariables[[#This Row],[Reservas internacionales]]-F1847)/F1847</f>
        <v>-2.9663518299881935E-3</v>
      </c>
    </row>
    <row r="1849" spans="1:10" ht="15.75" thickBot="1" x14ac:dyDescent="0.3">
      <c r="A1849" s="14">
        <v>43682</v>
      </c>
      <c r="B1849" s="15">
        <v>43682</v>
      </c>
      <c r="C1849" s="16">
        <v>1351787</v>
      </c>
      <c r="D1849" s="10">
        <f>PrincipalesVariables[[#This Row],[Base monetaria]]/1000000</f>
        <v>1.3517870000000001</v>
      </c>
      <c r="E1849" s="10">
        <v>45.44</v>
      </c>
      <c r="F1849" s="11">
        <v>67043</v>
      </c>
      <c r="H1849" s="12">
        <f>(PrincipalesVariables[[#This Row],[Base monetaria]]-C1848)/C1848</f>
        <v>1.9771752397821932E-2</v>
      </c>
      <c r="I1849" s="12">
        <f>(PrincipalesVariables[[#This Row],[Dólar  mayorista]]-E1848)/E1848</f>
        <v>1.6554809843400332E-2</v>
      </c>
      <c r="J1849" s="12">
        <f>(PrincipalesVariables[[#This Row],[Reservas internacionales]]-F1848)/F1848</f>
        <v>-7.6377684690418744E-3</v>
      </c>
    </row>
    <row r="1850" spans="1:10" ht="15.75" thickBot="1" x14ac:dyDescent="0.3">
      <c r="A1850" s="14">
        <v>43683</v>
      </c>
      <c r="B1850" s="15">
        <v>43683</v>
      </c>
      <c r="C1850" s="16">
        <v>1350016</v>
      </c>
      <c r="D1850" s="10">
        <f>PrincipalesVariables[[#This Row],[Base monetaria]]/1000000</f>
        <v>1.3500160000000001</v>
      </c>
      <c r="E1850" s="10">
        <v>45.35</v>
      </c>
      <c r="F1850" s="11">
        <v>66464</v>
      </c>
      <c r="H1850" s="12">
        <f>(PrincipalesVariables[[#This Row],[Base monetaria]]-C1849)/C1849</f>
        <v>-1.3101176442738391E-3</v>
      </c>
      <c r="I1850" s="12">
        <f>(PrincipalesVariables[[#This Row],[Dólar  mayorista]]-E1849)/E1849</f>
        <v>-1.9806338028168203E-3</v>
      </c>
      <c r="J1850" s="12">
        <f>(PrincipalesVariables[[#This Row],[Reservas internacionales]]-F1849)/F1849</f>
        <v>-8.6362483779067172E-3</v>
      </c>
    </row>
    <row r="1851" spans="1:10" ht="15.75" thickBot="1" x14ac:dyDescent="0.3">
      <c r="A1851" s="14">
        <v>43684</v>
      </c>
      <c r="B1851" s="15">
        <v>43684</v>
      </c>
      <c r="C1851" s="16">
        <v>1354564</v>
      </c>
      <c r="D1851" s="10">
        <f>PrincipalesVariables[[#This Row],[Base monetaria]]/1000000</f>
        <v>1.3545640000000001</v>
      </c>
      <c r="E1851" s="10">
        <v>45.69</v>
      </c>
      <c r="F1851" s="11">
        <v>66399</v>
      </c>
      <c r="H1851" s="12">
        <f>(PrincipalesVariables[[#This Row],[Base monetaria]]-C1850)/C1850</f>
        <v>3.3688489617900823E-3</v>
      </c>
      <c r="I1851" s="12">
        <f>(PrincipalesVariables[[#This Row],[Dólar  mayorista]]-E1850)/E1850</f>
        <v>7.4972436604188817E-3</v>
      </c>
      <c r="J1851" s="12">
        <f>(PrincipalesVariables[[#This Row],[Reservas internacionales]]-F1850)/F1850</f>
        <v>-9.7797303803562829E-4</v>
      </c>
    </row>
    <row r="1852" spans="1:10" ht="15.75" thickBot="1" x14ac:dyDescent="0.3">
      <c r="A1852" s="14">
        <v>43685</v>
      </c>
      <c r="B1852" s="15">
        <v>43685</v>
      </c>
      <c r="C1852" s="16">
        <v>1356755</v>
      </c>
      <c r="D1852" s="10">
        <f>PrincipalesVariables[[#This Row],[Base monetaria]]/1000000</f>
        <v>1.3567549999999999</v>
      </c>
      <c r="E1852" s="10">
        <v>45.41</v>
      </c>
      <c r="F1852" s="11">
        <v>66370</v>
      </c>
      <c r="H1852" s="12">
        <f>(PrincipalesVariables[[#This Row],[Base monetaria]]-C1851)/C1851</f>
        <v>1.6174946329593877E-3</v>
      </c>
      <c r="I1852" s="12">
        <f>(PrincipalesVariables[[#This Row],[Dólar  mayorista]]-E1851)/E1851</f>
        <v>-6.1282556358065472E-3</v>
      </c>
      <c r="J1852" s="12">
        <f>(PrincipalesVariables[[#This Row],[Reservas internacionales]]-F1851)/F1851</f>
        <v>-4.3675356556574648E-4</v>
      </c>
    </row>
    <row r="1853" spans="1:10" ht="15.75" thickBot="1" x14ac:dyDescent="0.3">
      <c r="A1853" s="14">
        <v>43686</v>
      </c>
      <c r="B1853" s="15">
        <v>43686</v>
      </c>
      <c r="C1853" s="16">
        <v>1344749</v>
      </c>
      <c r="D1853" s="10">
        <f>PrincipalesVariables[[#This Row],[Base monetaria]]/1000000</f>
        <v>1.344749</v>
      </c>
      <c r="E1853" s="10">
        <v>45.4</v>
      </c>
      <c r="F1853" s="11">
        <v>66309</v>
      </c>
      <c r="H1853" s="12">
        <f>(PrincipalesVariables[[#This Row],[Base monetaria]]-C1852)/C1852</f>
        <v>-8.8490552826413025E-3</v>
      </c>
      <c r="I1853" s="12">
        <f>(PrincipalesVariables[[#This Row],[Dólar  mayorista]]-E1852)/E1852</f>
        <v>-2.2021581149522156E-4</v>
      </c>
      <c r="J1853" s="12">
        <f>(PrincipalesVariables[[#This Row],[Reservas internacionales]]-F1852)/F1852</f>
        <v>-9.1908995027874035E-4</v>
      </c>
    </row>
    <row r="1854" spans="1:10" ht="15.75" thickBot="1" x14ac:dyDescent="0.3">
      <c r="A1854" s="14">
        <v>43689</v>
      </c>
      <c r="B1854" s="15">
        <v>43689</v>
      </c>
      <c r="C1854" s="16">
        <v>1487472</v>
      </c>
      <c r="D1854" s="10">
        <f>PrincipalesVariables[[#This Row],[Base monetaria]]/1000000</f>
        <v>1.4874719999999999</v>
      </c>
      <c r="E1854" s="10">
        <v>55.75</v>
      </c>
      <c r="F1854" s="11">
        <v>65736</v>
      </c>
      <c r="H1854" s="12">
        <f>(PrincipalesVariables[[#This Row],[Base monetaria]]-C1853)/C1853</f>
        <v>0.10613356098424316</v>
      </c>
      <c r="I1854" s="12">
        <f>(PrincipalesVariables[[#This Row],[Dólar  mayorista]]-E1853)/E1853</f>
        <v>0.22797356828193838</v>
      </c>
      <c r="J1854" s="12">
        <f>(PrincipalesVariables[[#This Row],[Reservas internacionales]]-F1853)/F1853</f>
        <v>-8.6413609012351272E-3</v>
      </c>
    </row>
    <row r="1855" spans="1:10" ht="15.75" thickBot="1" x14ac:dyDescent="0.3">
      <c r="A1855" s="14">
        <v>43690</v>
      </c>
      <c r="B1855" s="15">
        <v>43690</v>
      </c>
      <c r="C1855" s="16">
        <v>1466669</v>
      </c>
      <c r="D1855" s="10">
        <f>PrincipalesVariables[[#This Row],[Base monetaria]]/1000000</f>
        <v>1.466669</v>
      </c>
      <c r="E1855" s="10">
        <v>56.32</v>
      </c>
      <c r="F1855" s="11">
        <v>65042</v>
      </c>
      <c r="H1855" s="12">
        <f>(PrincipalesVariables[[#This Row],[Base monetaria]]-C1854)/C1854</f>
        <v>-1.3985473340002367E-2</v>
      </c>
      <c r="I1855" s="12">
        <f>(PrincipalesVariables[[#This Row],[Dólar  mayorista]]-E1854)/E1854</f>
        <v>1.0224215246636777E-2</v>
      </c>
      <c r="J1855" s="12">
        <f>(PrincipalesVariables[[#This Row],[Reservas internacionales]]-F1854)/F1854</f>
        <v>-1.055738103930875E-2</v>
      </c>
    </row>
    <row r="1856" spans="1:10" ht="15.75" thickBot="1" x14ac:dyDescent="0.3">
      <c r="A1856" s="14">
        <v>43691</v>
      </c>
      <c r="B1856" s="15">
        <v>43691</v>
      </c>
      <c r="C1856" s="16">
        <v>1360913</v>
      </c>
      <c r="D1856" s="10">
        <f>PrincipalesVariables[[#This Row],[Base monetaria]]/1000000</f>
        <v>1.360913</v>
      </c>
      <c r="E1856" s="10">
        <v>58.84</v>
      </c>
      <c r="F1856" s="11">
        <v>64233</v>
      </c>
      <c r="H1856" s="12">
        <f>(PrincipalesVariables[[#This Row],[Base monetaria]]-C1855)/C1855</f>
        <v>-7.2106248921876712E-2</v>
      </c>
      <c r="I1856" s="12">
        <f>(PrincipalesVariables[[#This Row],[Dólar  mayorista]]-E1855)/E1855</f>
        <v>4.4744318181818239E-2</v>
      </c>
      <c r="J1856" s="12">
        <f>(PrincipalesVariables[[#This Row],[Reservas internacionales]]-F1855)/F1855</f>
        <v>-1.2438116909074136E-2</v>
      </c>
    </row>
    <row r="1857" spans="1:10" ht="15.75" thickBot="1" x14ac:dyDescent="0.3">
      <c r="A1857" s="14">
        <v>43692</v>
      </c>
      <c r="B1857" s="15">
        <v>43692</v>
      </c>
      <c r="C1857" s="16">
        <v>1341834</v>
      </c>
      <c r="D1857" s="10">
        <f>PrincipalesVariables[[#This Row],[Base monetaria]]/1000000</f>
        <v>1.341834</v>
      </c>
      <c r="E1857" s="10">
        <v>56.63</v>
      </c>
      <c r="F1857" s="11">
        <v>63712</v>
      </c>
      <c r="H1857" s="12">
        <f>(PrincipalesVariables[[#This Row],[Base monetaria]]-C1856)/C1856</f>
        <v>-1.4019265008123224E-2</v>
      </c>
      <c r="I1857" s="12">
        <f>(PrincipalesVariables[[#This Row],[Dólar  mayorista]]-E1856)/E1856</f>
        <v>-3.7559483344663504E-2</v>
      </c>
      <c r="J1857" s="12">
        <f>(PrincipalesVariables[[#This Row],[Reservas internacionales]]-F1856)/F1856</f>
        <v>-8.1110955427895325E-3</v>
      </c>
    </row>
    <row r="1858" spans="1:10" ht="15.75" thickBot="1" x14ac:dyDescent="0.3">
      <c r="A1858" s="14">
        <v>43693</v>
      </c>
      <c r="B1858" s="15">
        <v>43693</v>
      </c>
      <c r="C1858" s="16">
        <v>1253757</v>
      </c>
      <c r="D1858" s="10">
        <f>PrincipalesVariables[[#This Row],[Base monetaria]]/1000000</f>
        <v>1.253757</v>
      </c>
      <c r="E1858" s="10">
        <v>56.44</v>
      </c>
      <c r="F1858" s="11">
        <v>62404</v>
      </c>
      <c r="H1858" s="12">
        <f>(PrincipalesVariables[[#This Row],[Base monetaria]]-C1857)/C1857</f>
        <v>-6.5639266854171235E-2</v>
      </c>
      <c r="I1858" s="12">
        <f>(PrincipalesVariables[[#This Row],[Dólar  mayorista]]-E1857)/E1857</f>
        <v>-3.355112131379213E-3</v>
      </c>
      <c r="J1858" s="12">
        <f>(PrincipalesVariables[[#This Row],[Reservas internacionales]]-F1857)/F1857</f>
        <v>-2.0529884480160722E-2</v>
      </c>
    </row>
    <row r="1859" spans="1:10" ht="15.75" thickBot="1" x14ac:dyDescent="0.3">
      <c r="A1859" s="14">
        <v>43697</v>
      </c>
      <c r="B1859" s="15">
        <v>43697</v>
      </c>
      <c r="C1859" s="16">
        <v>1241085</v>
      </c>
      <c r="D1859" s="10">
        <f>PrincipalesVariables[[#This Row],[Base monetaria]]/1000000</f>
        <v>1.241085</v>
      </c>
      <c r="E1859" s="10">
        <v>55.36</v>
      </c>
      <c r="F1859" s="11">
        <v>59394</v>
      </c>
      <c r="H1859" s="12">
        <f>(PrincipalesVariables[[#This Row],[Base monetaria]]-C1858)/C1858</f>
        <v>-1.0107221734355222E-2</v>
      </c>
      <c r="I1859" s="12">
        <f>(PrincipalesVariables[[#This Row],[Dólar  mayorista]]-E1858)/E1858</f>
        <v>-1.9135364989369213E-2</v>
      </c>
      <c r="J1859" s="12">
        <f>(PrincipalesVariables[[#This Row],[Reservas internacionales]]-F1858)/F1858</f>
        <v>-4.823408755848984E-2</v>
      </c>
    </row>
    <row r="1860" spans="1:10" ht="15.75" thickBot="1" x14ac:dyDescent="0.3">
      <c r="A1860" s="14">
        <v>43698</v>
      </c>
      <c r="B1860" s="15">
        <v>43698</v>
      </c>
      <c r="C1860" s="16">
        <v>1280340</v>
      </c>
      <c r="D1860" s="10">
        <f>PrincipalesVariables[[#This Row],[Base monetaria]]/1000000</f>
        <v>1.28034</v>
      </c>
      <c r="E1860" s="10">
        <v>54.92</v>
      </c>
      <c r="F1860" s="11">
        <v>58894</v>
      </c>
      <c r="H1860" s="12">
        <f>(PrincipalesVariables[[#This Row],[Base monetaria]]-C1859)/C1859</f>
        <v>3.1629582180108536E-2</v>
      </c>
      <c r="I1860" s="12">
        <f>(PrincipalesVariables[[#This Row],[Dólar  mayorista]]-E1859)/E1859</f>
        <v>-7.9479768786126764E-3</v>
      </c>
      <c r="J1860" s="12">
        <f>(PrincipalesVariables[[#This Row],[Reservas internacionales]]-F1859)/F1859</f>
        <v>-8.4183587567767792E-3</v>
      </c>
    </row>
    <row r="1861" spans="1:10" ht="15.75" thickBot="1" x14ac:dyDescent="0.3">
      <c r="A1861" s="14">
        <v>43699</v>
      </c>
      <c r="B1861" s="15">
        <v>43699</v>
      </c>
      <c r="C1861" s="16">
        <v>1293716</v>
      </c>
      <c r="D1861" s="10">
        <f>PrincipalesVariables[[#This Row],[Base monetaria]]/1000000</f>
        <v>1.2937160000000001</v>
      </c>
      <c r="E1861" s="10">
        <v>55.03</v>
      </c>
      <c r="F1861" s="11">
        <v>58410</v>
      </c>
      <c r="H1861" s="12">
        <f>(PrincipalesVariables[[#This Row],[Base monetaria]]-C1860)/C1860</f>
        <v>1.0447224955871097E-2</v>
      </c>
      <c r="I1861" s="12">
        <f>(PrincipalesVariables[[#This Row],[Dólar  mayorista]]-E1860)/E1860</f>
        <v>2.0029133284777756E-3</v>
      </c>
      <c r="J1861" s="12">
        <f>(PrincipalesVariables[[#This Row],[Reservas internacionales]]-F1860)/F1860</f>
        <v>-8.2181546507284278E-3</v>
      </c>
    </row>
    <row r="1862" spans="1:10" ht="15.75" thickBot="1" x14ac:dyDescent="0.3">
      <c r="A1862" s="14">
        <v>43700</v>
      </c>
      <c r="B1862" s="15">
        <v>43700</v>
      </c>
      <c r="C1862" s="16">
        <v>1245525</v>
      </c>
      <c r="D1862" s="10">
        <f>PrincipalesVariables[[#This Row],[Base monetaria]]/1000000</f>
        <v>1.245525</v>
      </c>
      <c r="E1862" s="10">
        <v>55.27</v>
      </c>
      <c r="F1862" s="11">
        <v>58267</v>
      </c>
      <c r="H1862" s="12">
        <f>(PrincipalesVariables[[#This Row],[Base monetaria]]-C1861)/C1861</f>
        <v>-3.7250061064406717E-2</v>
      </c>
      <c r="I1862" s="12">
        <f>(PrincipalesVariables[[#This Row],[Dólar  mayorista]]-E1861)/E1861</f>
        <v>4.3612574959113574E-3</v>
      </c>
      <c r="J1862" s="12">
        <f>(PrincipalesVariables[[#This Row],[Reservas internacionales]]-F1861)/F1861</f>
        <v>-2.448210922787194E-3</v>
      </c>
    </row>
    <row r="1863" spans="1:10" ht="15.75" thickBot="1" x14ac:dyDescent="0.3">
      <c r="A1863" s="14">
        <v>43703</v>
      </c>
      <c r="B1863" s="15">
        <v>43703</v>
      </c>
      <c r="C1863" s="16">
        <v>1296127</v>
      </c>
      <c r="D1863" s="10">
        <f>PrincipalesVariables[[#This Row],[Base monetaria]]/1000000</f>
        <v>1.296127</v>
      </c>
      <c r="E1863" s="10">
        <v>55.34</v>
      </c>
      <c r="F1863" s="11">
        <v>57918</v>
      </c>
      <c r="H1863" s="12">
        <f>(PrincipalesVariables[[#This Row],[Base monetaria]]-C1862)/C1862</f>
        <v>4.0627044820457238E-2</v>
      </c>
      <c r="I1863" s="12">
        <f>(PrincipalesVariables[[#This Row],[Dólar  mayorista]]-E1862)/E1862</f>
        <v>1.2665098606839205E-3</v>
      </c>
      <c r="J1863" s="12">
        <f>(PrincipalesVariables[[#This Row],[Reservas internacionales]]-F1862)/F1862</f>
        <v>-5.9896682513257936E-3</v>
      </c>
    </row>
    <row r="1864" spans="1:10" ht="15.75" thickBot="1" x14ac:dyDescent="0.3">
      <c r="A1864" s="14">
        <v>43704</v>
      </c>
      <c r="B1864" s="15">
        <v>43704</v>
      </c>
      <c r="C1864" s="16">
        <v>1242570</v>
      </c>
      <c r="D1864" s="10">
        <f>PrincipalesVariables[[#This Row],[Base monetaria]]/1000000</f>
        <v>1.24257</v>
      </c>
      <c r="E1864" s="10">
        <v>55.71</v>
      </c>
      <c r="F1864" s="11">
        <v>57477</v>
      </c>
      <c r="H1864" s="12">
        <f>(PrincipalesVariables[[#This Row],[Base monetaria]]-C1863)/C1863</f>
        <v>-4.1320796496022383E-2</v>
      </c>
      <c r="I1864" s="12">
        <f>(PrincipalesVariables[[#This Row],[Dólar  mayorista]]-E1863)/E1863</f>
        <v>6.6859414528369606E-3</v>
      </c>
      <c r="J1864" s="12">
        <f>(PrincipalesVariables[[#This Row],[Reservas internacionales]]-F1863)/F1863</f>
        <v>-7.6142131979695434E-3</v>
      </c>
    </row>
    <row r="1865" spans="1:10" ht="15.75" thickBot="1" x14ac:dyDescent="0.3">
      <c r="A1865" s="14">
        <v>43705</v>
      </c>
      <c r="B1865" s="15">
        <v>43705</v>
      </c>
      <c r="C1865" s="16">
        <v>1268686</v>
      </c>
      <c r="D1865" s="10">
        <f>PrincipalesVariables[[#This Row],[Base monetaria]]/1000000</f>
        <v>1.268686</v>
      </c>
      <c r="E1865" s="10">
        <v>58.08</v>
      </c>
      <c r="F1865" s="11">
        <v>56953</v>
      </c>
      <c r="H1865" s="12">
        <f>(PrincipalesVariables[[#This Row],[Base monetaria]]-C1864)/C1864</f>
        <v>2.1017729383455259E-2</v>
      </c>
      <c r="I1865" s="12">
        <f>(PrincipalesVariables[[#This Row],[Dólar  mayorista]]-E1864)/E1864</f>
        <v>4.2541733979536839E-2</v>
      </c>
      <c r="J1865" s="12">
        <f>(PrincipalesVariables[[#This Row],[Reservas internacionales]]-F1864)/F1864</f>
        <v>-9.1166901543225983E-3</v>
      </c>
    </row>
    <row r="1866" spans="1:10" ht="15.75" thickBot="1" x14ac:dyDescent="0.3">
      <c r="A1866" s="14">
        <v>43706</v>
      </c>
      <c r="B1866" s="15">
        <v>43706</v>
      </c>
      <c r="C1866" s="16">
        <v>1329425</v>
      </c>
      <c r="D1866" s="10">
        <f>PrincipalesVariables[[#This Row],[Base monetaria]]/1000000</f>
        <v>1.3294250000000001</v>
      </c>
      <c r="E1866" s="10">
        <v>58.2</v>
      </c>
      <c r="F1866" s="11">
        <v>56044</v>
      </c>
      <c r="H1866" s="12">
        <f>(PrincipalesVariables[[#This Row],[Base monetaria]]-C1865)/C1865</f>
        <v>4.7875518449797663E-2</v>
      </c>
      <c r="I1866" s="12">
        <f>(PrincipalesVariables[[#This Row],[Dólar  mayorista]]-E1865)/E1865</f>
        <v>2.0661157024794174E-3</v>
      </c>
      <c r="J1866" s="12">
        <f>(PrincipalesVariables[[#This Row],[Reservas internacionales]]-F1865)/F1865</f>
        <v>-1.5960528857127808E-2</v>
      </c>
    </row>
    <row r="1867" spans="1:10" ht="15.75" thickBot="1" x14ac:dyDescent="0.3">
      <c r="A1867" s="14">
        <v>43707</v>
      </c>
      <c r="B1867" s="15">
        <v>43707</v>
      </c>
      <c r="C1867" s="16">
        <v>1296173</v>
      </c>
      <c r="D1867" s="10">
        <f>PrincipalesVariables[[#This Row],[Base monetaria]]/1000000</f>
        <v>1.296173</v>
      </c>
      <c r="E1867" s="10">
        <v>59.08</v>
      </c>
      <c r="F1867" s="11">
        <v>54100</v>
      </c>
      <c r="H1867" s="12">
        <f>(PrincipalesVariables[[#This Row],[Base monetaria]]-C1866)/C1866</f>
        <v>-2.501231735524757E-2</v>
      </c>
      <c r="I1867" s="12">
        <f>(PrincipalesVariables[[#This Row],[Dólar  mayorista]]-E1866)/E1866</f>
        <v>1.5120274914089267E-2</v>
      </c>
      <c r="J1867" s="12">
        <f>(PrincipalesVariables[[#This Row],[Reservas internacionales]]-F1866)/F1866</f>
        <v>-3.4687031618014418E-2</v>
      </c>
    </row>
    <row r="1868" spans="1:10" ht="15.75" thickBot="1" x14ac:dyDescent="0.3">
      <c r="A1868" s="14">
        <v>43710</v>
      </c>
      <c r="B1868" s="15">
        <v>43710</v>
      </c>
      <c r="C1868" s="16">
        <v>1577889</v>
      </c>
      <c r="D1868" s="10">
        <f>PrincipalesVariables[[#This Row],[Base monetaria]]/1000000</f>
        <v>1.5778890000000001</v>
      </c>
      <c r="E1868" s="10">
        <v>57.09</v>
      </c>
      <c r="F1868" s="11">
        <v>53146</v>
      </c>
      <c r="H1868" s="12">
        <f>(PrincipalesVariables[[#This Row],[Base monetaria]]-C1867)/C1867</f>
        <v>0.21734444399011552</v>
      </c>
      <c r="I1868" s="12">
        <f>(PrincipalesVariables[[#This Row],[Dólar  mayorista]]-E1867)/E1867</f>
        <v>-3.3683141503046632E-2</v>
      </c>
      <c r="J1868" s="12">
        <f>(PrincipalesVariables[[#This Row],[Reservas internacionales]]-F1867)/F1867</f>
        <v>-1.7634011090573012E-2</v>
      </c>
    </row>
    <row r="1869" spans="1:10" ht="15.75" thickBot="1" x14ac:dyDescent="0.3">
      <c r="A1869" s="14">
        <v>43711</v>
      </c>
      <c r="B1869" s="15">
        <v>43711</v>
      </c>
      <c r="C1869" s="16">
        <v>1531769</v>
      </c>
      <c r="D1869" s="10">
        <f>PrincipalesVariables[[#This Row],[Base monetaria]]/1000000</f>
        <v>1.5317689999999999</v>
      </c>
      <c r="E1869" s="10">
        <v>55.78</v>
      </c>
      <c r="F1869" s="11">
        <v>52151</v>
      </c>
      <c r="H1869" s="12">
        <f>(PrincipalesVariables[[#This Row],[Base monetaria]]-C1868)/C1868</f>
        <v>-2.9228925482083973E-2</v>
      </c>
      <c r="I1869" s="12">
        <f>(PrincipalesVariables[[#This Row],[Dólar  mayorista]]-E1868)/E1868</f>
        <v>-2.2946225258364025E-2</v>
      </c>
      <c r="J1869" s="12">
        <f>(PrincipalesVariables[[#This Row],[Reservas internacionales]]-F1868)/F1868</f>
        <v>-1.8722011063861815E-2</v>
      </c>
    </row>
    <row r="1870" spans="1:10" ht="15.75" thickBot="1" x14ac:dyDescent="0.3">
      <c r="A1870" s="14">
        <v>43712</v>
      </c>
      <c r="B1870" s="15">
        <v>43712</v>
      </c>
      <c r="C1870" s="16">
        <v>1496370</v>
      </c>
      <c r="D1870" s="10">
        <f>PrincipalesVariables[[#This Row],[Base monetaria]]/1000000</f>
        <v>1.49637</v>
      </c>
      <c r="E1870" s="10">
        <v>55.94</v>
      </c>
      <c r="F1870" s="11">
        <v>51741</v>
      </c>
      <c r="H1870" s="12">
        <f>(PrincipalesVariables[[#This Row],[Base monetaria]]-C1869)/C1869</f>
        <v>-2.3109881450793169E-2</v>
      </c>
      <c r="I1870" s="12">
        <f>(PrincipalesVariables[[#This Row],[Dólar  mayorista]]-E1869)/E1869</f>
        <v>2.8684116170669877E-3</v>
      </c>
      <c r="J1870" s="12">
        <f>(PrincipalesVariables[[#This Row],[Reservas internacionales]]-F1869)/F1869</f>
        <v>-7.8617859676708025E-3</v>
      </c>
    </row>
    <row r="1871" spans="1:10" ht="15.75" thickBot="1" x14ac:dyDescent="0.3">
      <c r="A1871" s="14">
        <v>43713</v>
      </c>
      <c r="B1871" s="15">
        <v>43713</v>
      </c>
      <c r="C1871" s="16">
        <v>1462572</v>
      </c>
      <c r="D1871" s="10">
        <f>PrincipalesVariables[[#This Row],[Base monetaria]]/1000000</f>
        <v>1.462572</v>
      </c>
      <c r="E1871" s="10">
        <v>56</v>
      </c>
      <c r="F1871" s="11">
        <v>51295</v>
      </c>
      <c r="H1871" s="12">
        <f>(PrincipalesVariables[[#This Row],[Base monetaria]]-C1870)/C1870</f>
        <v>-2.2586659716513965E-2</v>
      </c>
      <c r="I1871" s="12">
        <f>(PrincipalesVariables[[#This Row],[Dólar  mayorista]]-E1870)/E1870</f>
        <v>1.0725777618877776E-3</v>
      </c>
      <c r="J1871" s="12">
        <f>(PrincipalesVariables[[#This Row],[Reservas internacionales]]-F1870)/F1870</f>
        <v>-8.6198565934172133E-3</v>
      </c>
    </row>
    <row r="1872" spans="1:10" ht="15.75" thickBot="1" x14ac:dyDescent="0.3">
      <c r="A1872" s="14">
        <v>43714</v>
      </c>
      <c r="B1872" s="15">
        <v>43714</v>
      </c>
      <c r="C1872" s="16">
        <v>1423441</v>
      </c>
      <c r="D1872" s="10">
        <f>PrincipalesVariables[[#This Row],[Base monetaria]]/1000000</f>
        <v>1.423441</v>
      </c>
      <c r="E1872" s="10">
        <v>55.91</v>
      </c>
      <c r="F1872" s="11">
        <v>50952</v>
      </c>
      <c r="H1872" s="12">
        <f>(PrincipalesVariables[[#This Row],[Base monetaria]]-C1871)/C1871</f>
        <v>-2.6754922150841121E-2</v>
      </c>
      <c r="I1872" s="12">
        <f>(PrincipalesVariables[[#This Row],[Dólar  mayorista]]-E1871)/E1871</f>
        <v>-1.607142857142918E-3</v>
      </c>
      <c r="J1872" s="12">
        <f>(PrincipalesVariables[[#This Row],[Reservas internacionales]]-F1871)/F1871</f>
        <v>-6.6868115800760306E-3</v>
      </c>
    </row>
    <row r="1873" spans="1:10" ht="15.75" thickBot="1" x14ac:dyDescent="0.3">
      <c r="A1873" s="14">
        <v>43717</v>
      </c>
      <c r="B1873" s="15">
        <v>43717</v>
      </c>
      <c r="C1873" s="16">
        <v>1330833</v>
      </c>
      <c r="D1873" s="10">
        <f>PrincipalesVariables[[#This Row],[Base monetaria]]/1000000</f>
        <v>1.3308329999999999</v>
      </c>
      <c r="E1873" s="10">
        <v>55.94</v>
      </c>
      <c r="F1873" s="11">
        <v>50646</v>
      </c>
      <c r="H1873" s="12">
        <f>(PrincipalesVariables[[#This Row],[Base monetaria]]-C1872)/C1872</f>
        <v>-6.5059247274737761E-2</v>
      </c>
      <c r="I1873" s="12">
        <f>(PrincipalesVariables[[#This Row],[Dólar  mayorista]]-E1872)/E1872</f>
        <v>5.3657664103024753E-4</v>
      </c>
      <c r="J1873" s="12">
        <f>(PrincipalesVariables[[#This Row],[Reservas internacionales]]-F1872)/F1872</f>
        <v>-6.0056523787093731E-3</v>
      </c>
    </row>
    <row r="1874" spans="1:10" ht="15.75" thickBot="1" x14ac:dyDescent="0.3">
      <c r="A1874" s="14">
        <v>43718</v>
      </c>
      <c r="B1874" s="15">
        <v>43718</v>
      </c>
      <c r="C1874" s="16">
        <v>1342159</v>
      </c>
      <c r="D1874" s="10">
        <f>PrincipalesVariables[[#This Row],[Base monetaria]]/1000000</f>
        <v>1.3421590000000001</v>
      </c>
      <c r="E1874" s="10">
        <v>56.07</v>
      </c>
      <c r="F1874" s="11">
        <v>50378</v>
      </c>
      <c r="H1874" s="12">
        <f>(PrincipalesVariables[[#This Row],[Base monetaria]]-C1873)/C1873</f>
        <v>8.5104592386873491E-3</v>
      </c>
      <c r="I1874" s="12">
        <f>(PrincipalesVariables[[#This Row],[Dólar  mayorista]]-E1873)/E1873</f>
        <v>2.3239184840901424E-3</v>
      </c>
      <c r="J1874" s="12">
        <f>(PrincipalesVariables[[#This Row],[Reservas internacionales]]-F1873)/F1873</f>
        <v>-5.291632113098764E-3</v>
      </c>
    </row>
    <row r="1875" spans="1:10" ht="15.75" thickBot="1" x14ac:dyDescent="0.3">
      <c r="A1875" s="14">
        <v>43719</v>
      </c>
      <c r="B1875" s="15">
        <v>43719</v>
      </c>
      <c r="C1875" s="16">
        <v>1361812</v>
      </c>
      <c r="D1875" s="10">
        <f>PrincipalesVariables[[#This Row],[Base monetaria]]/1000000</f>
        <v>1.361812</v>
      </c>
      <c r="E1875" s="10">
        <v>56.11</v>
      </c>
      <c r="F1875" s="11">
        <v>50236</v>
      </c>
      <c r="H1875" s="12">
        <f>(PrincipalesVariables[[#This Row],[Base monetaria]]-C1874)/C1874</f>
        <v>1.4642825477458333E-2</v>
      </c>
      <c r="I1875" s="12">
        <f>(PrincipalesVariables[[#This Row],[Dólar  mayorista]]-E1874)/E1874</f>
        <v>7.1339397182092288E-4</v>
      </c>
      <c r="J1875" s="12">
        <f>(PrincipalesVariables[[#This Row],[Reservas internacionales]]-F1874)/F1874</f>
        <v>-2.8186906983206955E-3</v>
      </c>
    </row>
    <row r="1876" spans="1:10" ht="15.75" thickBot="1" x14ac:dyDescent="0.3">
      <c r="A1876" s="14">
        <v>43720</v>
      </c>
      <c r="B1876" s="15">
        <v>43720</v>
      </c>
      <c r="C1876" s="16">
        <v>1351075</v>
      </c>
      <c r="D1876" s="10">
        <f>PrincipalesVariables[[#This Row],[Base monetaria]]/1000000</f>
        <v>1.351075</v>
      </c>
      <c r="E1876" s="10">
        <v>56.18</v>
      </c>
      <c r="F1876" s="11">
        <v>50163</v>
      </c>
      <c r="H1876" s="12">
        <f>(PrincipalesVariables[[#This Row],[Base monetaria]]-C1875)/C1875</f>
        <v>-7.8843482066540752E-3</v>
      </c>
      <c r="I1876" s="12">
        <f>(PrincipalesVariables[[#This Row],[Dólar  mayorista]]-E1875)/E1875</f>
        <v>1.2475494564248848E-3</v>
      </c>
      <c r="J1876" s="12">
        <f>(PrincipalesVariables[[#This Row],[Reservas internacionales]]-F1875)/F1875</f>
        <v>-1.4531411736603233E-3</v>
      </c>
    </row>
    <row r="1877" spans="1:10" ht="15.75" thickBot="1" x14ac:dyDescent="0.3">
      <c r="A1877" s="14">
        <v>43721</v>
      </c>
      <c r="B1877" s="15">
        <v>43721</v>
      </c>
      <c r="C1877" s="16">
        <v>1318984</v>
      </c>
      <c r="D1877" s="10">
        <f>PrincipalesVariables[[#This Row],[Base monetaria]]/1000000</f>
        <v>1.3189839999999999</v>
      </c>
      <c r="E1877" s="10">
        <v>56.15</v>
      </c>
      <c r="F1877" s="11">
        <v>50089</v>
      </c>
      <c r="H1877" s="12">
        <f>(PrincipalesVariables[[#This Row],[Base monetaria]]-C1876)/C1876</f>
        <v>-2.3752197324352829E-2</v>
      </c>
      <c r="I1877" s="12">
        <f>(PrincipalesVariables[[#This Row],[Dólar  mayorista]]-E1876)/E1876</f>
        <v>-5.3399786400856416E-4</v>
      </c>
      <c r="J1877" s="12">
        <f>(PrincipalesVariables[[#This Row],[Reservas internacionales]]-F1876)/F1876</f>
        <v>-1.4751908777385723E-3</v>
      </c>
    </row>
    <row r="1878" spans="1:10" ht="15.75" thickBot="1" x14ac:dyDescent="0.3">
      <c r="A1878" s="14">
        <v>43724</v>
      </c>
      <c r="B1878" s="15">
        <v>43724</v>
      </c>
      <c r="C1878" s="16">
        <v>1289481</v>
      </c>
      <c r="D1878" s="10">
        <f>PrincipalesVariables[[#This Row],[Base monetaria]]/1000000</f>
        <v>1.2894810000000001</v>
      </c>
      <c r="E1878" s="10">
        <v>56.25</v>
      </c>
      <c r="F1878" s="11">
        <v>49973</v>
      </c>
      <c r="H1878" s="12">
        <f>(PrincipalesVariables[[#This Row],[Base monetaria]]-C1877)/C1877</f>
        <v>-2.23679741376696E-2</v>
      </c>
      <c r="I1878" s="12">
        <f>(PrincipalesVariables[[#This Row],[Dólar  mayorista]]-E1877)/E1877</f>
        <v>1.7809439002671669E-3</v>
      </c>
      <c r="J1878" s="12">
        <f>(PrincipalesVariables[[#This Row],[Reservas internacionales]]-F1877)/F1877</f>
        <v>-2.3158777376270237E-3</v>
      </c>
    </row>
    <row r="1879" spans="1:10" ht="15.75" thickBot="1" x14ac:dyDescent="0.3">
      <c r="A1879" s="14">
        <v>43725</v>
      </c>
      <c r="B1879" s="15">
        <v>43725</v>
      </c>
      <c r="C1879" s="16">
        <v>1302691</v>
      </c>
      <c r="D1879" s="10">
        <f>PrincipalesVariables[[#This Row],[Base monetaria]]/1000000</f>
        <v>1.302691</v>
      </c>
      <c r="E1879" s="10">
        <v>56.45</v>
      </c>
      <c r="F1879" s="11">
        <v>49881</v>
      </c>
      <c r="H1879" s="12">
        <f>(PrincipalesVariables[[#This Row],[Base monetaria]]-C1878)/C1878</f>
        <v>1.0244431674448867E-2</v>
      </c>
      <c r="I1879" s="12">
        <f>(PrincipalesVariables[[#This Row],[Dólar  mayorista]]-E1878)/E1878</f>
        <v>3.555555555555606E-3</v>
      </c>
      <c r="J1879" s="12">
        <f>(PrincipalesVariables[[#This Row],[Reservas internacionales]]-F1878)/F1878</f>
        <v>-1.8409941368338902E-3</v>
      </c>
    </row>
    <row r="1880" spans="1:10" ht="15.75" thickBot="1" x14ac:dyDescent="0.3">
      <c r="A1880" s="14">
        <v>43726</v>
      </c>
      <c r="B1880" s="15">
        <v>43726</v>
      </c>
      <c r="C1880" s="16">
        <v>1276898</v>
      </c>
      <c r="D1880" s="10">
        <f>PrincipalesVariables[[#This Row],[Base monetaria]]/1000000</f>
        <v>1.2768980000000001</v>
      </c>
      <c r="E1880" s="10">
        <v>56.5</v>
      </c>
      <c r="F1880" s="11">
        <v>49818</v>
      </c>
      <c r="H1880" s="12">
        <f>(PrincipalesVariables[[#This Row],[Base monetaria]]-C1879)/C1879</f>
        <v>-1.9799783678554624E-2</v>
      </c>
      <c r="I1880" s="12">
        <f>(PrincipalesVariables[[#This Row],[Dólar  mayorista]]-E1879)/E1879</f>
        <v>8.8573959255973703E-4</v>
      </c>
      <c r="J1880" s="12">
        <f>(PrincipalesVariables[[#This Row],[Reservas internacionales]]-F1879)/F1879</f>
        <v>-1.2630059541709267E-3</v>
      </c>
    </row>
    <row r="1881" spans="1:10" ht="15.75" thickBot="1" x14ac:dyDescent="0.3">
      <c r="A1881" s="14">
        <v>43727</v>
      </c>
      <c r="B1881" s="15">
        <v>43727</v>
      </c>
      <c r="C1881" s="16">
        <v>1275408</v>
      </c>
      <c r="D1881" s="10">
        <f>PrincipalesVariables[[#This Row],[Base monetaria]]/1000000</f>
        <v>1.2754080000000001</v>
      </c>
      <c r="E1881" s="10">
        <v>56.61</v>
      </c>
      <c r="F1881" s="11">
        <v>49729</v>
      </c>
      <c r="H1881" s="12">
        <f>(PrincipalesVariables[[#This Row],[Base monetaria]]-C1880)/C1880</f>
        <v>-1.1668903859196271E-3</v>
      </c>
      <c r="I1881" s="12">
        <f>(PrincipalesVariables[[#This Row],[Dólar  mayorista]]-E1880)/E1880</f>
        <v>1.9469026548672465E-3</v>
      </c>
      <c r="J1881" s="12">
        <f>(PrincipalesVariables[[#This Row],[Reservas internacionales]]-F1880)/F1880</f>
        <v>-1.7865028704484322E-3</v>
      </c>
    </row>
    <row r="1882" spans="1:10" ht="15.75" thickBot="1" x14ac:dyDescent="0.3">
      <c r="A1882" s="14">
        <v>43728</v>
      </c>
      <c r="B1882" s="15">
        <v>43728</v>
      </c>
      <c r="C1882" s="16">
        <v>1292755</v>
      </c>
      <c r="D1882" s="10">
        <f>PrincipalesVariables[[#This Row],[Base monetaria]]/1000000</f>
        <v>1.2927550000000001</v>
      </c>
      <c r="E1882" s="10">
        <v>56.62</v>
      </c>
      <c r="F1882" s="11">
        <v>49602</v>
      </c>
      <c r="H1882" s="12">
        <f>(PrincipalesVariables[[#This Row],[Base monetaria]]-C1881)/C1881</f>
        <v>1.36011378319722E-2</v>
      </c>
      <c r="I1882" s="12">
        <f>(PrincipalesVariables[[#This Row],[Dólar  mayorista]]-E1881)/E1881</f>
        <v>1.7664723547072974E-4</v>
      </c>
      <c r="J1882" s="12">
        <f>(PrincipalesVariables[[#This Row],[Reservas internacionales]]-F1881)/F1881</f>
        <v>-2.5538418226789196E-3</v>
      </c>
    </row>
    <row r="1883" spans="1:10" ht="15.75" thickBot="1" x14ac:dyDescent="0.3">
      <c r="A1883" s="14">
        <v>43731</v>
      </c>
      <c r="B1883" s="15">
        <v>43731</v>
      </c>
      <c r="C1883" s="16">
        <v>1281486</v>
      </c>
      <c r="D1883" s="10">
        <f>PrincipalesVariables[[#This Row],[Base monetaria]]/1000000</f>
        <v>1.2814859999999999</v>
      </c>
      <c r="E1883" s="10">
        <v>56.93</v>
      </c>
      <c r="F1883" s="11">
        <v>49498</v>
      </c>
      <c r="H1883" s="12">
        <f>(PrincipalesVariables[[#This Row],[Base monetaria]]-C1882)/C1882</f>
        <v>-8.7170422856612424E-3</v>
      </c>
      <c r="I1883" s="12">
        <f>(PrincipalesVariables[[#This Row],[Dólar  mayorista]]-E1882)/E1882</f>
        <v>5.4750971388202452E-3</v>
      </c>
      <c r="J1883" s="12">
        <f>(PrincipalesVariables[[#This Row],[Reservas internacionales]]-F1882)/F1882</f>
        <v>-2.0966896496109029E-3</v>
      </c>
    </row>
    <row r="1884" spans="1:10" ht="15.75" thickBot="1" x14ac:dyDescent="0.3">
      <c r="A1884" s="14">
        <v>43732</v>
      </c>
      <c r="B1884" s="15">
        <v>43732</v>
      </c>
      <c r="C1884" s="16">
        <v>1263112</v>
      </c>
      <c r="D1884" s="10">
        <f>PrincipalesVariables[[#This Row],[Base monetaria]]/1000000</f>
        <v>1.263112</v>
      </c>
      <c r="E1884" s="10">
        <v>56.94</v>
      </c>
      <c r="F1884" s="11">
        <v>49444</v>
      </c>
      <c r="H1884" s="12">
        <f>(PrincipalesVariables[[#This Row],[Base monetaria]]-C1883)/C1883</f>
        <v>-1.4338041929447532E-2</v>
      </c>
      <c r="I1884" s="12">
        <f>(PrincipalesVariables[[#This Row],[Dólar  mayorista]]-E1883)/E1883</f>
        <v>1.7565431231333234E-4</v>
      </c>
      <c r="J1884" s="12">
        <f>(PrincipalesVariables[[#This Row],[Reservas internacionales]]-F1883)/F1883</f>
        <v>-1.0909531698250435E-3</v>
      </c>
    </row>
    <row r="1885" spans="1:10" ht="15.75" thickBot="1" x14ac:dyDescent="0.3">
      <c r="A1885" s="14">
        <v>43733</v>
      </c>
      <c r="B1885" s="15">
        <v>43733</v>
      </c>
      <c r="C1885" s="16">
        <v>1279982</v>
      </c>
      <c r="D1885" s="10">
        <f>PrincipalesVariables[[#This Row],[Base monetaria]]/1000000</f>
        <v>1.279982</v>
      </c>
      <c r="E1885" s="10">
        <v>57.01</v>
      </c>
      <c r="F1885" s="11">
        <v>49312</v>
      </c>
      <c r="H1885" s="12">
        <f>(PrincipalesVariables[[#This Row],[Base monetaria]]-C1884)/C1884</f>
        <v>1.3355901931103496E-2</v>
      </c>
      <c r="I1885" s="12">
        <f>(PrincipalesVariables[[#This Row],[Dólar  mayorista]]-E1884)/E1884</f>
        <v>1.2293642430628781E-3</v>
      </c>
      <c r="J1885" s="12">
        <f>(PrincipalesVariables[[#This Row],[Reservas internacionales]]-F1884)/F1884</f>
        <v>-2.6696869185340991E-3</v>
      </c>
    </row>
    <row r="1886" spans="1:10" ht="15.75" thickBot="1" x14ac:dyDescent="0.3">
      <c r="A1886" s="14">
        <v>43734</v>
      </c>
      <c r="B1886" s="15">
        <v>43734</v>
      </c>
      <c r="C1886" s="16">
        <v>1278059</v>
      </c>
      <c r="D1886" s="10">
        <f>PrincipalesVariables[[#This Row],[Base monetaria]]/1000000</f>
        <v>1.2780590000000001</v>
      </c>
      <c r="E1886" s="10">
        <v>57.18</v>
      </c>
      <c r="F1886" s="11">
        <v>49231</v>
      </c>
      <c r="H1886" s="12">
        <f>(PrincipalesVariables[[#This Row],[Base monetaria]]-C1885)/C1885</f>
        <v>-1.5023648770060829E-3</v>
      </c>
      <c r="I1886" s="12">
        <f>(PrincipalesVariables[[#This Row],[Dólar  mayorista]]-E1885)/E1885</f>
        <v>2.9819329942115716E-3</v>
      </c>
      <c r="J1886" s="12">
        <f>(PrincipalesVariables[[#This Row],[Reservas internacionales]]-F1885)/F1885</f>
        <v>-1.6426022063595069E-3</v>
      </c>
    </row>
    <row r="1887" spans="1:10" ht="15.75" thickBot="1" x14ac:dyDescent="0.3">
      <c r="A1887" s="14">
        <v>43735</v>
      </c>
      <c r="B1887" s="15">
        <v>43735</v>
      </c>
      <c r="C1887" s="16">
        <v>1283217</v>
      </c>
      <c r="D1887" s="10">
        <f>PrincipalesVariables[[#This Row],[Base monetaria]]/1000000</f>
        <v>1.2832170000000001</v>
      </c>
      <c r="E1887" s="10">
        <v>57.32</v>
      </c>
      <c r="F1887" s="11">
        <v>48941</v>
      </c>
      <c r="H1887" s="12">
        <f>(PrincipalesVariables[[#This Row],[Base monetaria]]-C1886)/C1886</f>
        <v>4.0358074236009449E-3</v>
      </c>
      <c r="I1887" s="12">
        <f>(PrincipalesVariables[[#This Row],[Dólar  mayorista]]-E1886)/E1886</f>
        <v>2.4484085344526159E-3</v>
      </c>
      <c r="J1887" s="12">
        <f>(PrincipalesVariables[[#This Row],[Reservas internacionales]]-F1886)/F1886</f>
        <v>-5.8905973878247446E-3</v>
      </c>
    </row>
    <row r="1888" spans="1:10" ht="15.75" thickBot="1" x14ac:dyDescent="0.3">
      <c r="A1888" s="14">
        <v>43738</v>
      </c>
      <c r="B1888" s="15">
        <v>43738</v>
      </c>
      <c r="C1888" s="16">
        <v>1310029</v>
      </c>
      <c r="D1888" s="10">
        <f>PrincipalesVariables[[#This Row],[Base monetaria]]/1000000</f>
        <v>1.3100290000000001</v>
      </c>
      <c r="E1888" s="10">
        <v>57.56</v>
      </c>
      <c r="F1888" s="11">
        <v>48703</v>
      </c>
      <c r="H1888" s="12">
        <f>(PrincipalesVariables[[#This Row],[Base monetaria]]-C1887)/C1887</f>
        <v>2.089436159277815E-2</v>
      </c>
      <c r="I1888" s="12">
        <f>(PrincipalesVariables[[#This Row],[Dólar  mayorista]]-E1887)/E1887</f>
        <v>4.187020237264515E-3</v>
      </c>
      <c r="J1888" s="12">
        <f>(PrincipalesVariables[[#This Row],[Reservas internacionales]]-F1887)/F1887</f>
        <v>-4.8629983040804235E-3</v>
      </c>
    </row>
    <row r="1889" spans="1:10" ht="15.75" thickBot="1" x14ac:dyDescent="0.3">
      <c r="A1889" s="14">
        <v>43739</v>
      </c>
      <c r="B1889" s="15">
        <v>43739</v>
      </c>
      <c r="C1889" s="16">
        <v>1336755</v>
      </c>
      <c r="D1889" s="10">
        <f>PrincipalesVariables[[#This Row],[Base monetaria]]/1000000</f>
        <v>1.3367549999999999</v>
      </c>
      <c r="E1889" s="10">
        <v>57.7</v>
      </c>
      <c r="F1889" s="11">
        <v>48488</v>
      </c>
      <c r="H1889" s="12">
        <f>(PrincipalesVariables[[#This Row],[Base monetaria]]-C1888)/C1888</f>
        <v>2.0401075090704098E-2</v>
      </c>
      <c r="I1889" s="12">
        <f>(PrincipalesVariables[[#This Row],[Dólar  mayorista]]-E1888)/E1888</f>
        <v>2.4322446143155065E-3</v>
      </c>
      <c r="J1889" s="12">
        <f>(PrincipalesVariables[[#This Row],[Reservas internacionales]]-F1888)/F1888</f>
        <v>-4.4145124530316406E-3</v>
      </c>
    </row>
    <row r="1890" spans="1:10" ht="15.75" thickBot="1" x14ac:dyDescent="0.3">
      <c r="A1890" s="14">
        <v>43740</v>
      </c>
      <c r="B1890" s="15">
        <v>43740</v>
      </c>
      <c r="C1890" s="16">
        <v>1320603</v>
      </c>
      <c r="D1890" s="10">
        <f>PrincipalesVariables[[#This Row],[Base monetaria]]/1000000</f>
        <v>1.320603</v>
      </c>
      <c r="E1890" s="10">
        <v>57.89</v>
      </c>
      <c r="F1890" s="11">
        <v>48346</v>
      </c>
      <c r="H1890" s="12">
        <f>(PrincipalesVariables[[#This Row],[Base monetaria]]-C1889)/C1889</f>
        <v>-1.208299202172425E-2</v>
      </c>
      <c r="I1890" s="12">
        <f>(PrincipalesVariables[[#This Row],[Dólar  mayorista]]-E1889)/E1889</f>
        <v>3.2928942807625254E-3</v>
      </c>
      <c r="J1890" s="12">
        <f>(PrincipalesVariables[[#This Row],[Reservas internacionales]]-F1889)/F1889</f>
        <v>-2.9285596436231646E-3</v>
      </c>
    </row>
    <row r="1891" spans="1:10" ht="15.75" thickBot="1" x14ac:dyDescent="0.3">
      <c r="A1891" s="14">
        <v>43741</v>
      </c>
      <c r="B1891" s="15">
        <v>43741</v>
      </c>
      <c r="C1891" s="16">
        <v>1332863</v>
      </c>
      <c r="D1891" s="10">
        <f>PrincipalesVariables[[#This Row],[Base monetaria]]/1000000</f>
        <v>1.3328629999999999</v>
      </c>
      <c r="E1891" s="10">
        <v>57.76</v>
      </c>
      <c r="F1891" s="11">
        <v>48248</v>
      </c>
      <c r="H1891" s="12">
        <f>(PrincipalesVariables[[#This Row],[Base monetaria]]-C1890)/C1890</f>
        <v>9.2836378533139793E-3</v>
      </c>
      <c r="I1891" s="12">
        <f>(PrincipalesVariables[[#This Row],[Dólar  mayorista]]-E1890)/E1890</f>
        <v>-2.2456382794956392E-3</v>
      </c>
      <c r="J1891" s="12">
        <f>(PrincipalesVariables[[#This Row],[Reservas internacionales]]-F1890)/F1890</f>
        <v>-2.0270549786952385E-3</v>
      </c>
    </row>
    <row r="1892" spans="1:10" ht="15.75" thickBot="1" x14ac:dyDescent="0.3">
      <c r="A1892" s="14">
        <v>43742</v>
      </c>
      <c r="B1892" s="15">
        <v>43742</v>
      </c>
      <c r="C1892" s="16">
        <v>1335443</v>
      </c>
      <c r="D1892" s="10">
        <f>PrincipalesVariables[[#This Row],[Base monetaria]]/1000000</f>
        <v>1.3354429999999999</v>
      </c>
      <c r="E1892" s="10">
        <v>57.71</v>
      </c>
      <c r="F1892" s="11">
        <v>48177</v>
      </c>
      <c r="H1892" s="12">
        <f>(PrincipalesVariables[[#This Row],[Base monetaria]]-C1891)/C1891</f>
        <v>1.9356828121119725E-3</v>
      </c>
      <c r="I1892" s="12">
        <f>(PrincipalesVariables[[#This Row],[Dólar  mayorista]]-E1891)/E1891</f>
        <v>-8.6565096952903673E-4</v>
      </c>
      <c r="J1892" s="12">
        <f>(PrincipalesVariables[[#This Row],[Reservas internacionales]]-F1891)/F1891</f>
        <v>-1.4715635881280052E-3</v>
      </c>
    </row>
    <row r="1893" spans="1:10" ht="15.75" thickBot="1" x14ac:dyDescent="0.3">
      <c r="A1893" s="14">
        <v>43745</v>
      </c>
      <c r="B1893" s="15">
        <v>43745</v>
      </c>
      <c r="C1893" s="16">
        <v>1328692</v>
      </c>
      <c r="D1893" s="10">
        <f>PrincipalesVariables[[#This Row],[Base monetaria]]/1000000</f>
        <v>1.328692</v>
      </c>
      <c r="E1893" s="10">
        <v>57.87</v>
      </c>
      <c r="F1893" s="11">
        <v>48075</v>
      </c>
      <c r="H1893" s="12">
        <f>(PrincipalesVariables[[#This Row],[Base monetaria]]-C1892)/C1892</f>
        <v>-5.0552513285853458E-3</v>
      </c>
      <c r="I1893" s="12">
        <f>(PrincipalesVariables[[#This Row],[Dólar  mayorista]]-E1892)/E1892</f>
        <v>2.7724831051810185E-3</v>
      </c>
      <c r="J1893" s="12">
        <f>(PrincipalesVariables[[#This Row],[Reservas internacionales]]-F1892)/F1892</f>
        <v>-2.1171928513606078E-3</v>
      </c>
    </row>
    <row r="1894" spans="1:10" ht="15.75" thickBot="1" x14ac:dyDescent="0.3">
      <c r="A1894" s="14">
        <v>43746</v>
      </c>
      <c r="B1894" s="15">
        <v>43746</v>
      </c>
      <c r="C1894" s="16">
        <v>1320971</v>
      </c>
      <c r="D1894" s="10">
        <f>PrincipalesVariables[[#This Row],[Base monetaria]]/1000000</f>
        <v>1.3209709999999999</v>
      </c>
      <c r="E1894" s="10">
        <v>57.84</v>
      </c>
      <c r="F1894" s="11">
        <v>47957</v>
      </c>
      <c r="H1894" s="12">
        <f>(PrincipalesVariables[[#This Row],[Base monetaria]]-C1893)/C1893</f>
        <v>-5.8109780144683645E-3</v>
      </c>
      <c r="I1894" s="12">
        <f>(PrincipalesVariables[[#This Row],[Dólar  mayorista]]-E1893)/E1893</f>
        <v>-5.1840331778113069E-4</v>
      </c>
      <c r="J1894" s="12">
        <f>(PrincipalesVariables[[#This Row],[Reservas internacionales]]-F1893)/F1893</f>
        <v>-2.4544981799271971E-3</v>
      </c>
    </row>
    <row r="1895" spans="1:10" ht="15.75" thickBot="1" x14ac:dyDescent="0.3">
      <c r="A1895" s="14">
        <v>43747</v>
      </c>
      <c r="B1895" s="15">
        <v>43747</v>
      </c>
      <c r="C1895" s="16">
        <v>1352486</v>
      </c>
      <c r="D1895" s="10">
        <f>PrincipalesVariables[[#This Row],[Base monetaria]]/1000000</f>
        <v>1.3524860000000001</v>
      </c>
      <c r="E1895" s="10">
        <v>57.96</v>
      </c>
      <c r="F1895" s="11">
        <v>47916</v>
      </c>
      <c r="H1895" s="12">
        <f>(PrincipalesVariables[[#This Row],[Base monetaria]]-C1894)/C1894</f>
        <v>2.3857450314957708E-2</v>
      </c>
      <c r="I1895" s="12">
        <f>(PrincipalesVariables[[#This Row],[Dólar  mayorista]]-E1894)/E1894</f>
        <v>2.0746887966804537E-3</v>
      </c>
      <c r="J1895" s="12">
        <f>(PrincipalesVariables[[#This Row],[Reservas internacionales]]-F1894)/F1894</f>
        <v>-8.5493254373709786E-4</v>
      </c>
    </row>
    <row r="1896" spans="1:10" ht="15.75" thickBot="1" x14ac:dyDescent="0.3">
      <c r="A1896" s="14">
        <v>43748</v>
      </c>
      <c r="B1896" s="15">
        <v>43748</v>
      </c>
      <c r="C1896" s="16">
        <v>1330915</v>
      </c>
      <c r="D1896" s="10">
        <f>PrincipalesVariables[[#This Row],[Base monetaria]]/1000000</f>
        <v>1.3309150000000001</v>
      </c>
      <c r="E1896" s="10">
        <v>57.98</v>
      </c>
      <c r="F1896" s="11">
        <v>47855</v>
      </c>
      <c r="H1896" s="12">
        <f>(PrincipalesVariables[[#This Row],[Base monetaria]]-C1895)/C1895</f>
        <v>-1.5949148456989574E-2</v>
      </c>
      <c r="I1896" s="12">
        <f>(PrincipalesVariables[[#This Row],[Dólar  mayorista]]-E1895)/E1895</f>
        <v>3.4506556245679813E-4</v>
      </c>
      <c r="J1896" s="12">
        <f>(PrincipalesVariables[[#This Row],[Reservas internacionales]]-F1895)/F1895</f>
        <v>-1.2730611904165623E-3</v>
      </c>
    </row>
    <row r="1897" spans="1:10" ht="15.75" thickBot="1" x14ac:dyDescent="0.3">
      <c r="A1897" s="14">
        <v>43749</v>
      </c>
      <c r="B1897" s="15">
        <v>43749</v>
      </c>
      <c r="C1897" s="16">
        <v>1363253</v>
      </c>
      <c r="D1897" s="10">
        <f>PrincipalesVariables[[#This Row],[Base monetaria]]/1000000</f>
        <v>1.363253</v>
      </c>
      <c r="E1897" s="10">
        <v>58.05</v>
      </c>
      <c r="F1897" s="11">
        <v>47859</v>
      </c>
      <c r="H1897" s="12">
        <f>(PrincipalesVariables[[#This Row],[Base monetaria]]-C1896)/C1896</f>
        <v>2.4297569717074342E-2</v>
      </c>
      <c r="I1897" s="12">
        <f>(PrincipalesVariables[[#This Row],[Dólar  mayorista]]-E1896)/E1896</f>
        <v>1.2073128665056965E-3</v>
      </c>
      <c r="J1897" s="12">
        <f>(PrincipalesVariables[[#This Row],[Reservas internacionales]]-F1896)/F1896</f>
        <v>8.3585832201441853E-5</v>
      </c>
    </row>
    <row r="1898" spans="1:10" ht="15.75" thickBot="1" x14ac:dyDescent="0.3">
      <c r="A1898" s="14">
        <v>43753</v>
      </c>
      <c r="B1898" s="15">
        <v>43753</v>
      </c>
      <c r="C1898" s="16">
        <v>1384731</v>
      </c>
      <c r="D1898" s="10">
        <f>PrincipalesVariables[[#This Row],[Base monetaria]]/1000000</f>
        <v>1.3847309999999999</v>
      </c>
      <c r="E1898" s="10">
        <v>58.24</v>
      </c>
      <c r="F1898" s="11">
        <v>47780</v>
      </c>
      <c r="H1898" s="12">
        <f>(PrincipalesVariables[[#This Row],[Base monetaria]]-C1897)/C1897</f>
        <v>1.5754962578479564E-2</v>
      </c>
      <c r="I1898" s="12">
        <f>(PrincipalesVariables[[#This Row],[Dólar  mayorista]]-E1897)/E1897</f>
        <v>3.2730404823428914E-3</v>
      </c>
      <c r="J1898" s="12">
        <f>(PrincipalesVariables[[#This Row],[Reservas internacionales]]-F1897)/F1897</f>
        <v>-1.6506822123320587E-3</v>
      </c>
    </row>
    <row r="1899" spans="1:10" ht="15.75" thickBot="1" x14ac:dyDescent="0.3">
      <c r="A1899" s="14">
        <v>43754</v>
      </c>
      <c r="B1899" s="15">
        <v>43754</v>
      </c>
      <c r="C1899" s="16">
        <v>1385191</v>
      </c>
      <c r="D1899" s="10">
        <f>PrincipalesVariables[[#This Row],[Base monetaria]]/1000000</f>
        <v>1.3851910000000001</v>
      </c>
      <c r="E1899" s="10">
        <v>58.33</v>
      </c>
      <c r="F1899" s="11">
        <v>47647</v>
      </c>
      <c r="H1899" s="12">
        <f>(PrincipalesVariables[[#This Row],[Base monetaria]]-C1898)/C1898</f>
        <v>3.3219448398280968E-4</v>
      </c>
      <c r="I1899" s="12">
        <f>(PrincipalesVariables[[#This Row],[Dólar  mayorista]]-E1898)/E1898</f>
        <v>1.5453296703296069E-3</v>
      </c>
      <c r="J1899" s="12">
        <f>(PrincipalesVariables[[#This Row],[Reservas internacionales]]-F1898)/F1898</f>
        <v>-2.7835914608622856E-3</v>
      </c>
    </row>
    <row r="1900" spans="1:10" ht="15.75" thickBot="1" x14ac:dyDescent="0.3">
      <c r="A1900" s="14">
        <v>43755</v>
      </c>
      <c r="B1900" s="15">
        <v>43755</v>
      </c>
      <c r="C1900" s="16">
        <v>1384154</v>
      </c>
      <c r="D1900" s="10">
        <f>PrincipalesVariables[[#This Row],[Base monetaria]]/1000000</f>
        <v>1.3841540000000001</v>
      </c>
      <c r="E1900" s="10">
        <v>58.31</v>
      </c>
      <c r="F1900" s="11">
        <v>47596</v>
      </c>
      <c r="H1900" s="12">
        <f>(PrincipalesVariables[[#This Row],[Base monetaria]]-C1899)/C1899</f>
        <v>-7.4863322097819002E-4</v>
      </c>
      <c r="I1900" s="12">
        <f>(PrincipalesVariables[[#This Row],[Dólar  mayorista]]-E1899)/E1899</f>
        <v>-3.4287673581340683E-4</v>
      </c>
      <c r="J1900" s="12">
        <f>(PrincipalesVariables[[#This Row],[Reservas internacionales]]-F1899)/F1899</f>
        <v>-1.0703716918169035E-3</v>
      </c>
    </row>
    <row r="1901" spans="1:10" ht="15.75" thickBot="1" x14ac:dyDescent="0.3">
      <c r="A1901" s="14">
        <v>43756</v>
      </c>
      <c r="B1901" s="15">
        <v>43756</v>
      </c>
      <c r="C1901" s="16">
        <v>1380938</v>
      </c>
      <c r="D1901" s="10">
        <f>PrincipalesVariables[[#This Row],[Base monetaria]]/1000000</f>
        <v>1.380938</v>
      </c>
      <c r="E1901" s="10">
        <v>58.34</v>
      </c>
      <c r="F1901" s="11">
        <v>47445</v>
      </c>
      <c r="H1901" s="12">
        <f>(PrincipalesVariables[[#This Row],[Base monetaria]]-C1900)/C1900</f>
        <v>-2.3234408888028356E-3</v>
      </c>
      <c r="I1901" s="12">
        <f>(PrincipalesVariables[[#This Row],[Dólar  mayorista]]-E1900)/E1900</f>
        <v>5.1449151089008984E-4</v>
      </c>
      <c r="J1901" s="12">
        <f>(PrincipalesVariables[[#This Row],[Reservas internacionales]]-F1900)/F1900</f>
        <v>-3.1725355071854778E-3</v>
      </c>
    </row>
    <row r="1902" spans="1:10" ht="15.75" thickBot="1" x14ac:dyDescent="0.3">
      <c r="A1902" s="14">
        <v>43759</v>
      </c>
      <c r="B1902" s="15">
        <v>43759</v>
      </c>
      <c r="C1902" s="16">
        <v>1413109</v>
      </c>
      <c r="D1902" s="10">
        <f>PrincipalesVariables[[#This Row],[Base monetaria]]/1000000</f>
        <v>1.4131089999999999</v>
      </c>
      <c r="E1902" s="10">
        <v>58.52</v>
      </c>
      <c r="F1902" s="11">
        <v>46886</v>
      </c>
      <c r="H1902" s="12">
        <f>(PrincipalesVariables[[#This Row],[Base monetaria]]-C1901)/C1901</f>
        <v>2.3296483984074592E-2</v>
      </c>
      <c r="I1902" s="12">
        <f>(PrincipalesVariables[[#This Row],[Dólar  mayorista]]-E1901)/E1901</f>
        <v>3.0853616729516575E-3</v>
      </c>
      <c r="J1902" s="12">
        <f>(PrincipalesVariables[[#This Row],[Reservas internacionales]]-F1901)/F1901</f>
        <v>-1.1782063441880071E-2</v>
      </c>
    </row>
    <row r="1903" spans="1:10" ht="15.75" thickBot="1" x14ac:dyDescent="0.3">
      <c r="A1903" s="14">
        <v>43760</v>
      </c>
      <c r="B1903" s="15">
        <v>43760</v>
      </c>
      <c r="C1903" s="16">
        <v>1428230</v>
      </c>
      <c r="D1903" s="10">
        <f>PrincipalesVariables[[#This Row],[Base monetaria]]/1000000</f>
        <v>1.4282300000000001</v>
      </c>
      <c r="E1903" s="10">
        <v>58.65</v>
      </c>
      <c r="F1903" s="11">
        <v>46593</v>
      </c>
      <c r="H1903" s="12">
        <f>(PrincipalesVariables[[#This Row],[Base monetaria]]-C1902)/C1902</f>
        <v>1.0700519209770797E-2</v>
      </c>
      <c r="I1903" s="12">
        <f>(PrincipalesVariables[[#This Row],[Dólar  mayorista]]-E1902)/E1902</f>
        <v>2.2214627477784594E-3</v>
      </c>
      <c r="J1903" s="12">
        <f>(PrincipalesVariables[[#This Row],[Reservas internacionales]]-F1902)/F1902</f>
        <v>-6.2492001876892885E-3</v>
      </c>
    </row>
    <row r="1904" spans="1:10" ht="15.75" thickBot="1" x14ac:dyDescent="0.3">
      <c r="A1904" s="14">
        <v>43761</v>
      </c>
      <c r="B1904" s="15">
        <v>43761</v>
      </c>
      <c r="C1904" s="16">
        <v>1465536</v>
      </c>
      <c r="D1904" s="10">
        <f>PrincipalesVariables[[#This Row],[Base monetaria]]/1000000</f>
        <v>1.4655359999999999</v>
      </c>
      <c r="E1904" s="10">
        <v>58.94</v>
      </c>
      <c r="F1904" s="11">
        <v>46145</v>
      </c>
      <c r="H1904" s="12">
        <f>(PrincipalesVariables[[#This Row],[Base monetaria]]-C1903)/C1903</f>
        <v>2.6120442785825811E-2</v>
      </c>
      <c r="I1904" s="12">
        <f>(PrincipalesVariables[[#This Row],[Dólar  mayorista]]-E1903)/E1903</f>
        <v>4.9445865302642656E-3</v>
      </c>
      <c r="J1904" s="12">
        <f>(PrincipalesVariables[[#This Row],[Reservas internacionales]]-F1903)/F1903</f>
        <v>-9.6151782456592189E-3</v>
      </c>
    </row>
    <row r="1905" spans="1:10" ht="15.75" thickBot="1" x14ac:dyDescent="0.3">
      <c r="A1905" s="14">
        <v>43762</v>
      </c>
      <c r="B1905" s="15">
        <v>43762</v>
      </c>
      <c r="C1905" s="16">
        <v>1446856</v>
      </c>
      <c r="D1905" s="10">
        <f>PrincipalesVariables[[#This Row],[Base monetaria]]/1000000</f>
        <v>1.4468559999999999</v>
      </c>
      <c r="E1905" s="10">
        <v>59.34</v>
      </c>
      <c r="F1905" s="11">
        <v>45171</v>
      </c>
      <c r="H1905" s="12">
        <f>(PrincipalesVariables[[#This Row],[Base monetaria]]-C1904)/C1904</f>
        <v>-1.274618978994716E-2</v>
      </c>
      <c r="I1905" s="12">
        <f>(PrincipalesVariables[[#This Row],[Dólar  mayorista]]-E1904)/E1904</f>
        <v>6.7865626060401377E-3</v>
      </c>
      <c r="J1905" s="12">
        <f>(PrincipalesVariables[[#This Row],[Reservas internacionales]]-F1904)/F1904</f>
        <v>-2.1107378914291906E-2</v>
      </c>
    </row>
    <row r="1906" spans="1:10" ht="15.75" thickBot="1" x14ac:dyDescent="0.3">
      <c r="A1906" s="14">
        <v>43763</v>
      </c>
      <c r="B1906" s="15">
        <v>43763</v>
      </c>
      <c r="C1906" s="16">
        <v>1487182</v>
      </c>
      <c r="D1906" s="10">
        <f>PrincipalesVariables[[#This Row],[Base monetaria]]/1000000</f>
        <v>1.487182</v>
      </c>
      <c r="E1906" s="10">
        <v>60</v>
      </c>
      <c r="F1906" s="11">
        <v>43551</v>
      </c>
      <c r="H1906" s="12">
        <f>(PrincipalesVariables[[#This Row],[Base monetaria]]-C1905)/C1905</f>
        <v>2.7871467513007515E-2</v>
      </c>
      <c r="I1906" s="12">
        <f>(PrincipalesVariables[[#This Row],[Dólar  mayorista]]-E1905)/E1905</f>
        <v>1.1122345803842207E-2</v>
      </c>
      <c r="J1906" s="12">
        <f>(PrincipalesVariables[[#This Row],[Reservas internacionales]]-F1905)/F1905</f>
        <v>-3.5863717872086073E-2</v>
      </c>
    </row>
    <row r="1907" spans="1:10" ht="15.75" thickBot="1" x14ac:dyDescent="0.3">
      <c r="A1907" s="14">
        <v>43766</v>
      </c>
      <c r="B1907" s="15">
        <v>43766</v>
      </c>
      <c r="C1907" s="16">
        <v>1424542</v>
      </c>
      <c r="D1907" s="10">
        <f>PrincipalesVariables[[#This Row],[Base monetaria]]/1000000</f>
        <v>1.424542</v>
      </c>
      <c r="E1907" s="10">
        <v>59.47</v>
      </c>
      <c r="F1907" s="11">
        <v>43406</v>
      </c>
      <c r="H1907" s="12">
        <f>(PrincipalesVariables[[#This Row],[Base monetaria]]-C1906)/C1906</f>
        <v>-4.2119928831844386E-2</v>
      </c>
      <c r="I1907" s="12">
        <f>(PrincipalesVariables[[#This Row],[Dólar  mayorista]]-E1906)/E1906</f>
        <v>-8.8333333333333527E-3</v>
      </c>
      <c r="J1907" s="12">
        <f>(PrincipalesVariables[[#This Row],[Reservas internacionales]]-F1906)/F1906</f>
        <v>-3.3294298638377995E-3</v>
      </c>
    </row>
    <row r="1908" spans="1:10" ht="15.75" thickBot="1" x14ac:dyDescent="0.3">
      <c r="A1908" s="14">
        <v>43767</v>
      </c>
      <c r="B1908" s="15">
        <v>43767</v>
      </c>
      <c r="C1908" s="16">
        <v>1416679</v>
      </c>
      <c r="D1908" s="10">
        <f>PrincipalesVariables[[#This Row],[Base monetaria]]/1000000</f>
        <v>1.416679</v>
      </c>
      <c r="E1908" s="10">
        <v>59.46</v>
      </c>
      <c r="F1908" s="11">
        <v>43311</v>
      </c>
      <c r="H1908" s="12">
        <f>(PrincipalesVariables[[#This Row],[Base monetaria]]-C1907)/C1907</f>
        <v>-5.5196687777545345E-3</v>
      </c>
      <c r="I1908" s="12">
        <f>(PrincipalesVariables[[#This Row],[Dólar  mayorista]]-E1907)/E1907</f>
        <v>-1.6815200941647907E-4</v>
      </c>
      <c r="J1908" s="12">
        <f>(PrincipalesVariables[[#This Row],[Reservas internacionales]]-F1907)/F1907</f>
        <v>-2.1886375155508453E-3</v>
      </c>
    </row>
    <row r="1909" spans="1:10" ht="15.75" thickBot="1" x14ac:dyDescent="0.3">
      <c r="A1909" s="14">
        <v>43768</v>
      </c>
      <c r="B1909" s="15">
        <v>43768</v>
      </c>
      <c r="C1909" s="16">
        <v>1453724</v>
      </c>
      <c r="D1909" s="10">
        <f>PrincipalesVariables[[#This Row],[Base monetaria]]/1000000</f>
        <v>1.453724</v>
      </c>
      <c r="E1909" s="10">
        <v>59.58</v>
      </c>
      <c r="F1909" s="11">
        <v>43273</v>
      </c>
      <c r="H1909" s="12">
        <f>(PrincipalesVariables[[#This Row],[Base monetaria]]-C1908)/C1908</f>
        <v>2.614918411298537E-2</v>
      </c>
      <c r="I1909" s="12">
        <f>(PrincipalesVariables[[#This Row],[Dólar  mayorista]]-E1908)/E1908</f>
        <v>2.0181634712411276E-3</v>
      </c>
      <c r="J1909" s="12">
        <f>(PrincipalesVariables[[#This Row],[Reservas internacionales]]-F1908)/F1908</f>
        <v>-8.7737526263535824E-4</v>
      </c>
    </row>
    <row r="1910" spans="1:10" ht="15.75" thickBot="1" x14ac:dyDescent="0.3">
      <c r="A1910" s="14">
        <v>43769</v>
      </c>
      <c r="B1910" s="15">
        <v>43769</v>
      </c>
      <c r="C1910" s="16">
        <v>1387243</v>
      </c>
      <c r="D1910" s="10">
        <f>PrincipalesVariables[[#This Row],[Base monetaria]]/1000000</f>
        <v>1.387243</v>
      </c>
      <c r="E1910" s="10">
        <v>59.73</v>
      </c>
      <c r="F1910" s="11">
        <v>43260</v>
      </c>
      <c r="H1910" s="12">
        <f>(PrincipalesVariables[[#This Row],[Base monetaria]]-C1909)/C1909</f>
        <v>-4.5731514372742005E-2</v>
      </c>
      <c r="I1910" s="12">
        <f>(PrincipalesVariables[[#This Row],[Dólar  mayorista]]-E1909)/E1909</f>
        <v>2.5176233635447898E-3</v>
      </c>
      <c r="J1910" s="12">
        <f>(PrincipalesVariables[[#This Row],[Reservas internacionales]]-F1909)/F1909</f>
        <v>-3.0041827467473944E-4</v>
      </c>
    </row>
    <row r="1911" spans="1:10" ht="15.75" thickBot="1" x14ac:dyDescent="0.3">
      <c r="A1911" s="14">
        <v>43770</v>
      </c>
      <c r="B1911" s="15">
        <v>43770</v>
      </c>
      <c r="C1911" s="16">
        <v>1449073</v>
      </c>
      <c r="D1911" s="10">
        <f>PrincipalesVariables[[#This Row],[Base monetaria]]/1000000</f>
        <v>1.4490730000000001</v>
      </c>
      <c r="E1911" s="10">
        <v>59.76</v>
      </c>
      <c r="F1911" s="11">
        <v>43292</v>
      </c>
      <c r="H1911" s="12">
        <f>(PrincipalesVariables[[#This Row],[Base monetaria]]-C1910)/C1910</f>
        <v>4.4570417727824184E-2</v>
      </c>
      <c r="I1911" s="12">
        <f>(PrincipalesVariables[[#This Row],[Dólar  mayorista]]-E1910)/E1910</f>
        <v>5.0226017076847708E-4</v>
      </c>
      <c r="J1911" s="12">
        <f>(PrincipalesVariables[[#This Row],[Reservas internacionales]]-F1910)/F1910</f>
        <v>7.397133610725844E-4</v>
      </c>
    </row>
    <row r="1912" spans="1:10" ht="15.75" thickBot="1" x14ac:dyDescent="0.3">
      <c r="A1912" s="14">
        <v>43773</v>
      </c>
      <c r="B1912" s="15">
        <v>43773</v>
      </c>
      <c r="C1912" s="16">
        <v>1438081</v>
      </c>
      <c r="D1912" s="10">
        <f>PrincipalesVariables[[#This Row],[Base monetaria]]/1000000</f>
        <v>1.4380809999999999</v>
      </c>
      <c r="E1912" s="10">
        <v>59.76</v>
      </c>
      <c r="F1912" s="11">
        <v>43324</v>
      </c>
      <c r="H1912" s="12">
        <f>(PrincipalesVariables[[#This Row],[Base monetaria]]-C1911)/C1911</f>
        <v>-7.5855391688341442E-3</v>
      </c>
      <c r="I1912" s="12">
        <f>(PrincipalesVariables[[#This Row],[Dólar  mayorista]]-E1911)/E1911</f>
        <v>0</v>
      </c>
      <c r="J1912" s="12">
        <f>(PrincipalesVariables[[#This Row],[Reservas internacionales]]-F1911)/F1911</f>
        <v>7.3916658967014689E-4</v>
      </c>
    </row>
    <row r="1913" spans="1:10" ht="15.75" thickBot="1" x14ac:dyDescent="0.3">
      <c r="A1913" s="14">
        <v>43774</v>
      </c>
      <c r="B1913" s="15">
        <v>43774</v>
      </c>
      <c r="C1913" s="16">
        <v>1417718</v>
      </c>
      <c r="D1913" s="10">
        <f>PrincipalesVariables[[#This Row],[Base monetaria]]/1000000</f>
        <v>1.417718</v>
      </c>
      <c r="E1913" s="10">
        <v>59.68</v>
      </c>
      <c r="F1913" s="11">
        <v>43381</v>
      </c>
      <c r="H1913" s="12">
        <f>(PrincipalesVariables[[#This Row],[Base monetaria]]-C1912)/C1912</f>
        <v>-1.4159842178569913E-2</v>
      </c>
      <c r="I1913" s="12">
        <f>(PrincipalesVariables[[#This Row],[Dólar  mayorista]]-E1912)/E1912</f>
        <v>-1.338688085676009E-3</v>
      </c>
      <c r="J1913" s="12">
        <f>(PrincipalesVariables[[#This Row],[Reservas internacionales]]-F1912)/F1912</f>
        <v>1.3156679900286215E-3</v>
      </c>
    </row>
    <row r="1914" spans="1:10" ht="15.75" thickBot="1" x14ac:dyDescent="0.3">
      <c r="A1914" s="14">
        <v>43776</v>
      </c>
      <c r="B1914" s="15">
        <v>43776</v>
      </c>
      <c r="C1914" s="16">
        <v>1430035</v>
      </c>
      <c r="D1914" s="10">
        <f>PrincipalesVariables[[#This Row],[Base monetaria]]/1000000</f>
        <v>1.4300349999999999</v>
      </c>
      <c r="E1914" s="10">
        <v>59.6</v>
      </c>
      <c r="F1914" s="11">
        <v>43106</v>
      </c>
      <c r="H1914" s="12">
        <f>(PrincipalesVariables[[#This Row],[Base monetaria]]-C1913)/C1913</f>
        <v>8.6879054931939918E-3</v>
      </c>
      <c r="I1914" s="12">
        <f>(PrincipalesVariables[[#This Row],[Dólar  mayorista]]-E1913)/E1913</f>
        <v>-1.340482573726513E-3</v>
      </c>
      <c r="J1914" s="12">
        <f>(PrincipalesVariables[[#This Row],[Reservas internacionales]]-F1913)/F1913</f>
        <v>-6.3391807473317813E-3</v>
      </c>
    </row>
    <row r="1915" spans="1:10" ht="15.75" thickBot="1" x14ac:dyDescent="0.3">
      <c r="A1915" s="14">
        <v>43777</v>
      </c>
      <c r="B1915" s="15">
        <v>43777</v>
      </c>
      <c r="C1915" s="16">
        <v>1462649</v>
      </c>
      <c r="D1915" s="10">
        <f>PrincipalesVariables[[#This Row],[Base monetaria]]/1000000</f>
        <v>1.4626490000000001</v>
      </c>
      <c r="E1915" s="10">
        <v>59.54</v>
      </c>
      <c r="F1915" s="11">
        <v>43338</v>
      </c>
      <c r="H1915" s="12">
        <f>(PrincipalesVariables[[#This Row],[Base monetaria]]-C1914)/C1914</f>
        <v>2.2806434807539674E-2</v>
      </c>
      <c r="I1915" s="12">
        <f>(PrincipalesVariables[[#This Row],[Dólar  mayorista]]-E1914)/E1914</f>
        <v>-1.0067114093960112E-3</v>
      </c>
      <c r="J1915" s="12">
        <f>(PrincipalesVariables[[#This Row],[Reservas internacionales]]-F1914)/F1914</f>
        <v>5.3820813807822577E-3</v>
      </c>
    </row>
    <row r="1916" spans="1:10" ht="15.75" thickBot="1" x14ac:dyDescent="0.3">
      <c r="A1916" s="14">
        <v>43780</v>
      </c>
      <c r="B1916" s="15">
        <v>43780</v>
      </c>
      <c r="C1916" s="16">
        <v>1520708</v>
      </c>
      <c r="D1916" s="10">
        <f>PrincipalesVariables[[#This Row],[Base monetaria]]/1000000</f>
        <v>1.5207079999999999</v>
      </c>
      <c r="E1916" s="10">
        <v>59.75</v>
      </c>
      <c r="F1916" s="11">
        <v>43272</v>
      </c>
      <c r="H1916" s="12">
        <f>(PrincipalesVariables[[#This Row],[Base monetaria]]-C1915)/C1915</f>
        <v>3.9694417457640213E-2</v>
      </c>
      <c r="I1916" s="12">
        <f>(PrincipalesVariables[[#This Row],[Dólar  mayorista]]-E1915)/E1915</f>
        <v>3.5270406449445894E-3</v>
      </c>
      <c r="J1916" s="12">
        <f>(PrincipalesVariables[[#This Row],[Reservas internacionales]]-F1915)/F1915</f>
        <v>-1.5229129170704694E-3</v>
      </c>
    </row>
    <row r="1917" spans="1:10" ht="15.75" thickBot="1" x14ac:dyDescent="0.3">
      <c r="A1917" s="14">
        <v>43781</v>
      </c>
      <c r="B1917" s="15">
        <v>43781</v>
      </c>
      <c r="C1917" s="16">
        <v>1571481</v>
      </c>
      <c r="D1917" s="10">
        <f>PrincipalesVariables[[#This Row],[Base monetaria]]/1000000</f>
        <v>1.5714809999999999</v>
      </c>
      <c r="E1917" s="10">
        <v>59.75</v>
      </c>
      <c r="F1917" s="11">
        <v>43418</v>
      </c>
      <c r="H1917" s="12">
        <f>(PrincipalesVariables[[#This Row],[Base monetaria]]-C1916)/C1916</f>
        <v>3.3387737816858991E-2</v>
      </c>
      <c r="I1917" s="12">
        <f>(PrincipalesVariables[[#This Row],[Dólar  mayorista]]-E1916)/E1916</f>
        <v>0</v>
      </c>
      <c r="J1917" s="12">
        <f>(PrincipalesVariables[[#This Row],[Reservas internacionales]]-F1916)/F1916</f>
        <v>3.3740062858199299E-3</v>
      </c>
    </row>
    <row r="1918" spans="1:10" ht="15.75" thickBot="1" x14ac:dyDescent="0.3">
      <c r="A1918" s="14">
        <v>43782</v>
      </c>
      <c r="B1918" s="15">
        <v>43782</v>
      </c>
      <c r="C1918" s="16">
        <v>1583430</v>
      </c>
      <c r="D1918" s="10">
        <f>PrincipalesVariables[[#This Row],[Base monetaria]]/1000000</f>
        <v>1.5834299999999999</v>
      </c>
      <c r="E1918" s="10">
        <v>59.74</v>
      </c>
      <c r="F1918" s="11">
        <v>43474</v>
      </c>
      <c r="H1918" s="12">
        <f>(PrincipalesVariables[[#This Row],[Base monetaria]]-C1917)/C1917</f>
        <v>7.6036554053151139E-3</v>
      </c>
      <c r="I1918" s="12">
        <f>(PrincipalesVariables[[#This Row],[Dólar  mayorista]]-E1917)/E1917</f>
        <v>-1.6736401673636837E-4</v>
      </c>
      <c r="J1918" s="12">
        <f>(PrincipalesVariables[[#This Row],[Reservas internacionales]]-F1917)/F1917</f>
        <v>1.2897876456769081E-3</v>
      </c>
    </row>
    <row r="1919" spans="1:10" ht="15.75" thickBot="1" x14ac:dyDescent="0.3">
      <c r="A1919" s="14">
        <v>43783</v>
      </c>
      <c r="B1919" s="15">
        <v>43783</v>
      </c>
      <c r="C1919" s="16">
        <v>1602091</v>
      </c>
      <c r="D1919" s="10">
        <f>PrincipalesVariables[[#This Row],[Base monetaria]]/1000000</f>
        <v>1.6020909999999999</v>
      </c>
      <c r="E1919" s="10">
        <v>59.73</v>
      </c>
      <c r="F1919" s="11">
        <v>43558</v>
      </c>
      <c r="H1919" s="12">
        <f>(PrincipalesVariables[[#This Row],[Base monetaria]]-C1918)/C1918</f>
        <v>1.1785175220881251E-2</v>
      </c>
      <c r="I1919" s="12">
        <f>(PrincipalesVariables[[#This Row],[Dólar  mayorista]]-E1918)/E1918</f>
        <v>-1.6739203213935581E-4</v>
      </c>
      <c r="J1919" s="12">
        <f>(PrincipalesVariables[[#This Row],[Reservas internacionales]]-F1918)/F1918</f>
        <v>1.9321893545567465E-3</v>
      </c>
    </row>
    <row r="1920" spans="1:10" ht="15.75" thickBot="1" x14ac:dyDescent="0.3">
      <c r="A1920" s="14">
        <v>43784</v>
      </c>
      <c r="B1920" s="15">
        <v>43784</v>
      </c>
      <c r="C1920" s="16">
        <v>1610740</v>
      </c>
      <c r="D1920" s="10">
        <f>PrincipalesVariables[[#This Row],[Base monetaria]]/1000000</f>
        <v>1.6107400000000001</v>
      </c>
      <c r="E1920" s="10">
        <v>59.69</v>
      </c>
      <c r="F1920" s="11">
        <v>43508</v>
      </c>
      <c r="H1920" s="12">
        <f>(PrincipalesVariables[[#This Row],[Base monetaria]]-C1919)/C1919</f>
        <v>5.3985697441655935E-3</v>
      </c>
      <c r="I1920" s="12">
        <f>(PrincipalesVariables[[#This Row],[Dólar  mayorista]]-E1919)/E1919</f>
        <v>-6.6968022769126317E-4</v>
      </c>
      <c r="J1920" s="12">
        <f>(PrincipalesVariables[[#This Row],[Reservas internacionales]]-F1919)/F1919</f>
        <v>-1.1478947610083108E-3</v>
      </c>
    </row>
    <row r="1921" spans="1:10" ht="15.75" thickBot="1" x14ac:dyDescent="0.3">
      <c r="A1921" s="14">
        <v>43788</v>
      </c>
      <c r="B1921" s="15">
        <v>43788</v>
      </c>
      <c r="C1921" s="16">
        <v>1605443</v>
      </c>
      <c r="D1921" s="10">
        <f>PrincipalesVariables[[#This Row],[Base monetaria]]/1000000</f>
        <v>1.605443</v>
      </c>
      <c r="E1921" s="10">
        <v>59.71</v>
      </c>
      <c r="F1921" s="11">
        <v>43533</v>
      </c>
      <c r="H1921" s="12">
        <f>(PrincipalesVariables[[#This Row],[Base monetaria]]-C1920)/C1920</f>
        <v>-3.2885506040701788E-3</v>
      </c>
      <c r="I1921" s="12">
        <f>(PrincipalesVariables[[#This Row],[Dólar  mayorista]]-E1920)/E1920</f>
        <v>3.3506449991628625E-4</v>
      </c>
      <c r="J1921" s="12">
        <f>(PrincipalesVariables[[#This Row],[Reservas internacionales]]-F1920)/F1920</f>
        <v>5.7460696883331801E-4</v>
      </c>
    </row>
    <row r="1922" spans="1:10" ht="15.75" thickBot="1" x14ac:dyDescent="0.3">
      <c r="A1922" s="14">
        <v>43789</v>
      </c>
      <c r="B1922" s="15">
        <v>43789</v>
      </c>
      <c r="C1922" s="16">
        <v>1615596</v>
      </c>
      <c r="D1922" s="10">
        <f>PrincipalesVariables[[#This Row],[Base monetaria]]/1000000</f>
        <v>1.615596</v>
      </c>
      <c r="E1922" s="10">
        <v>59.72</v>
      </c>
      <c r="F1922" s="11">
        <v>43498</v>
      </c>
      <c r="H1922" s="12">
        <f>(PrincipalesVariables[[#This Row],[Base monetaria]]-C1921)/C1921</f>
        <v>6.324111164332835E-3</v>
      </c>
      <c r="I1922" s="12">
        <f>(PrincipalesVariables[[#This Row],[Dólar  mayorista]]-E1921)/E1921</f>
        <v>1.6747613465077892E-4</v>
      </c>
      <c r="J1922" s="12">
        <f>(PrincipalesVariables[[#This Row],[Reservas internacionales]]-F1921)/F1921</f>
        <v>-8.0398777938575335E-4</v>
      </c>
    </row>
    <row r="1923" spans="1:10" ht="15.75" thickBot="1" x14ac:dyDescent="0.3">
      <c r="A1923" s="14">
        <v>43790</v>
      </c>
      <c r="B1923" s="15">
        <v>43790</v>
      </c>
      <c r="C1923" s="16">
        <v>1643444</v>
      </c>
      <c r="D1923" s="10">
        <f>PrincipalesVariables[[#This Row],[Base monetaria]]/1000000</f>
        <v>1.6434439999999999</v>
      </c>
      <c r="E1923" s="10">
        <v>59.75</v>
      </c>
      <c r="F1923" s="11">
        <v>43538</v>
      </c>
      <c r="H1923" s="12">
        <f>(PrincipalesVariables[[#This Row],[Base monetaria]]-C1922)/C1922</f>
        <v>1.7236982512954972E-2</v>
      </c>
      <c r="I1923" s="12">
        <f>(PrincipalesVariables[[#This Row],[Dólar  mayorista]]-E1922)/E1922</f>
        <v>5.023442732753037E-4</v>
      </c>
      <c r="J1923" s="12">
        <f>(PrincipalesVariables[[#This Row],[Reservas internacionales]]-F1922)/F1922</f>
        <v>9.1958250954066851E-4</v>
      </c>
    </row>
    <row r="1924" spans="1:10" ht="15.75" thickBot="1" x14ac:dyDescent="0.3">
      <c r="A1924" s="14">
        <v>43791</v>
      </c>
      <c r="B1924" s="15">
        <v>43791</v>
      </c>
      <c r="C1924" s="16">
        <v>1655187</v>
      </c>
      <c r="D1924" s="10">
        <f>PrincipalesVariables[[#This Row],[Base monetaria]]/1000000</f>
        <v>1.655187</v>
      </c>
      <c r="E1924" s="10">
        <v>59.79</v>
      </c>
      <c r="F1924" s="11">
        <v>43589</v>
      </c>
      <c r="H1924" s="12">
        <f>(PrincipalesVariables[[#This Row],[Base monetaria]]-C1923)/C1923</f>
        <v>7.1453605964060841E-3</v>
      </c>
      <c r="I1924" s="12">
        <f>(PrincipalesVariables[[#This Row],[Dólar  mayorista]]-E1923)/E1923</f>
        <v>6.6945606694559243E-4</v>
      </c>
      <c r="J1924" s="12">
        <f>(PrincipalesVariables[[#This Row],[Reservas internacionales]]-F1923)/F1923</f>
        <v>1.1713905094400295E-3</v>
      </c>
    </row>
    <row r="1925" spans="1:10" ht="15.75" thickBot="1" x14ac:dyDescent="0.3">
      <c r="A1925" s="14">
        <v>43794</v>
      </c>
      <c r="B1925" s="15">
        <v>43794</v>
      </c>
      <c r="C1925" s="16">
        <v>1717844</v>
      </c>
      <c r="D1925" s="10">
        <f>PrincipalesVariables[[#This Row],[Base monetaria]]/1000000</f>
        <v>1.7178439999999999</v>
      </c>
      <c r="E1925" s="10">
        <v>59.75</v>
      </c>
      <c r="F1925" s="11">
        <v>43692</v>
      </c>
      <c r="H1925" s="12">
        <f>(PrincipalesVariables[[#This Row],[Base monetaria]]-C1924)/C1924</f>
        <v>3.7854937236698936E-2</v>
      </c>
      <c r="I1925" s="12">
        <f>(PrincipalesVariables[[#This Row],[Dólar  mayorista]]-E1924)/E1924</f>
        <v>-6.6900819535037879E-4</v>
      </c>
      <c r="J1925" s="12">
        <f>(PrincipalesVariables[[#This Row],[Reservas internacionales]]-F1924)/F1924</f>
        <v>2.3629814861547637E-3</v>
      </c>
    </row>
    <row r="1926" spans="1:10" ht="15.75" thickBot="1" x14ac:dyDescent="0.3">
      <c r="A1926" s="14">
        <v>43795</v>
      </c>
      <c r="B1926" s="15">
        <v>43795</v>
      </c>
      <c r="C1926" s="16">
        <v>1663580</v>
      </c>
      <c r="D1926" s="10">
        <f>PrincipalesVariables[[#This Row],[Base monetaria]]/1000000</f>
        <v>1.6635800000000001</v>
      </c>
      <c r="E1926" s="10">
        <v>59.72</v>
      </c>
      <c r="F1926" s="11">
        <v>43739</v>
      </c>
      <c r="H1926" s="12">
        <f>(PrincipalesVariables[[#This Row],[Base monetaria]]-C1925)/C1925</f>
        <v>-3.1588432942688628E-2</v>
      </c>
      <c r="I1926" s="12">
        <f>(PrincipalesVariables[[#This Row],[Dólar  mayorista]]-E1925)/E1925</f>
        <v>-5.0209205020922403E-4</v>
      </c>
      <c r="J1926" s="12">
        <f>(PrincipalesVariables[[#This Row],[Reservas internacionales]]-F1925)/F1925</f>
        <v>1.0757118007873295E-3</v>
      </c>
    </row>
    <row r="1927" spans="1:10" ht="15.75" thickBot="1" x14ac:dyDescent="0.3">
      <c r="A1927" s="14">
        <v>43796</v>
      </c>
      <c r="B1927" s="15">
        <v>43796</v>
      </c>
      <c r="C1927" s="16">
        <v>1667195</v>
      </c>
      <c r="D1927" s="10">
        <f>PrincipalesVariables[[#This Row],[Base monetaria]]/1000000</f>
        <v>1.667195</v>
      </c>
      <c r="E1927" s="10">
        <v>59.88</v>
      </c>
      <c r="F1927" s="11">
        <v>43765</v>
      </c>
      <c r="H1927" s="12">
        <f>(PrincipalesVariables[[#This Row],[Base monetaria]]-C1926)/C1926</f>
        <v>2.1730244412652231E-3</v>
      </c>
      <c r="I1927" s="12">
        <f>(PrincipalesVariables[[#This Row],[Dólar  mayorista]]-E1926)/E1926</f>
        <v>2.6791694574682468E-3</v>
      </c>
      <c r="J1927" s="12">
        <f>(PrincipalesVariables[[#This Row],[Reservas internacionales]]-F1926)/F1926</f>
        <v>5.9443517227188549E-4</v>
      </c>
    </row>
    <row r="1928" spans="1:10" ht="15.75" thickBot="1" x14ac:dyDescent="0.3">
      <c r="A1928" s="14">
        <v>43797</v>
      </c>
      <c r="B1928" s="15">
        <v>43797</v>
      </c>
      <c r="C1928" s="16">
        <v>1708845</v>
      </c>
      <c r="D1928" s="10">
        <f>PrincipalesVariables[[#This Row],[Base monetaria]]/1000000</f>
        <v>1.7088449999999999</v>
      </c>
      <c r="E1928" s="10">
        <v>59.85</v>
      </c>
      <c r="F1928" s="11">
        <v>43736</v>
      </c>
      <c r="H1928" s="12">
        <f>(PrincipalesVariables[[#This Row],[Base monetaria]]-C1927)/C1927</f>
        <v>2.4982080680424304E-2</v>
      </c>
      <c r="I1928" s="12">
        <f>(PrincipalesVariables[[#This Row],[Dólar  mayorista]]-E1927)/E1927</f>
        <v>-5.0100200400803496E-4</v>
      </c>
      <c r="J1928" s="12">
        <f>(PrincipalesVariables[[#This Row],[Reservas internacionales]]-F1927)/F1927</f>
        <v>-6.6262995544384782E-4</v>
      </c>
    </row>
    <row r="1929" spans="1:10" ht="15.75" thickBot="1" x14ac:dyDescent="0.3">
      <c r="A1929" s="14">
        <v>43798</v>
      </c>
      <c r="B1929" s="15">
        <v>43798</v>
      </c>
      <c r="C1929" s="16">
        <v>1671621</v>
      </c>
      <c r="D1929" s="10">
        <f>PrincipalesVariables[[#This Row],[Base monetaria]]/1000000</f>
        <v>1.671621</v>
      </c>
      <c r="E1929" s="10">
        <v>59.86</v>
      </c>
      <c r="F1929" s="11">
        <v>43772</v>
      </c>
      <c r="H1929" s="12">
        <f>(PrincipalesVariables[[#This Row],[Base monetaria]]-C1928)/C1928</f>
        <v>-2.1783134222237828E-2</v>
      </c>
      <c r="I1929" s="12">
        <f>(PrincipalesVariables[[#This Row],[Dólar  mayorista]]-E1928)/E1928</f>
        <v>1.6708437761066015E-4</v>
      </c>
      <c r="J1929" s="12">
        <f>(PrincipalesVariables[[#This Row],[Reservas internacionales]]-F1928)/F1928</f>
        <v>8.2312054143040062E-4</v>
      </c>
    </row>
    <row r="1930" spans="1:10" ht="15.75" thickBot="1" x14ac:dyDescent="0.3">
      <c r="A1930" s="14">
        <v>43801</v>
      </c>
      <c r="B1930" s="15">
        <v>43801</v>
      </c>
      <c r="C1930" s="16">
        <v>1659318</v>
      </c>
      <c r="D1930" s="10">
        <f>PrincipalesVariables[[#This Row],[Base monetaria]]/1000000</f>
        <v>1.6593180000000001</v>
      </c>
      <c r="E1930" s="10">
        <v>59.95</v>
      </c>
      <c r="F1930" s="11">
        <v>43731</v>
      </c>
      <c r="H1930" s="12">
        <f>(PrincipalesVariables[[#This Row],[Base monetaria]]-C1929)/C1929</f>
        <v>-7.359921896171441E-3</v>
      </c>
      <c r="I1930" s="12">
        <f>(PrincipalesVariables[[#This Row],[Dólar  mayorista]]-E1929)/E1929</f>
        <v>1.5035081857668461E-3</v>
      </c>
      <c r="J1930" s="12">
        <f>(PrincipalesVariables[[#This Row],[Reservas internacionales]]-F1929)/F1929</f>
        <v>-9.3667184501507812E-4</v>
      </c>
    </row>
    <row r="1931" spans="1:10" ht="15.75" thickBot="1" x14ac:dyDescent="0.3">
      <c r="A1931" s="14">
        <v>43802</v>
      </c>
      <c r="B1931" s="15">
        <v>43802</v>
      </c>
      <c r="C1931" s="16">
        <v>1592292</v>
      </c>
      <c r="D1931" s="10">
        <f>PrincipalesVariables[[#This Row],[Base monetaria]]/1000000</f>
        <v>1.592292</v>
      </c>
      <c r="E1931" s="10">
        <v>59.94</v>
      </c>
      <c r="F1931" s="11">
        <v>43750</v>
      </c>
      <c r="H1931" s="12">
        <f>(PrincipalesVariables[[#This Row],[Base monetaria]]-C1930)/C1930</f>
        <v>-4.0393703919321074E-2</v>
      </c>
      <c r="I1931" s="12">
        <f>(PrincipalesVariables[[#This Row],[Dólar  mayorista]]-E1930)/E1930</f>
        <v>-1.6680567139291269E-4</v>
      </c>
      <c r="J1931" s="12">
        <f>(PrincipalesVariables[[#This Row],[Reservas internacionales]]-F1930)/F1930</f>
        <v>4.3447440031099221E-4</v>
      </c>
    </row>
    <row r="1932" spans="1:10" ht="15.75" thickBot="1" x14ac:dyDescent="0.3">
      <c r="A1932" s="14">
        <v>43803</v>
      </c>
      <c r="B1932" s="15">
        <v>43803</v>
      </c>
      <c r="C1932" s="16">
        <v>1519973</v>
      </c>
      <c r="D1932" s="10">
        <f>PrincipalesVariables[[#This Row],[Base monetaria]]/1000000</f>
        <v>1.519973</v>
      </c>
      <c r="E1932" s="10">
        <v>59.91</v>
      </c>
      <c r="F1932" s="11">
        <v>43748</v>
      </c>
      <c r="H1932" s="12">
        <f>(PrincipalesVariables[[#This Row],[Base monetaria]]-C1931)/C1931</f>
        <v>-4.5418177068025214E-2</v>
      </c>
      <c r="I1932" s="12">
        <f>(PrincipalesVariables[[#This Row],[Dólar  mayorista]]-E1931)/E1931</f>
        <v>-5.0050050050051947E-4</v>
      </c>
      <c r="J1932" s="12">
        <f>(PrincipalesVariables[[#This Row],[Reservas internacionales]]-F1931)/F1931</f>
        <v>-4.5714285714285716E-5</v>
      </c>
    </row>
    <row r="1933" spans="1:10" ht="15.75" thickBot="1" x14ac:dyDescent="0.3">
      <c r="A1933" s="14">
        <v>43804</v>
      </c>
      <c r="B1933" s="15">
        <v>43804</v>
      </c>
      <c r="C1933" s="16">
        <v>1544999</v>
      </c>
      <c r="D1933" s="10">
        <f>PrincipalesVariables[[#This Row],[Base monetaria]]/1000000</f>
        <v>1.544999</v>
      </c>
      <c r="E1933" s="10">
        <v>59.94</v>
      </c>
      <c r="F1933" s="11">
        <v>43731</v>
      </c>
      <c r="H1933" s="12">
        <f>(PrincipalesVariables[[#This Row],[Base monetaria]]-C1932)/C1932</f>
        <v>1.6464766150451355E-2</v>
      </c>
      <c r="I1933" s="12">
        <f>(PrincipalesVariables[[#This Row],[Dólar  mayorista]]-E1932)/E1932</f>
        <v>5.0075112669005408E-4</v>
      </c>
      <c r="J1933" s="12">
        <f>(PrincipalesVariables[[#This Row],[Reservas internacionales]]-F1932)/F1932</f>
        <v>-3.8858919264880679E-4</v>
      </c>
    </row>
    <row r="1934" spans="1:10" ht="15.75" thickBot="1" x14ac:dyDescent="0.3">
      <c r="A1934" s="14">
        <v>43805</v>
      </c>
      <c r="B1934" s="15">
        <v>43805</v>
      </c>
      <c r="C1934" s="16">
        <v>1567291</v>
      </c>
      <c r="D1934" s="10">
        <f>PrincipalesVariables[[#This Row],[Base monetaria]]/1000000</f>
        <v>1.567291</v>
      </c>
      <c r="E1934" s="10">
        <v>59.96</v>
      </c>
      <c r="F1934" s="11">
        <v>43797</v>
      </c>
      <c r="H1934" s="12">
        <f>(PrincipalesVariables[[#This Row],[Base monetaria]]-C1933)/C1933</f>
        <v>1.4428488303228675E-2</v>
      </c>
      <c r="I1934" s="12">
        <f>(PrincipalesVariables[[#This Row],[Dólar  mayorista]]-E1933)/E1933</f>
        <v>3.3366700033371917E-4</v>
      </c>
      <c r="J1934" s="12">
        <f>(PrincipalesVariables[[#This Row],[Reservas internacionales]]-F1933)/F1933</f>
        <v>1.5092268642381834E-3</v>
      </c>
    </row>
    <row r="1935" spans="1:10" ht="15.75" thickBot="1" x14ac:dyDescent="0.3">
      <c r="A1935" s="14">
        <v>43808</v>
      </c>
      <c r="B1935" s="15">
        <v>43808</v>
      </c>
      <c r="C1935" s="16">
        <v>1642592</v>
      </c>
      <c r="D1935" s="10">
        <f>PrincipalesVariables[[#This Row],[Base monetaria]]/1000000</f>
        <v>1.6425920000000001</v>
      </c>
      <c r="E1935" s="10">
        <v>59.95</v>
      </c>
      <c r="F1935" s="11">
        <v>43787</v>
      </c>
      <c r="H1935" s="12">
        <f>(PrincipalesVariables[[#This Row],[Base monetaria]]-C1934)/C1934</f>
        <v>4.8045321513362868E-2</v>
      </c>
      <c r="I1935" s="12">
        <f>(PrincipalesVariables[[#This Row],[Dólar  mayorista]]-E1934)/E1934</f>
        <v>-1.6677785190123432E-4</v>
      </c>
      <c r="J1935" s="12">
        <f>(PrincipalesVariables[[#This Row],[Reservas internacionales]]-F1934)/F1934</f>
        <v>-2.2832614105988995E-4</v>
      </c>
    </row>
    <row r="1936" spans="1:10" ht="15.75" thickBot="1" x14ac:dyDescent="0.3">
      <c r="A1936" s="14">
        <v>43809</v>
      </c>
      <c r="B1936" s="15">
        <v>43809</v>
      </c>
      <c r="C1936" s="16">
        <v>1722505</v>
      </c>
      <c r="D1936" s="10">
        <f>PrincipalesVariables[[#This Row],[Base monetaria]]/1000000</f>
        <v>1.722505</v>
      </c>
      <c r="E1936" s="10">
        <v>59.96</v>
      </c>
      <c r="F1936" s="11">
        <v>43785</v>
      </c>
      <c r="H1936" s="12">
        <f>(PrincipalesVariables[[#This Row],[Base monetaria]]-C1935)/C1935</f>
        <v>4.865054742748047E-2</v>
      </c>
      <c r="I1936" s="12">
        <f>(PrincipalesVariables[[#This Row],[Dólar  mayorista]]-E1935)/E1935</f>
        <v>1.6680567139279416E-4</v>
      </c>
      <c r="J1936" s="12">
        <f>(PrincipalesVariables[[#This Row],[Reservas internacionales]]-F1935)/F1935</f>
        <v>-4.5675657158517367E-5</v>
      </c>
    </row>
    <row r="1937" spans="1:10" ht="15.75" thickBot="1" x14ac:dyDescent="0.3">
      <c r="A1937" s="14">
        <v>43810</v>
      </c>
      <c r="B1937" s="15">
        <v>43810</v>
      </c>
      <c r="C1937" s="16">
        <v>1724751</v>
      </c>
      <c r="D1937" s="10">
        <f>PrincipalesVariables[[#This Row],[Base monetaria]]/1000000</f>
        <v>1.7247509999999999</v>
      </c>
      <c r="E1937" s="10">
        <v>59.83</v>
      </c>
      <c r="F1937" s="11">
        <v>43912</v>
      </c>
      <c r="H1937" s="12">
        <f>(PrincipalesVariables[[#This Row],[Base monetaria]]-C1936)/C1936</f>
        <v>1.3039149378376261E-3</v>
      </c>
      <c r="I1937" s="12">
        <f>(PrincipalesVariables[[#This Row],[Dólar  mayorista]]-E1936)/E1936</f>
        <v>-2.1681120747165201E-3</v>
      </c>
      <c r="J1937" s="12">
        <f>(PrincipalesVariables[[#This Row],[Reservas internacionales]]-F1936)/F1936</f>
        <v>2.9005367134863538E-3</v>
      </c>
    </row>
    <row r="1938" spans="1:10" ht="15.75" thickBot="1" x14ac:dyDescent="0.3">
      <c r="A1938" s="14">
        <v>43811</v>
      </c>
      <c r="B1938" s="15">
        <v>43811</v>
      </c>
      <c r="C1938" s="16">
        <v>1686811</v>
      </c>
      <c r="D1938" s="10">
        <f>PrincipalesVariables[[#This Row],[Base monetaria]]/1000000</f>
        <v>1.6868110000000001</v>
      </c>
      <c r="E1938" s="10">
        <v>59.83</v>
      </c>
      <c r="F1938" s="11">
        <v>44089</v>
      </c>
      <c r="H1938" s="12">
        <f>(PrincipalesVariables[[#This Row],[Base monetaria]]-C1937)/C1937</f>
        <v>-2.1997378172269506E-2</v>
      </c>
      <c r="I1938" s="12">
        <f>(PrincipalesVariables[[#This Row],[Dólar  mayorista]]-E1937)/E1937</f>
        <v>0</v>
      </c>
      <c r="J1938" s="12">
        <f>(PrincipalesVariables[[#This Row],[Reservas internacionales]]-F1937)/F1937</f>
        <v>4.0307888504281294E-3</v>
      </c>
    </row>
    <row r="1939" spans="1:10" ht="15.75" thickBot="1" x14ac:dyDescent="0.3">
      <c r="A1939" s="14">
        <v>43812</v>
      </c>
      <c r="B1939" s="15">
        <v>43812</v>
      </c>
      <c r="C1939" s="16">
        <v>1671608</v>
      </c>
      <c r="D1939" s="10">
        <f>PrincipalesVariables[[#This Row],[Base monetaria]]/1000000</f>
        <v>1.671608</v>
      </c>
      <c r="E1939" s="10">
        <v>59.82</v>
      </c>
      <c r="F1939" s="11">
        <v>44248</v>
      </c>
      <c r="H1939" s="12">
        <f>(PrincipalesVariables[[#This Row],[Base monetaria]]-C1938)/C1938</f>
        <v>-9.0128651046264222E-3</v>
      </c>
      <c r="I1939" s="12">
        <f>(PrincipalesVariables[[#This Row],[Dólar  mayorista]]-E1938)/E1938</f>
        <v>-1.6714023065348506E-4</v>
      </c>
      <c r="J1939" s="12">
        <f>(PrincipalesVariables[[#This Row],[Reservas internacionales]]-F1938)/F1938</f>
        <v>3.606341717888816E-3</v>
      </c>
    </row>
    <row r="1940" spans="1:10" ht="15.75" thickBot="1" x14ac:dyDescent="0.3">
      <c r="A1940" s="14">
        <v>43815</v>
      </c>
      <c r="B1940" s="15">
        <v>43815</v>
      </c>
      <c r="C1940" s="16">
        <v>1734333</v>
      </c>
      <c r="D1940" s="10">
        <f>PrincipalesVariables[[#This Row],[Base monetaria]]/1000000</f>
        <v>1.7343329999999999</v>
      </c>
      <c r="E1940" s="10">
        <v>59.84</v>
      </c>
      <c r="F1940" s="11">
        <v>44225</v>
      </c>
      <c r="H1940" s="12">
        <f>(PrincipalesVariables[[#This Row],[Base monetaria]]-C1939)/C1939</f>
        <v>3.7523749587223799E-2</v>
      </c>
      <c r="I1940" s="12">
        <f>(PrincipalesVariables[[#This Row],[Dólar  mayorista]]-E1939)/E1939</f>
        <v>3.3433634236046682E-4</v>
      </c>
      <c r="J1940" s="12">
        <f>(PrincipalesVariables[[#This Row],[Reservas internacionales]]-F1939)/F1939</f>
        <v>-5.1979750497197614E-4</v>
      </c>
    </row>
    <row r="1941" spans="1:10" ht="15.75" thickBot="1" x14ac:dyDescent="0.3">
      <c r="A1941" s="14">
        <v>43816</v>
      </c>
      <c r="B1941" s="15">
        <v>43816</v>
      </c>
      <c r="C1941" s="16">
        <v>1736181</v>
      </c>
      <c r="D1941" s="10">
        <f>PrincipalesVariables[[#This Row],[Base monetaria]]/1000000</f>
        <v>1.736181</v>
      </c>
      <c r="E1941" s="10">
        <v>59.82</v>
      </c>
      <c r="F1941" s="11">
        <v>44294</v>
      </c>
      <c r="H1941" s="12">
        <f>(PrincipalesVariables[[#This Row],[Base monetaria]]-C1940)/C1940</f>
        <v>1.0655393168439971E-3</v>
      </c>
      <c r="I1941" s="12">
        <f>(PrincipalesVariables[[#This Row],[Dólar  mayorista]]-E1940)/E1940</f>
        <v>-3.3422459893053352E-4</v>
      </c>
      <c r="J1941" s="12">
        <f>(PrincipalesVariables[[#This Row],[Reservas internacionales]]-F1940)/F1940</f>
        <v>1.5602035048049745E-3</v>
      </c>
    </row>
    <row r="1942" spans="1:10" ht="15.75" thickBot="1" x14ac:dyDescent="0.3">
      <c r="A1942" s="14">
        <v>43817</v>
      </c>
      <c r="B1942" s="15">
        <v>43817</v>
      </c>
      <c r="C1942" s="16">
        <v>1767520</v>
      </c>
      <c r="D1942" s="10">
        <f>PrincipalesVariables[[#This Row],[Base monetaria]]/1000000</f>
        <v>1.76752</v>
      </c>
      <c r="E1942" s="10">
        <v>59.82</v>
      </c>
      <c r="F1942" s="11">
        <v>44320</v>
      </c>
      <c r="H1942" s="12">
        <f>(PrincipalesVariables[[#This Row],[Base monetaria]]-C1941)/C1941</f>
        <v>1.8050537357568133E-2</v>
      </c>
      <c r="I1942" s="12">
        <f>(PrincipalesVariables[[#This Row],[Dólar  mayorista]]-E1941)/E1941</f>
        <v>0</v>
      </c>
      <c r="J1942" s="12">
        <f>(PrincipalesVariables[[#This Row],[Reservas internacionales]]-F1941)/F1941</f>
        <v>5.8698695082855462E-4</v>
      </c>
    </row>
    <row r="1943" spans="1:10" ht="15.75" thickBot="1" x14ac:dyDescent="0.3">
      <c r="A1943" s="14">
        <v>43818</v>
      </c>
      <c r="B1943" s="15">
        <v>43818</v>
      </c>
      <c r="C1943" s="16">
        <v>1776689</v>
      </c>
      <c r="D1943" s="10">
        <f>PrincipalesVariables[[#This Row],[Base monetaria]]/1000000</f>
        <v>1.776689</v>
      </c>
      <c r="E1943" s="10">
        <v>59.82</v>
      </c>
      <c r="F1943" s="11">
        <v>44561</v>
      </c>
      <c r="H1943" s="12">
        <f>(PrincipalesVariables[[#This Row],[Base monetaria]]-C1942)/C1942</f>
        <v>5.1874943423553905E-3</v>
      </c>
      <c r="I1943" s="12">
        <f>(PrincipalesVariables[[#This Row],[Dólar  mayorista]]-E1942)/E1942</f>
        <v>0</v>
      </c>
      <c r="J1943" s="12">
        <f>(PrincipalesVariables[[#This Row],[Reservas internacionales]]-F1942)/F1942</f>
        <v>5.4377256317689531E-3</v>
      </c>
    </row>
    <row r="1944" spans="1:10" ht="15.75" thickBot="1" x14ac:dyDescent="0.3">
      <c r="A1944" s="14">
        <v>43819</v>
      </c>
      <c r="B1944" s="15">
        <v>43819</v>
      </c>
      <c r="C1944" s="16">
        <v>1831542</v>
      </c>
      <c r="D1944" s="10">
        <f>PrincipalesVariables[[#This Row],[Base monetaria]]/1000000</f>
        <v>1.831542</v>
      </c>
      <c r="E1944" s="10">
        <v>59.82</v>
      </c>
      <c r="F1944" s="11">
        <v>44788</v>
      </c>
      <c r="H1944" s="12">
        <f>(PrincipalesVariables[[#This Row],[Base monetaria]]-C1943)/C1943</f>
        <v>3.0873720724336112E-2</v>
      </c>
      <c r="I1944" s="12">
        <f>(PrincipalesVariables[[#This Row],[Dólar  mayorista]]-E1943)/E1943</f>
        <v>0</v>
      </c>
      <c r="J1944" s="12">
        <f>(PrincipalesVariables[[#This Row],[Reservas internacionales]]-F1943)/F1943</f>
        <v>5.0941406162339263E-3</v>
      </c>
    </row>
    <row r="1945" spans="1:10" ht="15.75" thickBot="1" x14ac:dyDescent="0.3">
      <c r="A1945" s="14">
        <v>43822</v>
      </c>
      <c r="B1945" s="15">
        <v>43822</v>
      </c>
      <c r="C1945" s="16">
        <v>1896649</v>
      </c>
      <c r="D1945" s="10">
        <f>PrincipalesVariables[[#This Row],[Base monetaria]]/1000000</f>
        <v>1.896649</v>
      </c>
      <c r="E1945" s="10">
        <v>59.86</v>
      </c>
      <c r="F1945" s="11">
        <v>44839</v>
      </c>
      <c r="H1945" s="12">
        <f>(PrincipalesVariables[[#This Row],[Base monetaria]]-C1944)/C1944</f>
        <v>3.5547642369107561E-2</v>
      </c>
      <c r="I1945" s="12">
        <f>(PrincipalesVariables[[#This Row],[Dólar  mayorista]]-E1944)/E1944</f>
        <v>6.6867268472081492E-4</v>
      </c>
      <c r="J1945" s="12">
        <f>(PrincipalesVariables[[#This Row],[Reservas internacionales]]-F1944)/F1944</f>
        <v>1.1386978654996875E-3</v>
      </c>
    </row>
    <row r="1946" spans="1:10" ht="15.75" thickBot="1" x14ac:dyDescent="0.3">
      <c r="A1946" s="14">
        <v>43825</v>
      </c>
      <c r="B1946" s="15">
        <v>43825</v>
      </c>
      <c r="C1946" s="16">
        <v>1797325</v>
      </c>
      <c r="D1946" s="10">
        <f>PrincipalesVariables[[#This Row],[Base monetaria]]/1000000</f>
        <v>1.7973250000000001</v>
      </c>
      <c r="E1946" s="10">
        <v>59.92</v>
      </c>
      <c r="F1946" s="11">
        <v>45093</v>
      </c>
      <c r="H1946" s="12">
        <f>(PrincipalesVariables[[#This Row],[Base monetaria]]-C1945)/C1945</f>
        <v>-5.236815035359732E-2</v>
      </c>
      <c r="I1946" s="12">
        <f>(PrincipalesVariables[[#This Row],[Dólar  mayorista]]-E1945)/E1945</f>
        <v>1.0023387905112309E-3</v>
      </c>
      <c r="J1946" s="12">
        <f>(PrincipalesVariables[[#This Row],[Reservas internacionales]]-F1945)/F1945</f>
        <v>5.6647115234505678E-3</v>
      </c>
    </row>
    <row r="1947" spans="1:10" ht="15.75" thickBot="1" x14ac:dyDescent="0.3">
      <c r="A1947" s="14">
        <v>43826</v>
      </c>
      <c r="B1947" s="15">
        <v>43826</v>
      </c>
      <c r="C1947" s="16">
        <v>1829109</v>
      </c>
      <c r="D1947" s="10">
        <f>PrincipalesVariables[[#This Row],[Base monetaria]]/1000000</f>
        <v>1.8291090000000001</v>
      </c>
      <c r="E1947" s="10">
        <v>59.89</v>
      </c>
      <c r="F1947" s="11">
        <v>45190</v>
      </c>
      <c r="H1947" s="12">
        <f>(PrincipalesVariables[[#This Row],[Base monetaria]]-C1946)/C1946</f>
        <v>1.7684058253237451E-2</v>
      </c>
      <c r="I1947" s="12">
        <f>(PrincipalesVariables[[#This Row],[Dólar  mayorista]]-E1946)/E1946</f>
        <v>-5.00667556742342E-4</v>
      </c>
      <c r="J1947" s="12">
        <f>(PrincipalesVariables[[#This Row],[Reservas internacionales]]-F1946)/F1946</f>
        <v>2.151109928370257E-3</v>
      </c>
    </row>
    <row r="1948" spans="1:10" ht="15.75" thickBot="1" x14ac:dyDescent="0.3">
      <c r="A1948" s="14">
        <v>43829</v>
      </c>
      <c r="B1948" s="15">
        <v>43829</v>
      </c>
      <c r="C1948" s="16">
        <v>1895381</v>
      </c>
      <c r="D1948" s="10">
        <f>PrincipalesVariables[[#This Row],[Base monetaria]]/1000000</f>
        <v>1.895381</v>
      </c>
      <c r="E1948" s="10">
        <v>59.9</v>
      </c>
      <c r="F1948" s="11">
        <v>44848</v>
      </c>
      <c r="H1948" s="12">
        <f>(PrincipalesVariables[[#This Row],[Base monetaria]]-C1947)/C1947</f>
        <v>3.6231848402692238E-2</v>
      </c>
      <c r="I1948" s="12">
        <f>(PrincipalesVariables[[#This Row],[Dólar  mayorista]]-E1947)/E1947</f>
        <v>1.6697278343626667E-4</v>
      </c>
      <c r="J1948" s="12">
        <f>(PrincipalesVariables[[#This Row],[Reservas internacionales]]-F1947)/F1947</f>
        <v>-7.5680460278822748E-3</v>
      </c>
    </row>
    <row r="1949" spans="1:10" ht="15.75" thickBot="1" x14ac:dyDescent="0.3">
      <c r="A1949" s="14">
        <v>43832</v>
      </c>
      <c r="B1949" s="15">
        <v>43832</v>
      </c>
      <c r="C1949" s="16">
        <v>1877287</v>
      </c>
      <c r="D1949" s="10">
        <f>PrincipalesVariables[[#This Row],[Base monetaria]]/1000000</f>
        <v>1.8772869999999999</v>
      </c>
      <c r="E1949" s="10">
        <v>59.85</v>
      </c>
      <c r="F1949" s="11">
        <v>44839</v>
      </c>
      <c r="H1949" s="12">
        <f>(PrincipalesVariables[[#This Row],[Base monetaria]]-C1948)/C1948</f>
        <v>-9.5463656119798602E-3</v>
      </c>
      <c r="I1949" s="12">
        <f>(PrincipalesVariables[[#This Row],[Dólar  mayorista]]-E1948)/E1948</f>
        <v>-8.3472454090145504E-4</v>
      </c>
      <c r="J1949" s="12">
        <f>(PrincipalesVariables[[#This Row],[Reservas internacionales]]-F1948)/F1948</f>
        <v>-2.0067784516589369E-4</v>
      </c>
    </row>
    <row r="1950" spans="1:10" ht="15.75" thickBot="1" x14ac:dyDescent="0.3">
      <c r="A1950" s="14">
        <v>43833</v>
      </c>
      <c r="B1950" s="15">
        <v>43833</v>
      </c>
      <c r="C1950" s="16">
        <v>1834617</v>
      </c>
      <c r="D1950" s="10">
        <f>PrincipalesVariables[[#This Row],[Base monetaria]]/1000000</f>
        <v>1.8346169999999999</v>
      </c>
      <c r="E1950" s="10">
        <v>59.83</v>
      </c>
      <c r="F1950" s="11">
        <v>44872</v>
      </c>
      <c r="H1950" s="12">
        <f>(PrincipalesVariables[[#This Row],[Base monetaria]]-C1949)/C1949</f>
        <v>-2.2729609271251547E-2</v>
      </c>
      <c r="I1950" s="12">
        <f>(PrincipalesVariables[[#This Row],[Dólar  mayorista]]-E1949)/E1949</f>
        <v>-3.3416875522143902E-4</v>
      </c>
      <c r="J1950" s="12">
        <f>(PrincipalesVariables[[#This Row],[Reservas internacionales]]-F1949)/F1949</f>
        <v>7.3596645777113676E-4</v>
      </c>
    </row>
    <row r="1951" spans="1:10" ht="15.75" thickBot="1" x14ac:dyDescent="0.3">
      <c r="A1951" s="14">
        <v>43836</v>
      </c>
      <c r="B1951" s="15">
        <v>43836</v>
      </c>
      <c r="C1951" s="16">
        <v>1721191</v>
      </c>
      <c r="D1951" s="10">
        <f>PrincipalesVariables[[#This Row],[Base monetaria]]/1000000</f>
        <v>1.7211909999999999</v>
      </c>
      <c r="E1951" s="10">
        <v>59.82</v>
      </c>
      <c r="F1951" s="11">
        <v>44904</v>
      </c>
      <c r="H1951" s="12">
        <f>(PrincipalesVariables[[#This Row],[Base monetaria]]-C1950)/C1950</f>
        <v>-6.1825438224981016E-2</v>
      </c>
      <c r="I1951" s="12">
        <f>(PrincipalesVariables[[#This Row],[Dólar  mayorista]]-E1950)/E1950</f>
        <v>-1.6714023065348506E-4</v>
      </c>
      <c r="J1951" s="12">
        <f>(PrincipalesVariables[[#This Row],[Reservas internacionales]]-F1950)/F1950</f>
        <v>7.1313959707612769E-4</v>
      </c>
    </row>
    <row r="1952" spans="1:10" ht="15.75" thickBot="1" x14ac:dyDescent="0.3">
      <c r="A1952" s="14">
        <v>43837</v>
      </c>
      <c r="B1952" s="15">
        <v>43837</v>
      </c>
      <c r="C1952" s="16">
        <v>1680836</v>
      </c>
      <c r="D1952" s="10">
        <f>PrincipalesVariables[[#This Row],[Base monetaria]]/1000000</f>
        <v>1.680836</v>
      </c>
      <c r="E1952" s="10">
        <v>59.82</v>
      </c>
      <c r="F1952" s="11">
        <v>45080</v>
      </c>
      <c r="H1952" s="12">
        <f>(PrincipalesVariables[[#This Row],[Base monetaria]]-C1951)/C1951</f>
        <v>-2.3445974328241317E-2</v>
      </c>
      <c r="I1952" s="12">
        <f>(PrincipalesVariables[[#This Row],[Dólar  mayorista]]-E1951)/E1951</f>
        <v>0</v>
      </c>
      <c r="J1952" s="12">
        <f>(PrincipalesVariables[[#This Row],[Reservas internacionales]]-F1951)/F1951</f>
        <v>3.9194726527703545E-3</v>
      </c>
    </row>
    <row r="1953" spans="1:10" ht="15.75" thickBot="1" x14ac:dyDescent="0.3">
      <c r="A1953" s="14">
        <v>43838</v>
      </c>
      <c r="B1953" s="15">
        <v>43838</v>
      </c>
      <c r="C1953" s="16">
        <v>1642612</v>
      </c>
      <c r="D1953" s="10">
        <f>PrincipalesVariables[[#This Row],[Base monetaria]]/1000000</f>
        <v>1.642612</v>
      </c>
      <c r="E1953" s="10">
        <v>59.82</v>
      </c>
      <c r="F1953" s="11">
        <v>45162</v>
      </c>
      <c r="H1953" s="12">
        <f>(PrincipalesVariables[[#This Row],[Base monetaria]]-C1952)/C1952</f>
        <v>-2.2741064565490032E-2</v>
      </c>
      <c r="I1953" s="12">
        <f>(PrincipalesVariables[[#This Row],[Dólar  mayorista]]-E1952)/E1952</f>
        <v>0</v>
      </c>
      <c r="J1953" s="12">
        <f>(PrincipalesVariables[[#This Row],[Reservas internacionales]]-F1952)/F1952</f>
        <v>1.8189884649511979E-3</v>
      </c>
    </row>
    <row r="1954" spans="1:10" ht="15.75" thickBot="1" x14ac:dyDescent="0.3">
      <c r="A1954" s="14">
        <v>43839</v>
      </c>
      <c r="B1954" s="15">
        <v>43839</v>
      </c>
      <c r="C1954" s="16">
        <v>1628434</v>
      </c>
      <c r="D1954" s="10">
        <f>PrincipalesVariables[[#This Row],[Base monetaria]]/1000000</f>
        <v>1.6284339999999999</v>
      </c>
      <c r="E1954" s="10">
        <v>59.82</v>
      </c>
      <c r="F1954" s="11">
        <v>45419</v>
      </c>
      <c r="H1954" s="12">
        <f>(PrincipalesVariables[[#This Row],[Base monetaria]]-C1953)/C1953</f>
        <v>-8.6313749077688469E-3</v>
      </c>
      <c r="I1954" s="12">
        <f>(PrincipalesVariables[[#This Row],[Dólar  mayorista]]-E1953)/E1953</f>
        <v>0</v>
      </c>
      <c r="J1954" s="12">
        <f>(PrincipalesVariables[[#This Row],[Reservas internacionales]]-F1953)/F1953</f>
        <v>5.6906248616093178E-3</v>
      </c>
    </row>
    <row r="1955" spans="1:10" ht="15.75" thickBot="1" x14ac:dyDescent="0.3">
      <c r="A1955" s="14">
        <v>43840</v>
      </c>
      <c r="B1955" s="15">
        <v>43840</v>
      </c>
      <c r="C1955" s="16">
        <v>1606490</v>
      </c>
      <c r="D1955" s="10">
        <f>PrincipalesVariables[[#This Row],[Base monetaria]]/1000000</f>
        <v>1.60649</v>
      </c>
      <c r="E1955" s="10">
        <v>59.82</v>
      </c>
      <c r="F1955" s="11">
        <v>45376</v>
      </c>
      <c r="H1955" s="12">
        <f>(PrincipalesVariables[[#This Row],[Base monetaria]]-C1954)/C1954</f>
        <v>-1.347552310993261E-2</v>
      </c>
      <c r="I1955" s="12">
        <f>(PrincipalesVariables[[#This Row],[Dólar  mayorista]]-E1954)/E1954</f>
        <v>0</v>
      </c>
      <c r="J1955" s="12">
        <f>(PrincipalesVariables[[#This Row],[Reservas internacionales]]-F1954)/F1954</f>
        <v>-9.4674035095444634E-4</v>
      </c>
    </row>
    <row r="1956" spans="1:10" ht="15.75" thickBot="1" x14ac:dyDescent="0.3">
      <c r="A1956" s="14">
        <v>43843</v>
      </c>
      <c r="B1956" s="15">
        <v>43843</v>
      </c>
      <c r="C1956" s="16">
        <v>1628269</v>
      </c>
      <c r="D1956" s="10">
        <f>PrincipalesVariables[[#This Row],[Base monetaria]]/1000000</f>
        <v>1.628269</v>
      </c>
      <c r="E1956" s="10">
        <v>59.88</v>
      </c>
      <c r="F1956" s="11">
        <v>45317</v>
      </c>
      <c r="H1956" s="12">
        <f>(PrincipalesVariables[[#This Row],[Base monetaria]]-C1955)/C1955</f>
        <v>1.3556884885682451E-2</v>
      </c>
      <c r="I1956" s="12">
        <f>(PrincipalesVariables[[#This Row],[Dólar  mayorista]]-E1955)/E1955</f>
        <v>1.0030090270812817E-3</v>
      </c>
      <c r="J1956" s="12">
        <f>(PrincipalesVariables[[#This Row],[Reservas internacionales]]-F1955)/F1955</f>
        <v>-1.30024682651622E-3</v>
      </c>
    </row>
    <row r="1957" spans="1:10" ht="15.75" thickBot="1" x14ac:dyDescent="0.3">
      <c r="A1957" s="14">
        <v>43844</v>
      </c>
      <c r="B1957" s="15">
        <v>43844</v>
      </c>
      <c r="C1957" s="16">
        <v>1611237</v>
      </c>
      <c r="D1957" s="10">
        <f>PrincipalesVariables[[#This Row],[Base monetaria]]/1000000</f>
        <v>1.611237</v>
      </c>
      <c r="E1957" s="10">
        <v>60.04</v>
      </c>
      <c r="F1957" s="11">
        <v>45078</v>
      </c>
      <c r="H1957" s="12">
        <f>(PrincipalesVariables[[#This Row],[Base monetaria]]-C1956)/C1956</f>
        <v>-1.046018808931448E-2</v>
      </c>
      <c r="I1957" s="12">
        <f>(PrincipalesVariables[[#This Row],[Dólar  mayorista]]-E1956)/E1956</f>
        <v>2.6720106880426951E-3</v>
      </c>
      <c r="J1957" s="12">
        <f>(PrincipalesVariables[[#This Row],[Reservas internacionales]]-F1956)/F1956</f>
        <v>-5.2739589999337994E-3</v>
      </c>
    </row>
    <row r="1958" spans="1:10" ht="15.75" thickBot="1" x14ac:dyDescent="0.3">
      <c r="A1958" s="14">
        <v>43845</v>
      </c>
      <c r="B1958" s="15">
        <v>43845</v>
      </c>
      <c r="C1958" s="16">
        <v>1595328</v>
      </c>
      <c r="D1958" s="10">
        <f>PrincipalesVariables[[#This Row],[Base monetaria]]/1000000</f>
        <v>1.5953280000000001</v>
      </c>
      <c r="E1958" s="10">
        <v>60.01</v>
      </c>
      <c r="F1958" s="11">
        <v>45291</v>
      </c>
      <c r="H1958" s="12">
        <f>(PrincipalesVariables[[#This Row],[Base monetaria]]-C1957)/C1957</f>
        <v>-9.8737802073810364E-3</v>
      </c>
      <c r="I1958" s="12">
        <f>(PrincipalesVariables[[#This Row],[Dólar  mayorista]]-E1957)/E1957</f>
        <v>-4.9966688874085842E-4</v>
      </c>
      <c r="J1958" s="12">
        <f>(PrincipalesVariables[[#This Row],[Reservas internacionales]]-F1957)/F1957</f>
        <v>4.7251430853187809E-3</v>
      </c>
    </row>
    <row r="1959" spans="1:10" ht="15.75" thickBot="1" x14ac:dyDescent="0.3">
      <c r="A1959" s="14">
        <v>43846</v>
      </c>
      <c r="B1959" s="15">
        <v>43846</v>
      </c>
      <c r="C1959" s="16">
        <v>1591464</v>
      </c>
      <c r="D1959" s="10">
        <f>PrincipalesVariables[[#This Row],[Base monetaria]]/1000000</f>
        <v>1.591464</v>
      </c>
      <c r="E1959" s="10">
        <v>60</v>
      </c>
      <c r="F1959" s="11">
        <v>45364</v>
      </c>
      <c r="H1959" s="12">
        <f>(PrincipalesVariables[[#This Row],[Base monetaria]]-C1958)/C1958</f>
        <v>-2.4220724515585509E-3</v>
      </c>
      <c r="I1959" s="12">
        <f>(PrincipalesVariables[[#This Row],[Dólar  mayorista]]-E1958)/E1958</f>
        <v>-1.6663889351771391E-4</v>
      </c>
      <c r="J1959" s="12">
        <f>(PrincipalesVariables[[#This Row],[Reservas internacionales]]-F1958)/F1958</f>
        <v>1.6117992537148661E-3</v>
      </c>
    </row>
    <row r="1960" spans="1:10" ht="15.75" thickBot="1" x14ac:dyDescent="0.3">
      <c r="A1960" s="14">
        <v>43847</v>
      </c>
      <c r="B1960" s="15">
        <v>43847</v>
      </c>
      <c r="C1960" s="16">
        <v>1583841</v>
      </c>
      <c r="D1960" s="10">
        <f>PrincipalesVariables[[#This Row],[Base monetaria]]/1000000</f>
        <v>1.5838410000000001</v>
      </c>
      <c r="E1960" s="10">
        <v>60.01</v>
      </c>
      <c r="F1960" s="11">
        <v>45492</v>
      </c>
      <c r="H1960" s="12">
        <f>(PrincipalesVariables[[#This Row],[Base monetaria]]-C1959)/C1959</f>
        <v>-4.7899292726696924E-3</v>
      </c>
      <c r="I1960" s="12">
        <f>(PrincipalesVariables[[#This Row],[Dólar  mayorista]]-E1959)/E1959</f>
        <v>1.6666666666663351E-4</v>
      </c>
      <c r="J1960" s="12">
        <f>(PrincipalesVariables[[#This Row],[Reservas internacionales]]-F1959)/F1959</f>
        <v>2.8216206683713959E-3</v>
      </c>
    </row>
    <row r="1961" spans="1:10" ht="15.75" thickBot="1" x14ac:dyDescent="0.3">
      <c r="A1961" s="14">
        <v>43850</v>
      </c>
      <c r="B1961" s="15">
        <v>43850</v>
      </c>
      <c r="C1961" s="16">
        <v>1627338</v>
      </c>
      <c r="D1961" s="10">
        <f>PrincipalesVariables[[#This Row],[Base monetaria]]/1000000</f>
        <v>1.627338</v>
      </c>
      <c r="E1961" s="10">
        <v>60.03</v>
      </c>
      <c r="F1961" s="11">
        <v>45457</v>
      </c>
      <c r="H1961" s="12">
        <f>(PrincipalesVariables[[#This Row],[Base monetaria]]-C1960)/C1960</f>
        <v>2.7462983973770096E-2</v>
      </c>
      <c r="I1961" s="12">
        <f>(PrincipalesVariables[[#This Row],[Dólar  mayorista]]-E1960)/E1960</f>
        <v>3.3327778703554621E-4</v>
      </c>
      <c r="J1961" s="12">
        <f>(PrincipalesVariables[[#This Row],[Reservas internacionales]]-F1960)/F1960</f>
        <v>-7.6936604238107798E-4</v>
      </c>
    </row>
    <row r="1962" spans="1:10" ht="15.75" thickBot="1" x14ac:dyDescent="0.3">
      <c r="A1962" s="14">
        <v>43851</v>
      </c>
      <c r="B1962" s="15">
        <v>43851</v>
      </c>
      <c r="C1962" s="16">
        <v>1714912</v>
      </c>
      <c r="D1962" s="10">
        <f>PrincipalesVariables[[#This Row],[Base monetaria]]/1000000</f>
        <v>1.714912</v>
      </c>
      <c r="E1962" s="10">
        <v>60.06</v>
      </c>
      <c r="F1962" s="11">
        <v>45363</v>
      </c>
      <c r="H1962" s="12">
        <f>(PrincipalesVariables[[#This Row],[Base monetaria]]-C1961)/C1961</f>
        <v>5.3814265997598532E-2</v>
      </c>
      <c r="I1962" s="12">
        <f>(PrincipalesVariables[[#This Row],[Dólar  mayorista]]-E1961)/E1961</f>
        <v>4.9975012493755019E-4</v>
      </c>
      <c r="J1962" s="12">
        <f>(PrincipalesVariables[[#This Row],[Reservas internacionales]]-F1961)/F1961</f>
        <v>-2.0678883340299625E-3</v>
      </c>
    </row>
    <row r="1963" spans="1:10" ht="15.75" thickBot="1" x14ac:dyDescent="0.3">
      <c r="A1963" s="14">
        <v>43852</v>
      </c>
      <c r="B1963" s="15">
        <v>43852</v>
      </c>
      <c r="C1963" s="16">
        <v>1703587</v>
      </c>
      <c r="D1963" s="10">
        <f>PrincipalesVariables[[#This Row],[Base monetaria]]/1000000</f>
        <v>1.703587</v>
      </c>
      <c r="E1963" s="10">
        <v>60.11</v>
      </c>
      <c r="F1963" s="11">
        <v>45421</v>
      </c>
      <c r="H1963" s="12">
        <f>(PrincipalesVariables[[#This Row],[Base monetaria]]-C1962)/C1962</f>
        <v>-6.6038373980705717E-3</v>
      </c>
      <c r="I1963" s="12">
        <f>(PrincipalesVariables[[#This Row],[Dólar  mayorista]]-E1962)/E1962</f>
        <v>8.3250083250078512E-4</v>
      </c>
      <c r="J1963" s="12">
        <f>(PrincipalesVariables[[#This Row],[Reservas internacionales]]-F1962)/F1962</f>
        <v>1.2785750501510041E-3</v>
      </c>
    </row>
    <row r="1964" spans="1:10" ht="15.75" thickBot="1" x14ac:dyDescent="0.3">
      <c r="A1964" s="14">
        <v>43853</v>
      </c>
      <c r="B1964" s="15">
        <v>43853</v>
      </c>
      <c r="C1964" s="16">
        <v>1597283</v>
      </c>
      <c r="D1964" s="10">
        <f>PrincipalesVariables[[#This Row],[Base monetaria]]/1000000</f>
        <v>1.597283</v>
      </c>
      <c r="E1964" s="10">
        <v>60.09</v>
      </c>
      <c r="F1964" s="11">
        <v>45387</v>
      </c>
      <c r="H1964" s="12">
        <f>(PrincipalesVariables[[#This Row],[Base monetaria]]-C1963)/C1963</f>
        <v>-6.2400100493840351E-2</v>
      </c>
      <c r="I1964" s="12">
        <f>(PrincipalesVariables[[#This Row],[Dólar  mayorista]]-E1963)/E1963</f>
        <v>-3.3272334054227287E-4</v>
      </c>
      <c r="J1964" s="12">
        <f>(PrincipalesVariables[[#This Row],[Reservas internacionales]]-F1963)/F1963</f>
        <v>-7.4855243169459065E-4</v>
      </c>
    </row>
    <row r="1965" spans="1:10" ht="15.75" thickBot="1" x14ac:dyDescent="0.3">
      <c r="A1965" s="14">
        <v>43854</v>
      </c>
      <c r="B1965" s="15">
        <v>43854</v>
      </c>
      <c r="C1965" s="16">
        <v>1679108</v>
      </c>
      <c r="D1965" s="10">
        <f>PrincipalesVariables[[#This Row],[Base monetaria]]/1000000</f>
        <v>1.679108</v>
      </c>
      <c r="E1965" s="10">
        <v>60.1</v>
      </c>
      <c r="F1965" s="11">
        <v>45243</v>
      </c>
      <c r="H1965" s="12">
        <f>(PrincipalesVariables[[#This Row],[Base monetaria]]-C1964)/C1964</f>
        <v>5.1227615895242107E-2</v>
      </c>
      <c r="I1965" s="12">
        <f>(PrincipalesVariables[[#This Row],[Dólar  mayorista]]-E1964)/E1964</f>
        <v>1.6641704110497603E-4</v>
      </c>
      <c r="J1965" s="12">
        <f>(PrincipalesVariables[[#This Row],[Reservas internacionales]]-F1964)/F1964</f>
        <v>-3.1727146539758081E-3</v>
      </c>
    </row>
    <row r="1966" spans="1:10" ht="15.75" thickBot="1" x14ac:dyDescent="0.3">
      <c r="A1966" s="14">
        <v>43857</v>
      </c>
      <c r="B1966" s="15">
        <v>43857</v>
      </c>
      <c r="C1966" s="16">
        <v>1906763</v>
      </c>
      <c r="D1966" s="10">
        <f>PrincipalesVariables[[#This Row],[Base monetaria]]/1000000</f>
        <v>1.906763</v>
      </c>
      <c r="E1966" s="10">
        <v>60.14</v>
      </c>
      <c r="F1966" s="11">
        <v>45158</v>
      </c>
      <c r="H1966" s="12">
        <f>(PrincipalesVariables[[#This Row],[Base monetaria]]-C1965)/C1965</f>
        <v>0.1355809155813682</v>
      </c>
      <c r="I1966" s="12">
        <f>(PrincipalesVariables[[#This Row],[Dólar  mayorista]]-E1965)/E1965</f>
        <v>6.6555740432610894E-4</v>
      </c>
      <c r="J1966" s="12">
        <f>(PrincipalesVariables[[#This Row],[Reservas internacionales]]-F1965)/F1965</f>
        <v>-1.8787436730543952E-3</v>
      </c>
    </row>
    <row r="1967" spans="1:10" ht="15.75" thickBot="1" x14ac:dyDescent="0.3">
      <c r="A1967" s="14">
        <v>43858</v>
      </c>
      <c r="B1967" s="15">
        <v>43858</v>
      </c>
      <c r="C1967" s="16">
        <v>1791338</v>
      </c>
      <c r="D1967" s="10">
        <f>PrincipalesVariables[[#This Row],[Base monetaria]]/1000000</f>
        <v>1.7913380000000001</v>
      </c>
      <c r="E1967" s="10">
        <v>60.18</v>
      </c>
      <c r="F1967" s="11">
        <v>45105</v>
      </c>
      <c r="H1967" s="12">
        <f>(PrincipalesVariables[[#This Row],[Base monetaria]]-C1966)/C1966</f>
        <v>-6.0534528937261738E-2</v>
      </c>
      <c r="I1967" s="12">
        <f>(PrincipalesVariables[[#This Row],[Dólar  mayorista]]-E1966)/E1966</f>
        <v>6.6511473229130611E-4</v>
      </c>
      <c r="J1967" s="12">
        <f>(PrincipalesVariables[[#This Row],[Reservas internacionales]]-F1966)/F1966</f>
        <v>-1.1736569378626156E-3</v>
      </c>
    </row>
    <row r="1968" spans="1:10" ht="15.75" thickBot="1" x14ac:dyDescent="0.3">
      <c r="A1968" s="14">
        <v>43859</v>
      </c>
      <c r="B1968" s="15">
        <v>43859</v>
      </c>
      <c r="C1968" s="16">
        <v>1749329</v>
      </c>
      <c r="D1968" s="10">
        <f>PrincipalesVariables[[#This Row],[Base monetaria]]/1000000</f>
        <v>1.7493289999999999</v>
      </c>
      <c r="E1968" s="10">
        <v>60.24</v>
      </c>
      <c r="F1968" s="11">
        <v>45064</v>
      </c>
      <c r="H1968" s="12">
        <f>(PrincipalesVariables[[#This Row],[Base monetaria]]-C1967)/C1967</f>
        <v>-2.3451185650055991E-2</v>
      </c>
      <c r="I1968" s="12">
        <f>(PrincipalesVariables[[#This Row],[Dólar  mayorista]]-E1967)/E1967</f>
        <v>9.9700897308079559E-4</v>
      </c>
      <c r="J1968" s="12">
        <f>(PrincipalesVariables[[#This Row],[Reservas internacionales]]-F1967)/F1967</f>
        <v>-9.0899013413147105E-4</v>
      </c>
    </row>
    <row r="1969" spans="1:10" ht="15.75" thickBot="1" x14ac:dyDescent="0.3">
      <c r="A1969" s="14">
        <v>43860</v>
      </c>
      <c r="B1969" s="15">
        <v>43860</v>
      </c>
      <c r="C1969" s="16">
        <v>1697771</v>
      </c>
      <c r="D1969" s="10">
        <f>PrincipalesVariables[[#This Row],[Base monetaria]]/1000000</f>
        <v>1.6977709999999999</v>
      </c>
      <c r="E1969" s="10">
        <v>60.25</v>
      </c>
      <c r="F1969" s="11">
        <v>45014</v>
      </c>
      <c r="H1969" s="12">
        <f>(PrincipalesVariables[[#This Row],[Base monetaria]]-C1968)/C1968</f>
        <v>-2.9473015081782787E-2</v>
      </c>
      <c r="I1969" s="12">
        <f>(PrincipalesVariables[[#This Row],[Dólar  mayorista]]-E1968)/E1968</f>
        <v>1.6600265604246365E-4</v>
      </c>
      <c r="J1969" s="12">
        <f>(PrincipalesVariables[[#This Row],[Reservas internacionales]]-F1968)/F1968</f>
        <v>-1.1095331084679566E-3</v>
      </c>
    </row>
    <row r="1970" spans="1:10" ht="15.75" thickBot="1" x14ac:dyDescent="0.3">
      <c r="A1970" s="14">
        <v>43861</v>
      </c>
      <c r="B1970" s="15">
        <v>43861</v>
      </c>
      <c r="C1970" s="16">
        <v>1708871</v>
      </c>
      <c r="D1970" s="10">
        <f>PrincipalesVariables[[#This Row],[Base monetaria]]/1000000</f>
        <v>1.708871</v>
      </c>
      <c r="E1970" s="10">
        <v>60.33</v>
      </c>
      <c r="F1970" s="11">
        <v>44917</v>
      </c>
      <c r="H1970" s="12">
        <f>(PrincipalesVariables[[#This Row],[Base monetaria]]-C1969)/C1969</f>
        <v>6.537984215774683E-3</v>
      </c>
      <c r="I1970" s="12">
        <f>(PrincipalesVariables[[#This Row],[Dólar  mayorista]]-E1969)/E1969</f>
        <v>1.3278008298754904E-3</v>
      </c>
      <c r="J1970" s="12">
        <f>(PrincipalesVariables[[#This Row],[Reservas internacionales]]-F1969)/F1969</f>
        <v>-2.1548851468432043E-3</v>
      </c>
    </row>
    <row r="1971" spans="1:10" ht="15.75" thickBot="1" x14ac:dyDescent="0.3">
      <c r="A1971" s="14">
        <v>43864</v>
      </c>
      <c r="B1971" s="15">
        <v>43864</v>
      </c>
      <c r="C1971" s="16">
        <v>1743752</v>
      </c>
      <c r="D1971" s="10">
        <f>PrincipalesVariables[[#This Row],[Base monetaria]]/1000000</f>
        <v>1.743752</v>
      </c>
      <c r="E1971" s="10">
        <v>60.43</v>
      </c>
      <c r="F1971" s="11">
        <v>44770</v>
      </c>
      <c r="H1971" s="12">
        <f>(PrincipalesVariables[[#This Row],[Base monetaria]]-C1970)/C1970</f>
        <v>2.0411722125309634E-2</v>
      </c>
      <c r="I1971" s="12">
        <f>(PrincipalesVariables[[#This Row],[Dólar  mayorista]]-E1970)/E1970</f>
        <v>1.6575501408917855E-3</v>
      </c>
      <c r="J1971" s="12">
        <f>(PrincipalesVariables[[#This Row],[Reservas internacionales]]-F1970)/F1970</f>
        <v>-3.272702985506601E-3</v>
      </c>
    </row>
    <row r="1972" spans="1:10" ht="15.75" thickBot="1" x14ac:dyDescent="0.3">
      <c r="A1972" s="14">
        <v>43865</v>
      </c>
      <c r="B1972" s="15">
        <v>43865</v>
      </c>
      <c r="C1972" s="16">
        <v>1813619</v>
      </c>
      <c r="D1972" s="10">
        <f>PrincipalesVariables[[#This Row],[Base monetaria]]/1000000</f>
        <v>1.8136190000000001</v>
      </c>
      <c r="E1972" s="10">
        <v>60.58</v>
      </c>
      <c r="F1972" s="11">
        <v>44632</v>
      </c>
      <c r="H1972" s="12">
        <f>(PrincipalesVariables[[#This Row],[Base monetaria]]-C1971)/C1971</f>
        <v>4.0067050819153183E-2</v>
      </c>
      <c r="I1972" s="12">
        <f>(PrincipalesVariables[[#This Row],[Dólar  mayorista]]-E1971)/E1971</f>
        <v>2.4822108224391622E-3</v>
      </c>
      <c r="J1972" s="12">
        <f>(PrincipalesVariables[[#This Row],[Reservas internacionales]]-F1971)/F1971</f>
        <v>-3.082421264239446E-3</v>
      </c>
    </row>
    <row r="1973" spans="1:10" ht="15.75" thickBot="1" x14ac:dyDescent="0.3">
      <c r="A1973" s="14">
        <v>43866</v>
      </c>
      <c r="B1973" s="15">
        <v>43866</v>
      </c>
      <c r="C1973" s="16">
        <v>1813917</v>
      </c>
      <c r="D1973" s="10">
        <f>PrincipalesVariables[[#This Row],[Base monetaria]]/1000000</f>
        <v>1.813917</v>
      </c>
      <c r="E1973" s="10">
        <v>60.58</v>
      </c>
      <c r="F1973" s="11">
        <v>44645</v>
      </c>
      <c r="H1973" s="12">
        <f>(PrincipalesVariables[[#This Row],[Base monetaria]]-C1972)/C1972</f>
        <v>1.6431235005808826E-4</v>
      </c>
      <c r="I1973" s="12">
        <f>(PrincipalesVariables[[#This Row],[Dólar  mayorista]]-E1972)/E1972</f>
        <v>0</v>
      </c>
      <c r="J1973" s="12">
        <f>(PrincipalesVariables[[#This Row],[Reservas internacionales]]-F1972)/F1972</f>
        <v>2.9127083706757481E-4</v>
      </c>
    </row>
    <row r="1974" spans="1:10" ht="15.75" thickBot="1" x14ac:dyDescent="0.3">
      <c r="A1974" s="14">
        <v>43867</v>
      </c>
      <c r="B1974" s="15">
        <v>43867</v>
      </c>
      <c r="C1974" s="16">
        <v>1887225</v>
      </c>
      <c r="D1974" s="10">
        <f>PrincipalesVariables[[#This Row],[Base monetaria]]/1000000</f>
        <v>1.8872249999999999</v>
      </c>
      <c r="E1974" s="10">
        <v>60.67</v>
      </c>
      <c r="F1974" s="11">
        <v>44666</v>
      </c>
      <c r="H1974" s="12">
        <f>(PrincipalesVariables[[#This Row],[Base monetaria]]-C1973)/C1973</f>
        <v>4.0414197562512508E-2</v>
      </c>
      <c r="I1974" s="12">
        <f>(PrincipalesVariables[[#This Row],[Dólar  mayorista]]-E1973)/E1973</f>
        <v>1.485638824694675E-3</v>
      </c>
      <c r="J1974" s="12">
        <f>(PrincipalesVariables[[#This Row],[Reservas internacionales]]-F1973)/F1973</f>
        <v>4.7037742188374957E-4</v>
      </c>
    </row>
    <row r="1975" spans="1:10" ht="15.75" thickBot="1" x14ac:dyDescent="0.3">
      <c r="A1975" s="14">
        <v>43868</v>
      </c>
      <c r="B1975" s="15">
        <v>43868</v>
      </c>
      <c r="C1975" s="16">
        <v>1902031</v>
      </c>
      <c r="D1975" s="10">
        <f>PrincipalesVariables[[#This Row],[Base monetaria]]/1000000</f>
        <v>1.902031</v>
      </c>
      <c r="E1975" s="10">
        <v>60.77</v>
      </c>
      <c r="F1975" s="11">
        <v>44675</v>
      </c>
      <c r="H1975" s="12">
        <f>(PrincipalesVariables[[#This Row],[Base monetaria]]-C1974)/C1974</f>
        <v>7.8453814463034354E-3</v>
      </c>
      <c r="I1975" s="12">
        <f>(PrincipalesVariables[[#This Row],[Dólar  mayorista]]-E1974)/E1974</f>
        <v>1.648261084555817E-3</v>
      </c>
      <c r="J1975" s="12">
        <f>(PrincipalesVariables[[#This Row],[Reservas internacionales]]-F1974)/F1974</f>
        <v>2.0149554470962254E-4</v>
      </c>
    </row>
    <row r="1976" spans="1:10" ht="15.75" thickBot="1" x14ac:dyDescent="0.3">
      <c r="A1976" s="14">
        <v>43871</v>
      </c>
      <c r="B1976" s="15">
        <v>43871</v>
      </c>
      <c r="C1976" s="16">
        <v>1906657</v>
      </c>
      <c r="D1976" s="10">
        <f>PrincipalesVariables[[#This Row],[Base monetaria]]/1000000</f>
        <v>1.906657</v>
      </c>
      <c r="E1976" s="10">
        <v>60.97</v>
      </c>
      <c r="F1976" s="11">
        <v>44682</v>
      </c>
      <c r="H1976" s="12">
        <f>(PrincipalesVariables[[#This Row],[Base monetaria]]-C1975)/C1975</f>
        <v>2.4321370156427523E-3</v>
      </c>
      <c r="I1976" s="12">
        <f>(PrincipalesVariables[[#This Row],[Dólar  mayorista]]-E1975)/E1975</f>
        <v>3.2910975810432077E-3</v>
      </c>
      <c r="J1976" s="12">
        <f>(PrincipalesVariables[[#This Row],[Reservas internacionales]]-F1975)/F1975</f>
        <v>1.5668718522663682E-4</v>
      </c>
    </row>
    <row r="1977" spans="1:10" ht="15.75" thickBot="1" x14ac:dyDescent="0.3">
      <c r="A1977" s="14">
        <v>43872</v>
      </c>
      <c r="B1977" s="15">
        <v>43872</v>
      </c>
      <c r="C1977" s="16">
        <v>1930746</v>
      </c>
      <c r="D1977" s="10">
        <f>PrincipalesVariables[[#This Row],[Base monetaria]]/1000000</f>
        <v>1.9307460000000001</v>
      </c>
      <c r="E1977" s="10">
        <v>61.11</v>
      </c>
      <c r="F1977" s="11">
        <v>44688</v>
      </c>
      <c r="H1977" s="12">
        <f>(PrincipalesVariables[[#This Row],[Base monetaria]]-C1976)/C1976</f>
        <v>1.2634154963373065E-2</v>
      </c>
      <c r="I1977" s="12">
        <f>(PrincipalesVariables[[#This Row],[Dólar  mayorista]]-E1976)/E1976</f>
        <v>2.2962112514351412E-3</v>
      </c>
      <c r="J1977" s="12">
        <f>(PrincipalesVariables[[#This Row],[Reservas internacionales]]-F1976)/F1976</f>
        <v>1.342822613132805E-4</v>
      </c>
    </row>
    <row r="1978" spans="1:10" ht="15.75" thickBot="1" x14ac:dyDescent="0.3">
      <c r="A1978" s="14">
        <v>43873</v>
      </c>
      <c r="B1978" s="15">
        <v>43873</v>
      </c>
      <c r="C1978" s="16">
        <v>1928262</v>
      </c>
      <c r="D1978" s="10">
        <f>PrincipalesVariables[[#This Row],[Base monetaria]]/1000000</f>
        <v>1.9282619999999999</v>
      </c>
      <c r="E1978" s="10">
        <v>61.23</v>
      </c>
      <c r="F1978" s="11">
        <v>44701</v>
      </c>
      <c r="H1978" s="12">
        <f>(PrincipalesVariables[[#This Row],[Base monetaria]]-C1977)/C1977</f>
        <v>-1.2865493441395191E-3</v>
      </c>
      <c r="I1978" s="12">
        <f>(PrincipalesVariables[[#This Row],[Dólar  mayorista]]-E1977)/E1977</f>
        <v>1.9636720667648086E-3</v>
      </c>
      <c r="J1978" s="12">
        <f>(PrincipalesVariables[[#This Row],[Reservas internacionales]]-F1977)/F1977</f>
        <v>2.9090583601861799E-4</v>
      </c>
    </row>
    <row r="1979" spans="1:10" ht="15.75" thickBot="1" x14ac:dyDescent="0.3">
      <c r="A1979" s="14">
        <v>43874</v>
      </c>
      <c r="B1979" s="15">
        <v>43874</v>
      </c>
      <c r="C1979" s="16">
        <v>1957388</v>
      </c>
      <c r="D1979" s="10">
        <f>PrincipalesVariables[[#This Row],[Base monetaria]]/1000000</f>
        <v>1.9573879999999999</v>
      </c>
      <c r="E1979" s="10">
        <v>61.38</v>
      </c>
      <c r="F1979" s="11">
        <v>44719</v>
      </c>
      <c r="H1979" s="12">
        <f>(PrincipalesVariables[[#This Row],[Base monetaria]]-C1978)/C1978</f>
        <v>1.5104793850628183E-2</v>
      </c>
      <c r="I1979" s="12">
        <f>(PrincipalesVariables[[#This Row],[Dólar  mayorista]]-E1978)/E1978</f>
        <v>2.4497795198433069E-3</v>
      </c>
      <c r="J1979" s="12">
        <f>(PrincipalesVariables[[#This Row],[Reservas internacionales]]-F1978)/F1978</f>
        <v>4.026755553567034E-4</v>
      </c>
    </row>
    <row r="1980" spans="1:10" ht="15.75" thickBot="1" x14ac:dyDescent="0.3">
      <c r="A1980" s="14">
        <v>43875</v>
      </c>
      <c r="B1980" s="15">
        <v>43875</v>
      </c>
      <c r="C1980" s="16">
        <v>1954965</v>
      </c>
      <c r="D1980" s="10">
        <f>PrincipalesVariables[[#This Row],[Base monetaria]]/1000000</f>
        <v>1.9549650000000001</v>
      </c>
      <c r="E1980" s="10">
        <v>61.45</v>
      </c>
      <c r="F1980" s="11">
        <v>44744</v>
      </c>
      <c r="H1980" s="12">
        <f>(PrincipalesVariables[[#This Row],[Base monetaria]]-C1979)/C1979</f>
        <v>-1.2378741465667513E-3</v>
      </c>
      <c r="I1980" s="12">
        <f>(PrincipalesVariables[[#This Row],[Dólar  mayorista]]-E1979)/E1979</f>
        <v>1.1404366243075966E-3</v>
      </c>
      <c r="J1980" s="12">
        <f>(PrincipalesVariables[[#This Row],[Reservas internacionales]]-F1979)/F1979</f>
        <v>5.5904649030613391E-4</v>
      </c>
    </row>
    <row r="1981" spans="1:10" ht="15.75" thickBot="1" x14ac:dyDescent="0.3">
      <c r="A1981" s="14">
        <v>43878</v>
      </c>
      <c r="B1981" s="15">
        <v>43878</v>
      </c>
      <c r="C1981" s="16">
        <v>1966178</v>
      </c>
      <c r="D1981" s="10">
        <f>PrincipalesVariables[[#This Row],[Base monetaria]]/1000000</f>
        <v>1.966178</v>
      </c>
      <c r="E1981" s="10">
        <v>61.66</v>
      </c>
      <c r="F1981" s="11">
        <v>44758</v>
      </c>
      <c r="H1981" s="12">
        <f>(PrincipalesVariables[[#This Row],[Base monetaria]]-C1980)/C1980</f>
        <v>5.7356525564396296E-3</v>
      </c>
      <c r="I1981" s="12">
        <f>(PrincipalesVariables[[#This Row],[Dólar  mayorista]]-E1980)/E1980</f>
        <v>3.4174125305125101E-3</v>
      </c>
      <c r="J1981" s="12">
        <f>(PrincipalesVariables[[#This Row],[Reservas internacionales]]-F1980)/F1980</f>
        <v>3.1289111389236547E-4</v>
      </c>
    </row>
    <row r="1982" spans="1:10" ht="15.75" thickBot="1" x14ac:dyDescent="0.3">
      <c r="A1982" s="14">
        <v>43879</v>
      </c>
      <c r="B1982" s="15">
        <v>43879</v>
      </c>
      <c r="C1982" s="16">
        <v>1941302</v>
      </c>
      <c r="D1982" s="10">
        <f>PrincipalesVariables[[#This Row],[Base monetaria]]/1000000</f>
        <v>1.9413020000000001</v>
      </c>
      <c r="E1982" s="10">
        <v>61.66</v>
      </c>
      <c r="F1982" s="11">
        <v>44719</v>
      </c>
      <c r="H1982" s="12">
        <f>(PrincipalesVariables[[#This Row],[Base monetaria]]-C1981)/C1981</f>
        <v>-1.265195724903849E-2</v>
      </c>
      <c r="I1982" s="12">
        <f>(PrincipalesVariables[[#This Row],[Dólar  mayorista]]-E1981)/E1981</f>
        <v>0</v>
      </c>
      <c r="J1982" s="12">
        <f>(PrincipalesVariables[[#This Row],[Reservas internacionales]]-F1981)/F1981</f>
        <v>-8.7135260735510972E-4</v>
      </c>
    </row>
    <row r="1983" spans="1:10" ht="15.75" thickBot="1" x14ac:dyDescent="0.3">
      <c r="A1983" s="14">
        <v>43880</v>
      </c>
      <c r="B1983" s="15">
        <v>43880</v>
      </c>
      <c r="C1983" s="16">
        <v>1941904</v>
      </c>
      <c r="D1983" s="10">
        <f>PrincipalesVariables[[#This Row],[Base monetaria]]/1000000</f>
        <v>1.9419040000000001</v>
      </c>
      <c r="E1983" s="10">
        <v>61.72</v>
      </c>
      <c r="F1983" s="11">
        <v>44705</v>
      </c>
      <c r="H1983" s="12">
        <f>(PrincipalesVariables[[#This Row],[Base monetaria]]-C1982)/C1982</f>
        <v>3.1010115891293573E-4</v>
      </c>
      <c r="I1983" s="12">
        <f>(PrincipalesVariables[[#This Row],[Dólar  mayorista]]-E1982)/E1982</f>
        <v>9.7307817061307613E-4</v>
      </c>
      <c r="J1983" s="12">
        <f>(PrincipalesVariables[[#This Row],[Reservas internacionales]]-F1982)/F1982</f>
        <v>-3.1306603457143494E-4</v>
      </c>
    </row>
    <row r="1984" spans="1:10" ht="15.75" thickBot="1" x14ac:dyDescent="0.3">
      <c r="A1984" s="14">
        <v>43881</v>
      </c>
      <c r="B1984" s="15">
        <v>43881</v>
      </c>
      <c r="C1984" s="16">
        <v>1887975</v>
      </c>
      <c r="D1984" s="10">
        <f>PrincipalesVariables[[#This Row],[Base monetaria]]/1000000</f>
        <v>1.887975</v>
      </c>
      <c r="E1984" s="10">
        <v>61.79</v>
      </c>
      <c r="F1984" s="11">
        <v>44717</v>
      </c>
      <c r="H1984" s="12">
        <f>(PrincipalesVariables[[#This Row],[Base monetaria]]-C1983)/C1983</f>
        <v>-2.7771197752309074E-2</v>
      </c>
      <c r="I1984" s="12">
        <f>(PrincipalesVariables[[#This Row],[Dólar  mayorista]]-E1983)/E1983</f>
        <v>1.1341542449773215E-3</v>
      </c>
      <c r="J1984" s="12">
        <f>(PrincipalesVariables[[#This Row],[Reservas internacionales]]-F1983)/F1983</f>
        <v>2.6842635052007607E-4</v>
      </c>
    </row>
    <row r="1985" spans="1:10" ht="15.75" thickBot="1" x14ac:dyDescent="0.3">
      <c r="A1985" s="14">
        <v>43882</v>
      </c>
      <c r="B1985" s="15">
        <v>43882</v>
      </c>
      <c r="C1985" s="16">
        <v>1855477</v>
      </c>
      <c r="D1985" s="10">
        <f>PrincipalesVariables[[#This Row],[Base monetaria]]/1000000</f>
        <v>1.855477</v>
      </c>
      <c r="E1985" s="10">
        <v>61.83</v>
      </c>
      <c r="F1985" s="11">
        <v>44726</v>
      </c>
      <c r="H1985" s="12">
        <f>(PrincipalesVariables[[#This Row],[Base monetaria]]-C1984)/C1984</f>
        <v>-1.721315165719885E-2</v>
      </c>
      <c r="I1985" s="12">
        <f>(PrincipalesVariables[[#This Row],[Dólar  mayorista]]-E1984)/E1984</f>
        <v>6.4735394076710065E-4</v>
      </c>
      <c r="J1985" s="12">
        <f>(PrincipalesVariables[[#This Row],[Reservas internacionales]]-F1984)/F1984</f>
        <v>2.0126573786255787E-4</v>
      </c>
    </row>
    <row r="1986" spans="1:10" ht="15.75" thickBot="1" x14ac:dyDescent="0.3">
      <c r="A1986" s="14">
        <v>43887</v>
      </c>
      <c r="B1986" s="15">
        <v>43887</v>
      </c>
      <c r="C1986" s="16">
        <v>1807042</v>
      </c>
      <c r="D1986" s="10">
        <f>PrincipalesVariables[[#This Row],[Base monetaria]]/1000000</f>
        <v>1.807042</v>
      </c>
      <c r="E1986" s="10">
        <v>62.08</v>
      </c>
      <c r="F1986" s="11">
        <v>44710</v>
      </c>
      <c r="H1986" s="12">
        <f>(PrincipalesVariables[[#This Row],[Base monetaria]]-C1985)/C1985</f>
        <v>-2.6103799723736807E-2</v>
      </c>
      <c r="I1986" s="12">
        <f>(PrincipalesVariables[[#This Row],[Dólar  mayorista]]-E1985)/E1985</f>
        <v>4.0433446546983666E-3</v>
      </c>
      <c r="J1986" s="12">
        <f>(PrincipalesVariables[[#This Row],[Reservas internacionales]]-F1985)/F1985</f>
        <v>-3.5773375665161202E-4</v>
      </c>
    </row>
    <row r="1987" spans="1:10" ht="15.75" thickBot="1" x14ac:dyDescent="0.3">
      <c r="A1987" s="14">
        <v>43888</v>
      </c>
      <c r="B1987" s="15">
        <v>43888</v>
      </c>
      <c r="C1987" s="16">
        <v>1716359</v>
      </c>
      <c r="D1987" s="10">
        <f>PrincipalesVariables[[#This Row],[Base monetaria]]/1000000</f>
        <v>1.716359</v>
      </c>
      <c r="E1987" s="10">
        <v>62.14</v>
      </c>
      <c r="F1987" s="11">
        <v>44791</v>
      </c>
      <c r="H1987" s="12">
        <f>(PrincipalesVariables[[#This Row],[Base monetaria]]-C1986)/C1986</f>
        <v>-5.0183116939174627E-2</v>
      </c>
      <c r="I1987" s="12">
        <f>(PrincipalesVariables[[#This Row],[Dólar  mayorista]]-E1986)/E1986</f>
        <v>9.6649484536086142E-4</v>
      </c>
      <c r="J1987" s="12">
        <f>(PrincipalesVariables[[#This Row],[Reservas internacionales]]-F1986)/F1986</f>
        <v>1.8116752404383806E-3</v>
      </c>
    </row>
    <row r="1988" spans="1:10" ht="15.75" thickBot="1" x14ac:dyDescent="0.3">
      <c r="A1988" s="14">
        <v>43889</v>
      </c>
      <c r="B1988" s="15">
        <v>43889</v>
      </c>
      <c r="C1988" s="16">
        <v>1716134</v>
      </c>
      <c r="D1988" s="10">
        <f>PrincipalesVariables[[#This Row],[Base monetaria]]/1000000</f>
        <v>1.716134</v>
      </c>
      <c r="E1988" s="10">
        <v>62.21</v>
      </c>
      <c r="F1988" s="11">
        <v>44791</v>
      </c>
      <c r="H1988" s="12">
        <f>(PrincipalesVariables[[#This Row],[Base monetaria]]-C1987)/C1987</f>
        <v>-1.3109145580848762E-4</v>
      </c>
      <c r="I1988" s="12">
        <f>(PrincipalesVariables[[#This Row],[Dólar  mayorista]]-E1987)/E1987</f>
        <v>1.1264885741873235E-3</v>
      </c>
      <c r="J1988" s="12">
        <f>(PrincipalesVariables[[#This Row],[Reservas internacionales]]-F1987)/F1987</f>
        <v>0</v>
      </c>
    </row>
    <row r="1989" spans="1:10" ht="15.75" thickBot="1" x14ac:dyDescent="0.3">
      <c r="A1989" s="14">
        <v>43892</v>
      </c>
      <c r="B1989" s="15">
        <v>43892</v>
      </c>
      <c r="C1989" s="16">
        <v>1814114</v>
      </c>
      <c r="D1989" s="10">
        <f>PrincipalesVariables[[#This Row],[Base monetaria]]/1000000</f>
        <v>1.814114</v>
      </c>
      <c r="E1989" s="10">
        <v>62.25</v>
      </c>
      <c r="F1989" s="11">
        <v>44803</v>
      </c>
      <c r="H1989" s="12">
        <f>(PrincipalesVariables[[#This Row],[Base monetaria]]-C1988)/C1988</f>
        <v>5.7093443752061317E-2</v>
      </c>
      <c r="I1989" s="12">
        <f>(PrincipalesVariables[[#This Row],[Dólar  mayorista]]-E1988)/E1988</f>
        <v>6.4298344317632449E-4</v>
      </c>
      <c r="J1989" s="12">
        <f>(PrincipalesVariables[[#This Row],[Reservas internacionales]]-F1988)/F1988</f>
        <v>2.679109642562122E-4</v>
      </c>
    </row>
    <row r="1990" spans="1:10" ht="15.75" thickBot="1" x14ac:dyDescent="0.3">
      <c r="A1990" s="14">
        <v>43893</v>
      </c>
      <c r="B1990" s="15">
        <v>43893</v>
      </c>
      <c r="C1990" s="16">
        <v>1738489</v>
      </c>
      <c r="D1990" s="10">
        <f>PrincipalesVariables[[#This Row],[Base monetaria]]/1000000</f>
        <v>1.738489</v>
      </c>
      <c r="E1990" s="10">
        <v>62.3</v>
      </c>
      <c r="F1990" s="11">
        <v>44819</v>
      </c>
      <c r="H1990" s="12">
        <f>(PrincipalesVariables[[#This Row],[Base monetaria]]-C1989)/C1989</f>
        <v>-4.1687016361706047E-2</v>
      </c>
      <c r="I1990" s="12">
        <f>(PrincipalesVariables[[#This Row],[Dólar  mayorista]]-E1989)/E1989</f>
        <v>8.0321285140557688E-4</v>
      </c>
      <c r="J1990" s="12">
        <f>(PrincipalesVariables[[#This Row],[Reservas internacionales]]-F1989)/F1989</f>
        <v>3.5711894292792895E-4</v>
      </c>
    </row>
    <row r="1991" spans="1:10" ht="15.75" thickBot="1" x14ac:dyDescent="0.3">
      <c r="A1991" s="14">
        <v>43894</v>
      </c>
      <c r="B1991" s="15">
        <v>43894</v>
      </c>
      <c r="C1991" s="16">
        <v>1703553</v>
      </c>
      <c r="D1991" s="10">
        <f>PrincipalesVariables[[#This Row],[Base monetaria]]/1000000</f>
        <v>1.7035530000000001</v>
      </c>
      <c r="E1991" s="10">
        <v>62.36</v>
      </c>
      <c r="F1991" s="11">
        <v>44832</v>
      </c>
      <c r="H1991" s="12">
        <f>(PrincipalesVariables[[#This Row],[Base monetaria]]-C1990)/C1990</f>
        <v>-2.0095611764008859E-2</v>
      </c>
      <c r="I1991" s="12">
        <f>(PrincipalesVariables[[#This Row],[Dólar  mayorista]]-E1990)/E1990</f>
        <v>9.6308186195830298E-4</v>
      </c>
      <c r="J1991" s="12">
        <f>(PrincipalesVariables[[#This Row],[Reservas internacionales]]-F1990)/F1990</f>
        <v>2.9005555679510921E-4</v>
      </c>
    </row>
    <row r="1992" spans="1:10" ht="15.75" thickBot="1" x14ac:dyDescent="0.3">
      <c r="A1992" s="14">
        <v>43895</v>
      </c>
      <c r="B1992" s="15">
        <v>43895</v>
      </c>
      <c r="C1992" s="16">
        <v>1703459</v>
      </c>
      <c r="D1992" s="10">
        <f>PrincipalesVariables[[#This Row],[Base monetaria]]/1000000</f>
        <v>1.7034590000000001</v>
      </c>
      <c r="E1992" s="10">
        <v>62.42</v>
      </c>
      <c r="F1992" s="11">
        <v>44838</v>
      </c>
      <c r="H1992" s="12">
        <f>(PrincipalesVariables[[#This Row],[Base monetaria]]-C1991)/C1991</f>
        <v>-5.5178793967666399E-5</v>
      </c>
      <c r="I1992" s="12">
        <f>(PrincipalesVariables[[#This Row],[Dólar  mayorista]]-E1991)/E1991</f>
        <v>9.6215522771010698E-4</v>
      </c>
      <c r="J1992" s="12">
        <f>(PrincipalesVariables[[#This Row],[Reservas internacionales]]-F1991)/F1991</f>
        <v>1.3383297644539615E-4</v>
      </c>
    </row>
    <row r="1993" spans="1:10" ht="15.75" thickBot="1" x14ac:dyDescent="0.3">
      <c r="A1993" s="14">
        <v>43896</v>
      </c>
      <c r="B1993" s="15">
        <v>43896</v>
      </c>
      <c r="C1993" s="16">
        <v>1720330</v>
      </c>
      <c r="D1993" s="10">
        <f>PrincipalesVariables[[#This Row],[Base monetaria]]/1000000</f>
        <v>1.7203299999999999</v>
      </c>
      <c r="E1993" s="10">
        <v>62.48</v>
      </c>
      <c r="F1993" s="11">
        <v>44857</v>
      </c>
      <c r="H1993" s="12">
        <f>(PrincipalesVariables[[#This Row],[Base monetaria]]-C1992)/C1992</f>
        <v>9.903965989201971E-3</v>
      </c>
      <c r="I1993" s="12">
        <f>(PrincipalesVariables[[#This Row],[Dólar  mayorista]]-E1992)/E1992</f>
        <v>9.6123037487976881E-4</v>
      </c>
      <c r="J1993" s="12">
        <f>(PrincipalesVariables[[#This Row],[Reservas internacionales]]-F1992)/F1992</f>
        <v>4.2374771399259555E-4</v>
      </c>
    </row>
    <row r="1994" spans="1:10" ht="15.75" thickBot="1" x14ac:dyDescent="0.3">
      <c r="A1994" s="14">
        <v>43899</v>
      </c>
      <c r="B1994" s="15">
        <v>43899</v>
      </c>
      <c r="C1994" s="16">
        <v>1727244</v>
      </c>
      <c r="D1994" s="10">
        <f>PrincipalesVariables[[#This Row],[Base monetaria]]/1000000</f>
        <v>1.727244</v>
      </c>
      <c r="E1994" s="10">
        <v>62.53</v>
      </c>
      <c r="F1994" s="11">
        <v>44778</v>
      </c>
      <c r="H1994" s="12">
        <f>(PrincipalesVariables[[#This Row],[Base monetaria]]-C1993)/C1993</f>
        <v>4.0189963553504265E-3</v>
      </c>
      <c r="I1994" s="12">
        <f>(PrincipalesVariables[[#This Row],[Dólar  mayorista]]-E1993)/E1993</f>
        <v>8.0025608194629106E-4</v>
      </c>
      <c r="J1994" s="12">
        <f>(PrincipalesVariables[[#This Row],[Reservas internacionales]]-F1993)/F1993</f>
        <v>-1.7611521055799541E-3</v>
      </c>
    </row>
    <row r="1995" spans="1:10" ht="15.75" thickBot="1" x14ac:dyDescent="0.3">
      <c r="A1995" s="14">
        <v>43900</v>
      </c>
      <c r="B1995" s="15">
        <v>43900</v>
      </c>
      <c r="C1995" s="16">
        <v>1786615</v>
      </c>
      <c r="D1995" s="10">
        <f>PrincipalesVariables[[#This Row],[Base monetaria]]/1000000</f>
        <v>1.7866150000000001</v>
      </c>
      <c r="E1995" s="10">
        <v>62.59</v>
      </c>
      <c r="F1995" s="11">
        <v>44785</v>
      </c>
      <c r="H1995" s="12">
        <f>(PrincipalesVariables[[#This Row],[Base monetaria]]-C1994)/C1994</f>
        <v>3.437325589204536E-2</v>
      </c>
      <c r="I1995" s="12">
        <f>(PrincipalesVariables[[#This Row],[Dólar  mayorista]]-E1994)/E1994</f>
        <v>9.5953942107791898E-4</v>
      </c>
      <c r="J1995" s="12">
        <f>(PrincipalesVariables[[#This Row],[Reservas internacionales]]-F1994)/F1994</f>
        <v>1.5632676760909375E-4</v>
      </c>
    </row>
    <row r="1996" spans="1:10" ht="15.75" thickBot="1" x14ac:dyDescent="0.3">
      <c r="A1996" s="14">
        <v>43901</v>
      </c>
      <c r="B1996" s="15">
        <v>43901</v>
      </c>
      <c r="C1996" s="16">
        <v>1804267</v>
      </c>
      <c r="D1996" s="10">
        <f>PrincipalesVariables[[#This Row],[Base monetaria]]/1000000</f>
        <v>1.8042670000000001</v>
      </c>
      <c r="E1996" s="10">
        <v>62.67</v>
      </c>
      <c r="F1996" s="11">
        <v>44775</v>
      </c>
      <c r="H1996" s="12">
        <f>(PrincipalesVariables[[#This Row],[Base monetaria]]-C1995)/C1995</f>
        <v>9.8801364591699949E-3</v>
      </c>
      <c r="I1996" s="12">
        <f>(PrincipalesVariables[[#This Row],[Dólar  mayorista]]-E1995)/E1995</f>
        <v>1.2781594503914089E-3</v>
      </c>
      <c r="J1996" s="12">
        <f>(PrincipalesVariables[[#This Row],[Reservas internacionales]]-F1995)/F1995</f>
        <v>-2.2328904767221169E-4</v>
      </c>
    </row>
    <row r="1997" spans="1:10" ht="15.75" thickBot="1" x14ac:dyDescent="0.3">
      <c r="A1997" s="14">
        <v>43902</v>
      </c>
      <c r="B1997" s="15">
        <v>43902</v>
      </c>
      <c r="C1997" s="16">
        <v>1859656</v>
      </c>
      <c r="D1997" s="10">
        <f>PrincipalesVariables[[#This Row],[Base monetaria]]/1000000</f>
        <v>1.859656</v>
      </c>
      <c r="E1997" s="10">
        <v>62.82</v>
      </c>
      <c r="F1997" s="11">
        <v>44439</v>
      </c>
      <c r="H1997" s="12">
        <f>(PrincipalesVariables[[#This Row],[Base monetaria]]-C1996)/C1996</f>
        <v>3.0698893234759602E-2</v>
      </c>
      <c r="I1997" s="12">
        <f>(PrincipalesVariables[[#This Row],[Dólar  mayorista]]-E1996)/E1996</f>
        <v>2.3934897079942331E-3</v>
      </c>
      <c r="J1997" s="12">
        <f>(PrincipalesVariables[[#This Row],[Reservas internacionales]]-F1996)/F1996</f>
        <v>-7.5041876046901173E-3</v>
      </c>
    </row>
    <row r="1998" spans="1:10" ht="15.75" thickBot="1" x14ac:dyDescent="0.3">
      <c r="A1998" s="14">
        <v>43903</v>
      </c>
      <c r="B1998" s="15">
        <v>43903</v>
      </c>
      <c r="C1998" s="16">
        <v>1856208</v>
      </c>
      <c r="D1998" s="10">
        <f>PrincipalesVariables[[#This Row],[Base monetaria]]/1000000</f>
        <v>1.8562080000000001</v>
      </c>
      <c r="E1998" s="10">
        <v>62.9</v>
      </c>
      <c r="F1998" s="11">
        <v>44359</v>
      </c>
      <c r="H1998" s="12">
        <f>(PrincipalesVariables[[#This Row],[Base monetaria]]-C1997)/C1997</f>
        <v>-1.8541063508519856E-3</v>
      </c>
      <c r="I1998" s="12">
        <f>(PrincipalesVariables[[#This Row],[Dólar  mayorista]]-E1997)/E1997</f>
        <v>1.2734797835084097E-3</v>
      </c>
      <c r="J1998" s="12">
        <f>(PrincipalesVariables[[#This Row],[Reservas internacionales]]-F1997)/F1997</f>
        <v>-1.8002205270145593E-3</v>
      </c>
    </row>
    <row r="1999" spans="1:10" ht="15.75" thickBot="1" x14ac:dyDescent="0.3">
      <c r="A1999" s="14">
        <v>43906</v>
      </c>
      <c r="B1999" s="15">
        <v>43906</v>
      </c>
      <c r="C1999" s="16">
        <v>1856922</v>
      </c>
      <c r="D1999" s="10">
        <f>PrincipalesVariables[[#This Row],[Base monetaria]]/1000000</f>
        <v>1.856922</v>
      </c>
      <c r="E1999" s="10">
        <v>63.04</v>
      </c>
      <c r="F1999" s="11">
        <v>44308</v>
      </c>
      <c r="H1999" s="12">
        <f>(PrincipalesVariables[[#This Row],[Base monetaria]]-C1998)/C1998</f>
        <v>3.8465516795531537E-4</v>
      </c>
      <c r="I1999" s="12">
        <f>(PrincipalesVariables[[#This Row],[Dólar  mayorista]]-E1998)/E1998</f>
        <v>2.2257551669316467E-3</v>
      </c>
      <c r="J1999" s="12">
        <f>(PrincipalesVariables[[#This Row],[Reservas internacionales]]-F1998)/F1998</f>
        <v>-1.1497103180865213E-3</v>
      </c>
    </row>
    <row r="2000" spans="1:10" ht="15.75" thickBot="1" x14ac:dyDescent="0.3">
      <c r="A2000" s="14">
        <v>43907</v>
      </c>
      <c r="B2000" s="15">
        <v>43907</v>
      </c>
      <c r="C2000" s="16">
        <v>1918092</v>
      </c>
      <c r="D2000" s="10">
        <f>PrincipalesVariables[[#This Row],[Base monetaria]]/1000000</f>
        <v>1.9180919999999999</v>
      </c>
      <c r="E2000" s="10">
        <v>63.18</v>
      </c>
      <c r="F2000" s="11">
        <v>44236</v>
      </c>
      <c r="H2000" s="12">
        <f>(PrincipalesVariables[[#This Row],[Base monetaria]]-C1999)/C1999</f>
        <v>3.2941609825291533E-2</v>
      </c>
      <c r="I2000" s="12">
        <f>(PrincipalesVariables[[#This Row],[Dólar  mayorista]]-E1999)/E1999</f>
        <v>2.220812182741126E-3</v>
      </c>
      <c r="J2000" s="12">
        <f>(PrincipalesVariables[[#This Row],[Reservas internacionales]]-F1999)/F1999</f>
        <v>-1.6249887153561434E-3</v>
      </c>
    </row>
    <row r="2001" spans="1:10" ht="15.75" thickBot="1" x14ac:dyDescent="0.3">
      <c r="A2001" s="14">
        <v>43908</v>
      </c>
      <c r="B2001" s="15">
        <v>43908</v>
      </c>
      <c r="C2001" s="16">
        <v>1919989</v>
      </c>
      <c r="D2001" s="10">
        <f>PrincipalesVariables[[#This Row],[Base monetaria]]/1000000</f>
        <v>1.9199889999999999</v>
      </c>
      <c r="E2001" s="10">
        <v>63.33</v>
      </c>
      <c r="F2001" s="11">
        <v>44040</v>
      </c>
      <c r="H2001" s="12">
        <f>(PrincipalesVariables[[#This Row],[Base monetaria]]-C2000)/C2000</f>
        <v>9.8900365571620141E-4</v>
      </c>
      <c r="I2001" s="12">
        <f>(PrincipalesVariables[[#This Row],[Dólar  mayorista]]-E2000)/E2000</f>
        <v>2.3741690408356849E-3</v>
      </c>
      <c r="J2001" s="12">
        <f>(PrincipalesVariables[[#This Row],[Reservas internacionales]]-F2000)/F2000</f>
        <v>-4.4307803598878743E-3</v>
      </c>
    </row>
    <row r="2002" spans="1:10" ht="15.75" thickBot="1" x14ac:dyDescent="0.3">
      <c r="A2002" s="14">
        <v>43909</v>
      </c>
      <c r="B2002" s="15">
        <v>43909</v>
      </c>
      <c r="C2002" s="16">
        <v>2025391</v>
      </c>
      <c r="D2002" s="10">
        <f>PrincipalesVariables[[#This Row],[Base monetaria]]/1000000</f>
        <v>2.0253909999999999</v>
      </c>
      <c r="E2002" s="10">
        <v>63.55</v>
      </c>
      <c r="F2002" s="11">
        <v>43925</v>
      </c>
      <c r="H2002" s="12">
        <f>(PrincipalesVariables[[#This Row],[Base monetaria]]-C2001)/C2001</f>
        <v>5.4897189515148263E-2</v>
      </c>
      <c r="I2002" s="12">
        <f>(PrincipalesVariables[[#This Row],[Dólar  mayorista]]-E2001)/E2001</f>
        <v>3.473867045633963E-3</v>
      </c>
      <c r="J2002" s="12">
        <f>(PrincipalesVariables[[#This Row],[Reservas internacionales]]-F2001)/F2001</f>
        <v>-2.6112624886466848E-3</v>
      </c>
    </row>
    <row r="2003" spans="1:10" ht="15.75" thickBot="1" x14ac:dyDescent="0.3">
      <c r="A2003" s="14">
        <v>43910</v>
      </c>
      <c r="B2003" s="15">
        <v>43910</v>
      </c>
      <c r="C2003" s="16">
        <v>2024399</v>
      </c>
      <c r="D2003" s="10">
        <f>PrincipalesVariables[[#This Row],[Base monetaria]]/1000000</f>
        <v>2.0243989999999998</v>
      </c>
      <c r="E2003" s="10">
        <v>63.77</v>
      </c>
      <c r="F2003" s="11">
        <v>43822</v>
      </c>
      <c r="H2003" s="12">
        <f>(PrincipalesVariables[[#This Row],[Base monetaria]]-C2002)/C2002</f>
        <v>-4.8978197296225764E-4</v>
      </c>
      <c r="I2003" s="12">
        <f>(PrincipalesVariables[[#This Row],[Dólar  mayorista]]-E2002)/E2002</f>
        <v>3.4618410700236976E-3</v>
      </c>
      <c r="J2003" s="12">
        <f>(PrincipalesVariables[[#This Row],[Reservas internacionales]]-F2002)/F2002</f>
        <v>-2.3449060899260101E-3</v>
      </c>
    </row>
    <row r="2004" spans="1:10" ht="15.75" thickBot="1" x14ac:dyDescent="0.3">
      <c r="A2004" s="14">
        <v>43915</v>
      </c>
      <c r="B2004" s="15">
        <v>43915</v>
      </c>
      <c r="C2004" s="16">
        <v>2205888</v>
      </c>
      <c r="D2004" s="10">
        <f>PrincipalesVariables[[#This Row],[Base monetaria]]/1000000</f>
        <v>2.2058879999999998</v>
      </c>
      <c r="E2004" s="10">
        <v>64.05</v>
      </c>
      <c r="F2004" s="11">
        <v>43854</v>
      </c>
      <c r="H2004" s="12">
        <f>(PrincipalesVariables[[#This Row],[Base monetaria]]-C2003)/C2003</f>
        <v>8.9650805004349438E-2</v>
      </c>
      <c r="I2004" s="12">
        <f>(PrincipalesVariables[[#This Row],[Dólar  mayorista]]-E2003)/E2003</f>
        <v>4.3907793633368988E-3</v>
      </c>
      <c r="J2004" s="12">
        <f>(PrincipalesVariables[[#This Row],[Reservas internacionales]]-F2003)/F2003</f>
        <v>7.3022682670804615E-4</v>
      </c>
    </row>
    <row r="2005" spans="1:10" ht="15.75" thickBot="1" x14ac:dyDescent="0.3">
      <c r="A2005" s="14">
        <v>43916</v>
      </c>
      <c r="B2005" s="15">
        <v>43916</v>
      </c>
      <c r="C2005" s="16">
        <v>2313096</v>
      </c>
      <c r="D2005" s="10">
        <f>PrincipalesVariables[[#This Row],[Base monetaria]]/1000000</f>
        <v>2.3130959999999998</v>
      </c>
      <c r="E2005" s="10">
        <v>64.23</v>
      </c>
      <c r="F2005" s="11">
        <v>43862</v>
      </c>
      <c r="H2005" s="12">
        <f>(PrincipalesVariables[[#This Row],[Base monetaria]]-C2004)/C2004</f>
        <v>4.8600835581860909E-2</v>
      </c>
      <c r="I2005" s="12">
        <f>(PrincipalesVariables[[#This Row],[Dólar  mayorista]]-E2004)/E2004</f>
        <v>2.8103044496488186E-3</v>
      </c>
      <c r="J2005" s="12">
        <f>(PrincipalesVariables[[#This Row],[Reservas internacionales]]-F2004)/F2004</f>
        <v>1.8242349614630365E-4</v>
      </c>
    </row>
    <row r="2006" spans="1:10" ht="15.75" thickBot="1" x14ac:dyDescent="0.3">
      <c r="A2006" s="14">
        <v>43917</v>
      </c>
      <c r="B2006" s="15">
        <v>43917</v>
      </c>
      <c r="C2006" s="16">
        <v>2214596</v>
      </c>
      <c r="D2006" s="10">
        <f>PrincipalesVariables[[#This Row],[Base monetaria]]/1000000</f>
        <v>2.2145959999999998</v>
      </c>
      <c r="E2006" s="10">
        <v>64.41</v>
      </c>
      <c r="F2006" s="11">
        <v>43728</v>
      </c>
      <c r="H2006" s="12">
        <f>(PrincipalesVariables[[#This Row],[Base monetaria]]-C2005)/C2005</f>
        <v>-4.2583619529842257E-2</v>
      </c>
      <c r="I2006" s="12">
        <f>(PrincipalesVariables[[#This Row],[Dólar  mayorista]]-E2005)/E2005</f>
        <v>2.8024287716019399E-3</v>
      </c>
      <c r="J2006" s="12">
        <f>(PrincipalesVariables[[#This Row],[Reservas internacionales]]-F2005)/F2005</f>
        <v>-3.0550362500569969E-3</v>
      </c>
    </row>
    <row r="2007" spans="1:10" ht="15.75" thickBot="1" x14ac:dyDescent="0.3">
      <c r="A2007" s="14">
        <v>43920</v>
      </c>
      <c r="B2007" s="15">
        <v>43920</v>
      </c>
      <c r="C2007" s="16">
        <v>2292083</v>
      </c>
      <c r="D2007" s="10">
        <f>PrincipalesVariables[[#This Row],[Base monetaria]]/1000000</f>
        <v>2.2920829999999999</v>
      </c>
      <c r="E2007" s="10">
        <v>64.47</v>
      </c>
      <c r="F2007" s="11">
        <v>43561</v>
      </c>
      <c r="H2007" s="12">
        <f>(PrincipalesVariables[[#This Row],[Base monetaria]]-C2006)/C2006</f>
        <v>3.4989226025875599E-2</v>
      </c>
      <c r="I2007" s="12">
        <f>(PrincipalesVariables[[#This Row],[Dólar  mayorista]]-E2006)/E2006</f>
        <v>9.3153237074991894E-4</v>
      </c>
      <c r="J2007" s="12">
        <f>(PrincipalesVariables[[#This Row],[Reservas internacionales]]-F2006)/F2006</f>
        <v>-3.8190633004024882E-3</v>
      </c>
    </row>
    <row r="2008" spans="1:10" ht="15.75" thickBot="1" x14ac:dyDescent="0.3">
      <c r="A2008" s="14">
        <v>43922</v>
      </c>
      <c r="B2008" s="15">
        <v>43922</v>
      </c>
      <c r="C2008" s="16">
        <v>2392910</v>
      </c>
      <c r="D2008" s="10">
        <f>PrincipalesVariables[[#This Row],[Base monetaria]]/1000000</f>
        <v>2.3929100000000001</v>
      </c>
      <c r="E2008" s="10">
        <v>64.53</v>
      </c>
      <c r="F2008" s="11">
        <v>43588</v>
      </c>
      <c r="H2008" s="12">
        <f>(PrincipalesVariables[[#This Row],[Base monetaria]]-C2007)/C2007</f>
        <v>4.3989244717577855E-2</v>
      </c>
      <c r="I2008" s="12">
        <f>(PrincipalesVariables[[#This Row],[Dólar  mayorista]]-E2007)/E2007</f>
        <v>9.3066542577946757E-4</v>
      </c>
      <c r="J2008" s="12">
        <f>(PrincipalesVariables[[#This Row],[Reservas internacionales]]-F2007)/F2007</f>
        <v>6.1982048162347058E-4</v>
      </c>
    </row>
    <row r="2009" spans="1:10" ht="15.75" thickBot="1" x14ac:dyDescent="0.3">
      <c r="A2009" s="14">
        <v>43923</v>
      </c>
      <c r="B2009" s="15">
        <v>43923</v>
      </c>
      <c r="C2009" s="16">
        <v>2433387</v>
      </c>
      <c r="D2009" s="10">
        <f>PrincipalesVariables[[#This Row],[Base monetaria]]/1000000</f>
        <v>2.4333870000000002</v>
      </c>
      <c r="E2009" s="10">
        <v>64.72</v>
      </c>
      <c r="F2009" s="11">
        <v>43631</v>
      </c>
      <c r="H2009" s="12">
        <f>(PrincipalesVariables[[#This Row],[Base monetaria]]-C2008)/C2008</f>
        <v>1.691538754069313E-2</v>
      </c>
      <c r="I2009" s="12">
        <f>(PrincipalesVariables[[#This Row],[Dólar  mayorista]]-E2008)/E2008</f>
        <v>2.9443669611033275E-3</v>
      </c>
      <c r="J2009" s="12">
        <f>(PrincipalesVariables[[#This Row],[Reservas internacionales]]-F2008)/F2008</f>
        <v>9.8651004863723954E-4</v>
      </c>
    </row>
    <row r="2010" spans="1:10" ht="15.75" thickBot="1" x14ac:dyDescent="0.3">
      <c r="A2010" s="14">
        <v>43924</v>
      </c>
      <c r="B2010" s="15">
        <v>43924</v>
      </c>
      <c r="C2010" s="16">
        <v>2433495</v>
      </c>
      <c r="D2010" s="10">
        <f>PrincipalesVariables[[#This Row],[Base monetaria]]/1000000</f>
        <v>2.4334950000000002</v>
      </c>
      <c r="E2010" s="10">
        <v>64.91</v>
      </c>
      <c r="F2010" s="11">
        <v>43650</v>
      </c>
      <c r="H2010" s="12">
        <f>(PrincipalesVariables[[#This Row],[Base monetaria]]-C2009)/C2009</f>
        <v>4.4382582795091777E-5</v>
      </c>
      <c r="I2010" s="12">
        <f>(PrincipalesVariables[[#This Row],[Dólar  mayorista]]-E2009)/E2009</f>
        <v>2.9357231149567016E-3</v>
      </c>
      <c r="J2010" s="12">
        <f>(PrincipalesVariables[[#This Row],[Reservas internacionales]]-F2009)/F2009</f>
        <v>4.354701932112489E-4</v>
      </c>
    </row>
    <row r="2011" spans="1:10" ht="15.75" thickBot="1" x14ac:dyDescent="0.3">
      <c r="A2011" s="14">
        <v>43927</v>
      </c>
      <c r="B2011" s="15">
        <v>43927</v>
      </c>
      <c r="C2011" s="16">
        <v>2412207</v>
      </c>
      <c r="D2011" s="10">
        <f>PrincipalesVariables[[#This Row],[Base monetaria]]/1000000</f>
        <v>2.412207</v>
      </c>
      <c r="E2011" s="10">
        <v>64.989999999999995</v>
      </c>
      <c r="F2011" s="11">
        <v>43702</v>
      </c>
      <c r="H2011" s="12">
        <f>(PrincipalesVariables[[#This Row],[Base monetaria]]-C2010)/C2010</f>
        <v>-8.747911953794851E-3</v>
      </c>
      <c r="I2011" s="12">
        <f>(PrincipalesVariables[[#This Row],[Dólar  mayorista]]-E2010)/E2010</f>
        <v>1.2324757356339286E-3</v>
      </c>
      <c r="J2011" s="12">
        <f>(PrincipalesVariables[[#This Row],[Reservas internacionales]]-F2010)/F2010</f>
        <v>1.1912943871706758E-3</v>
      </c>
    </row>
    <row r="2012" spans="1:10" ht="15.75" thickBot="1" x14ac:dyDescent="0.3">
      <c r="A2012" s="14">
        <v>43928</v>
      </c>
      <c r="B2012" s="15">
        <v>43928</v>
      </c>
      <c r="C2012" s="16">
        <v>2449458</v>
      </c>
      <c r="D2012" s="10">
        <f>PrincipalesVariables[[#This Row],[Base monetaria]]/1000000</f>
        <v>2.4494579999999999</v>
      </c>
      <c r="E2012" s="10">
        <v>65.069999999999993</v>
      </c>
      <c r="F2012" s="11">
        <v>43724</v>
      </c>
      <c r="H2012" s="12">
        <f>(PrincipalesVariables[[#This Row],[Base monetaria]]-C2011)/C2011</f>
        <v>1.5442704544013013E-2</v>
      </c>
      <c r="I2012" s="12">
        <f>(PrincipalesVariables[[#This Row],[Dólar  mayorista]]-E2011)/E2011</f>
        <v>1.2309586090167458E-3</v>
      </c>
      <c r="J2012" s="12">
        <f>(PrincipalesVariables[[#This Row],[Reservas internacionales]]-F2011)/F2011</f>
        <v>5.0340945494485383E-4</v>
      </c>
    </row>
    <row r="2013" spans="1:10" ht="15.75" thickBot="1" x14ac:dyDescent="0.3">
      <c r="A2013" s="14">
        <v>43929</v>
      </c>
      <c r="B2013" s="15">
        <v>43929</v>
      </c>
      <c r="C2013" s="16">
        <v>2441939</v>
      </c>
      <c r="D2013" s="10">
        <f>PrincipalesVariables[[#This Row],[Base monetaria]]/1000000</f>
        <v>2.4419390000000001</v>
      </c>
      <c r="E2013" s="10">
        <v>65.16</v>
      </c>
      <c r="F2013" s="11">
        <v>43804</v>
      </c>
      <c r="H2013" s="12">
        <f>(PrincipalesVariables[[#This Row],[Base monetaria]]-C2012)/C2012</f>
        <v>-3.0696586755110723E-3</v>
      </c>
      <c r="I2013" s="12">
        <f>(PrincipalesVariables[[#This Row],[Dólar  mayorista]]-E2012)/E2012</f>
        <v>1.3831258644537178E-3</v>
      </c>
      <c r="J2013" s="12">
        <f>(PrincipalesVariables[[#This Row],[Reservas internacionales]]-F2012)/F2012</f>
        <v>1.8296587686396487E-3</v>
      </c>
    </row>
    <row r="2014" spans="1:10" ht="15.75" thickBot="1" x14ac:dyDescent="0.3">
      <c r="A2014" s="14">
        <v>43934</v>
      </c>
      <c r="B2014" s="15">
        <v>43934</v>
      </c>
      <c r="C2014" s="16">
        <v>2438610</v>
      </c>
      <c r="D2014" s="10">
        <f>PrincipalesVariables[[#This Row],[Base monetaria]]/1000000</f>
        <v>2.4386100000000002</v>
      </c>
      <c r="E2014" s="10">
        <v>65.38</v>
      </c>
      <c r="F2014" s="11">
        <v>43862</v>
      </c>
      <c r="H2014" s="12">
        <f>(PrincipalesVariables[[#This Row],[Base monetaria]]-C2013)/C2013</f>
        <v>-1.363260916836989E-3</v>
      </c>
      <c r="I2014" s="12">
        <f>(PrincipalesVariables[[#This Row],[Dólar  mayorista]]-E2013)/E2013</f>
        <v>3.3763044812768397E-3</v>
      </c>
      <c r="J2014" s="12">
        <f>(PrincipalesVariables[[#This Row],[Reservas internacionales]]-F2013)/F2013</f>
        <v>1.324079992694731E-3</v>
      </c>
    </row>
    <row r="2015" spans="1:10" ht="15.75" thickBot="1" x14ac:dyDescent="0.3">
      <c r="A2015" s="14">
        <v>43935</v>
      </c>
      <c r="B2015" s="15">
        <v>43935</v>
      </c>
      <c r="C2015" s="16">
        <v>2440687</v>
      </c>
      <c r="D2015" s="10">
        <f>PrincipalesVariables[[#This Row],[Base monetaria]]/1000000</f>
        <v>2.4406870000000001</v>
      </c>
      <c r="E2015" s="10">
        <v>65.5</v>
      </c>
      <c r="F2015" s="11">
        <v>43886</v>
      </c>
      <c r="H2015" s="12">
        <f>(PrincipalesVariables[[#This Row],[Base monetaria]]-C2014)/C2014</f>
        <v>8.5171470632860525E-4</v>
      </c>
      <c r="I2015" s="12">
        <f>(PrincipalesVariables[[#This Row],[Dólar  mayorista]]-E2014)/E2014</f>
        <v>1.8354236769655026E-3</v>
      </c>
      <c r="J2015" s="12">
        <f>(PrincipalesVariables[[#This Row],[Reservas internacionales]]-F2014)/F2014</f>
        <v>5.4717067165199946E-4</v>
      </c>
    </row>
    <row r="2016" spans="1:10" ht="15.75" thickBot="1" x14ac:dyDescent="0.3">
      <c r="A2016" s="14">
        <v>43936</v>
      </c>
      <c r="B2016" s="15">
        <v>43936</v>
      </c>
      <c r="C2016" s="16">
        <v>2438830</v>
      </c>
      <c r="D2016" s="10">
        <f>PrincipalesVariables[[#This Row],[Base monetaria]]/1000000</f>
        <v>2.4388299999999998</v>
      </c>
      <c r="E2016" s="10">
        <v>65.62</v>
      </c>
      <c r="F2016" s="11">
        <v>43844</v>
      </c>
      <c r="H2016" s="12">
        <f>(PrincipalesVariables[[#This Row],[Base monetaria]]-C2015)/C2015</f>
        <v>-7.6085135045993201E-4</v>
      </c>
      <c r="I2016" s="12">
        <f>(PrincipalesVariables[[#This Row],[Dólar  mayorista]]-E2015)/E2015</f>
        <v>1.8320610687023594E-3</v>
      </c>
      <c r="J2016" s="12">
        <f>(PrincipalesVariables[[#This Row],[Reservas internacionales]]-F2015)/F2015</f>
        <v>-9.5702501936836349E-4</v>
      </c>
    </row>
    <row r="2017" spans="1:10" ht="15.75" thickBot="1" x14ac:dyDescent="0.3">
      <c r="A2017" s="14">
        <v>43937</v>
      </c>
      <c r="B2017" s="15">
        <v>43937</v>
      </c>
      <c r="C2017" s="16">
        <v>2426033</v>
      </c>
      <c r="D2017" s="10">
        <f>PrincipalesVariables[[#This Row],[Base monetaria]]/1000000</f>
        <v>2.4260329999999999</v>
      </c>
      <c r="E2017" s="10">
        <v>65.739999999999995</v>
      </c>
      <c r="F2017" s="11">
        <v>43852</v>
      </c>
      <c r="H2017" s="12">
        <f>(PrincipalesVariables[[#This Row],[Base monetaria]]-C2016)/C2016</f>
        <v>-5.2471882008996119E-3</v>
      </c>
      <c r="I2017" s="12">
        <f>(PrincipalesVariables[[#This Row],[Dólar  mayorista]]-E2016)/E2016</f>
        <v>1.8287107589148176E-3</v>
      </c>
      <c r="J2017" s="12">
        <f>(PrincipalesVariables[[#This Row],[Reservas internacionales]]-F2016)/F2016</f>
        <v>1.8246510354894625E-4</v>
      </c>
    </row>
    <row r="2018" spans="1:10" ht="15.75" thickBot="1" x14ac:dyDescent="0.3">
      <c r="A2018" s="14">
        <v>43938</v>
      </c>
      <c r="B2018" s="15">
        <v>43938</v>
      </c>
      <c r="C2018" s="16">
        <v>1931880</v>
      </c>
      <c r="D2018" s="10">
        <f>PrincipalesVariables[[#This Row],[Base monetaria]]/1000000</f>
        <v>1.93188</v>
      </c>
      <c r="E2018" s="10">
        <v>65.86</v>
      </c>
      <c r="F2018" s="11">
        <v>43817</v>
      </c>
      <c r="H2018" s="12">
        <f>(PrincipalesVariables[[#This Row],[Base monetaria]]-C2017)/C2017</f>
        <v>-0.20368766624361664</v>
      </c>
      <c r="I2018" s="12">
        <f>(PrincipalesVariables[[#This Row],[Dólar  mayorista]]-E2017)/E2017</f>
        <v>1.8253726802556214E-3</v>
      </c>
      <c r="J2018" s="12">
        <f>(PrincipalesVariables[[#This Row],[Reservas internacionales]]-F2017)/F2017</f>
        <v>-7.9813919547569098E-4</v>
      </c>
    </row>
    <row r="2019" spans="1:10" ht="15.75" thickBot="1" x14ac:dyDescent="0.3">
      <c r="A2019" s="14">
        <v>43941</v>
      </c>
      <c r="B2019" s="15">
        <v>43941</v>
      </c>
      <c r="C2019" s="16">
        <v>1926009</v>
      </c>
      <c r="D2019" s="10">
        <f>PrincipalesVariables[[#This Row],[Base monetaria]]/1000000</f>
        <v>1.9260090000000001</v>
      </c>
      <c r="E2019" s="10">
        <v>65.98</v>
      </c>
      <c r="F2019" s="11">
        <v>43826</v>
      </c>
      <c r="H2019" s="12">
        <f>(PrincipalesVariables[[#This Row],[Base monetaria]]-C2018)/C2018</f>
        <v>-3.0390086340766507E-3</v>
      </c>
      <c r="I2019" s="12">
        <f>(PrincipalesVariables[[#This Row],[Dólar  mayorista]]-E2018)/E2018</f>
        <v>1.8220467658670596E-3</v>
      </c>
      <c r="J2019" s="12">
        <f>(PrincipalesVariables[[#This Row],[Reservas internacionales]]-F2018)/F2018</f>
        <v>2.0539973069813087E-4</v>
      </c>
    </row>
    <row r="2020" spans="1:10" ht="15.75" thickBot="1" x14ac:dyDescent="0.3">
      <c r="A2020" s="14">
        <v>43942</v>
      </c>
      <c r="B2020" s="15">
        <v>43942</v>
      </c>
      <c r="C2020" s="16">
        <v>1900283</v>
      </c>
      <c r="D2020" s="10">
        <f>PrincipalesVariables[[#This Row],[Base monetaria]]/1000000</f>
        <v>1.9002829999999999</v>
      </c>
      <c r="E2020" s="10">
        <v>66.09</v>
      </c>
      <c r="F2020" s="11">
        <v>43780</v>
      </c>
      <c r="H2020" s="12">
        <f>(PrincipalesVariables[[#This Row],[Base monetaria]]-C2019)/C2019</f>
        <v>-1.3357154613503883E-2</v>
      </c>
      <c r="I2020" s="12">
        <f>(PrincipalesVariables[[#This Row],[Dólar  mayorista]]-E2019)/E2019</f>
        <v>1.6671718702637075E-3</v>
      </c>
      <c r="J2020" s="12">
        <f>(PrincipalesVariables[[#This Row],[Reservas internacionales]]-F2019)/F2019</f>
        <v>-1.0496052571532879E-3</v>
      </c>
    </row>
    <row r="2021" spans="1:10" ht="15.75" thickBot="1" x14ac:dyDescent="0.3">
      <c r="A2021" s="14">
        <v>43943</v>
      </c>
      <c r="B2021" s="15">
        <v>43943</v>
      </c>
      <c r="C2021" s="16">
        <v>1873799</v>
      </c>
      <c r="D2021" s="10">
        <f>PrincipalesVariables[[#This Row],[Base monetaria]]/1000000</f>
        <v>1.873799</v>
      </c>
      <c r="E2021" s="10">
        <v>66.23</v>
      </c>
      <c r="F2021" s="11">
        <v>43735</v>
      </c>
      <c r="H2021" s="12">
        <f>(PrincipalesVariables[[#This Row],[Base monetaria]]-C2020)/C2020</f>
        <v>-1.3936871508085901E-2</v>
      </c>
      <c r="I2021" s="12">
        <f>(PrincipalesVariables[[#This Row],[Dólar  mayorista]]-E2020)/E2020</f>
        <v>2.1183234982599572E-3</v>
      </c>
      <c r="J2021" s="12">
        <f>(PrincipalesVariables[[#This Row],[Reservas internacionales]]-F2020)/F2020</f>
        <v>-1.0278666057560531E-3</v>
      </c>
    </row>
    <row r="2022" spans="1:10" ht="15.75" thickBot="1" x14ac:dyDescent="0.3">
      <c r="A2022" s="14">
        <v>43944</v>
      </c>
      <c r="B2022" s="15">
        <v>43944</v>
      </c>
      <c r="C2022" s="16">
        <v>1858122</v>
      </c>
      <c r="D2022" s="10">
        <f>PrincipalesVariables[[#This Row],[Base monetaria]]/1000000</f>
        <v>1.8581220000000001</v>
      </c>
      <c r="E2022" s="10">
        <v>66.319999999999993</v>
      </c>
      <c r="F2022" s="11">
        <v>43751</v>
      </c>
      <c r="H2022" s="12">
        <f>(PrincipalesVariables[[#This Row],[Base monetaria]]-C2021)/C2021</f>
        <v>-8.3664256411706914E-3</v>
      </c>
      <c r="I2022" s="12">
        <f>(PrincipalesVariables[[#This Row],[Dólar  mayorista]]-E2021)/E2021</f>
        <v>1.3589008002414193E-3</v>
      </c>
      <c r="J2022" s="12">
        <f>(PrincipalesVariables[[#This Row],[Reservas internacionales]]-F2021)/F2021</f>
        <v>3.6583971647421971E-4</v>
      </c>
    </row>
    <row r="2023" spans="1:10" ht="15.75" thickBot="1" x14ac:dyDescent="0.3">
      <c r="A2023" s="14">
        <v>43945</v>
      </c>
      <c r="B2023" s="15">
        <v>43945</v>
      </c>
      <c r="C2023" s="16">
        <v>1800129</v>
      </c>
      <c r="D2023" s="10">
        <f>PrincipalesVariables[[#This Row],[Base monetaria]]/1000000</f>
        <v>1.8001290000000001</v>
      </c>
      <c r="E2023" s="10">
        <v>66.430000000000007</v>
      </c>
      <c r="F2023" s="11">
        <v>43696</v>
      </c>
      <c r="H2023" s="12">
        <f>(PrincipalesVariables[[#This Row],[Base monetaria]]-C2022)/C2022</f>
        <v>-3.1210544840435665E-2</v>
      </c>
      <c r="I2023" s="12">
        <f>(PrincipalesVariables[[#This Row],[Dólar  mayorista]]-E2022)/E2022</f>
        <v>1.6586248492161287E-3</v>
      </c>
      <c r="J2023" s="12">
        <f>(PrincipalesVariables[[#This Row],[Reservas internacionales]]-F2022)/F2022</f>
        <v>-1.2571141231057575E-3</v>
      </c>
    </row>
    <row r="2024" spans="1:10" ht="15.75" thickBot="1" x14ac:dyDescent="0.3">
      <c r="A2024" s="14">
        <v>43948</v>
      </c>
      <c r="B2024" s="15">
        <v>43948</v>
      </c>
      <c r="C2024" s="16">
        <v>1866499</v>
      </c>
      <c r="D2024" s="10">
        <f>PrincipalesVariables[[#This Row],[Base monetaria]]/1000000</f>
        <v>1.8664989999999999</v>
      </c>
      <c r="E2024" s="10">
        <v>66.53</v>
      </c>
      <c r="F2024" s="11">
        <v>43646</v>
      </c>
      <c r="H2024" s="12">
        <f>(PrincipalesVariables[[#This Row],[Base monetaria]]-C2023)/C2023</f>
        <v>3.6869579902329225E-2</v>
      </c>
      <c r="I2024" s="12">
        <f>(PrincipalesVariables[[#This Row],[Dólar  mayorista]]-E2023)/E2023</f>
        <v>1.5053439710973101E-3</v>
      </c>
      <c r="J2024" s="12">
        <f>(PrincipalesVariables[[#This Row],[Reservas internacionales]]-F2023)/F2023</f>
        <v>-1.1442694983522519E-3</v>
      </c>
    </row>
    <row r="2025" spans="1:10" ht="15.75" thickBot="1" x14ac:dyDescent="0.3">
      <c r="A2025" s="14">
        <v>43949</v>
      </c>
      <c r="B2025" s="15">
        <v>43949</v>
      </c>
      <c r="C2025" s="16">
        <v>1830951</v>
      </c>
      <c r="D2025" s="10">
        <f>PrincipalesVariables[[#This Row],[Base monetaria]]/1000000</f>
        <v>1.830951</v>
      </c>
      <c r="E2025" s="10">
        <v>66.64</v>
      </c>
      <c r="F2025" s="11">
        <v>43590</v>
      </c>
      <c r="H2025" s="12">
        <f>(PrincipalesVariables[[#This Row],[Base monetaria]]-C2024)/C2024</f>
        <v>-1.9045282103017466E-2</v>
      </c>
      <c r="I2025" s="12">
        <f>(PrincipalesVariables[[#This Row],[Dólar  mayorista]]-E2024)/E2024</f>
        <v>1.6533894483691481E-3</v>
      </c>
      <c r="J2025" s="12">
        <f>(PrincipalesVariables[[#This Row],[Reservas internacionales]]-F2024)/F2024</f>
        <v>-1.283049993126518E-3</v>
      </c>
    </row>
    <row r="2026" spans="1:10" ht="15.75" thickBot="1" x14ac:dyDescent="0.3">
      <c r="A2026" s="14">
        <v>43950</v>
      </c>
      <c r="B2026" s="15">
        <v>43950</v>
      </c>
      <c r="C2026" s="16">
        <v>1780058</v>
      </c>
      <c r="D2026" s="10">
        <f>PrincipalesVariables[[#This Row],[Base monetaria]]/1000000</f>
        <v>1.7800579999999999</v>
      </c>
      <c r="E2026" s="10">
        <v>66.75</v>
      </c>
      <c r="F2026" s="11">
        <v>43545</v>
      </c>
      <c r="H2026" s="12">
        <f>(PrincipalesVariables[[#This Row],[Base monetaria]]-C2025)/C2025</f>
        <v>-2.7795937739458893E-2</v>
      </c>
      <c r="I2026" s="12">
        <f>(PrincipalesVariables[[#This Row],[Dólar  mayorista]]-E2025)/E2025</f>
        <v>1.6506602641056336E-3</v>
      </c>
      <c r="J2026" s="12">
        <f>(PrincipalesVariables[[#This Row],[Reservas internacionales]]-F2025)/F2025</f>
        <v>-1.0323468685478321E-3</v>
      </c>
    </row>
    <row r="2027" spans="1:10" ht="15.75" thickBot="1" x14ac:dyDescent="0.3">
      <c r="A2027" s="14">
        <v>43951</v>
      </c>
      <c r="B2027" s="15">
        <v>43951</v>
      </c>
      <c r="C2027" s="16">
        <v>1867128</v>
      </c>
      <c r="D2027" s="10">
        <f>PrincipalesVariables[[#This Row],[Base monetaria]]/1000000</f>
        <v>1.8671279999999999</v>
      </c>
      <c r="E2027" s="10">
        <v>66.84</v>
      </c>
      <c r="F2027" s="11">
        <v>43568</v>
      </c>
      <c r="H2027" s="12">
        <f>(PrincipalesVariables[[#This Row],[Base monetaria]]-C2026)/C2026</f>
        <v>4.8914136505664424E-2</v>
      </c>
      <c r="I2027" s="12">
        <f>(PrincipalesVariables[[#This Row],[Dólar  mayorista]]-E2026)/E2026</f>
        <v>1.3483146067416242E-3</v>
      </c>
      <c r="J2027" s="12">
        <f>(PrincipalesVariables[[#This Row],[Reservas internacionales]]-F2026)/F2026</f>
        <v>5.2818922953266738E-4</v>
      </c>
    </row>
    <row r="2028" spans="1:10" ht="15.75" thickBot="1" x14ac:dyDescent="0.3">
      <c r="A2028" s="14">
        <v>43955</v>
      </c>
      <c r="B2028" s="15">
        <v>43955</v>
      </c>
      <c r="C2028" s="16">
        <v>2411298</v>
      </c>
      <c r="D2028" s="10">
        <f>PrincipalesVariables[[#This Row],[Base monetaria]]/1000000</f>
        <v>2.4112979999999999</v>
      </c>
      <c r="E2028" s="10">
        <v>66.930000000000007</v>
      </c>
      <c r="F2028" s="11">
        <v>43565</v>
      </c>
      <c r="H2028" s="12">
        <f>(PrincipalesVariables[[#This Row],[Base monetaria]]-C2027)/C2027</f>
        <v>0.29144761366119515</v>
      </c>
      <c r="I2028" s="12">
        <f>(PrincipalesVariables[[#This Row],[Dólar  mayorista]]-E2027)/E2027</f>
        <v>1.3464991023339828E-3</v>
      </c>
      <c r="J2028" s="12">
        <f>(PrincipalesVariables[[#This Row],[Reservas internacionales]]-F2027)/F2027</f>
        <v>-6.8857877341167836E-5</v>
      </c>
    </row>
    <row r="2029" spans="1:10" ht="15.75" thickBot="1" x14ac:dyDescent="0.3">
      <c r="A2029" s="14">
        <v>43956</v>
      </c>
      <c r="B2029" s="15">
        <v>43956</v>
      </c>
      <c r="C2029" s="16">
        <v>2460350</v>
      </c>
      <c r="D2029" s="10">
        <f>PrincipalesVariables[[#This Row],[Base monetaria]]/1000000</f>
        <v>2.46035</v>
      </c>
      <c r="E2029" s="10">
        <v>67.010000000000005</v>
      </c>
      <c r="F2029" s="11">
        <v>43589</v>
      </c>
      <c r="H2029" s="12">
        <f>(PrincipalesVariables[[#This Row],[Base monetaria]]-C2028)/C2028</f>
        <v>2.034257068184853E-2</v>
      </c>
      <c r="I2029" s="12">
        <f>(PrincipalesVariables[[#This Row],[Dólar  mayorista]]-E2028)/E2028</f>
        <v>1.1952786493351006E-3</v>
      </c>
      <c r="J2029" s="12">
        <f>(PrincipalesVariables[[#This Row],[Reservas internacionales]]-F2028)/F2028</f>
        <v>5.509009525995639E-4</v>
      </c>
    </row>
    <row r="2030" spans="1:10" ht="15.75" thickBot="1" x14ac:dyDescent="0.3">
      <c r="A2030" s="14">
        <v>43957</v>
      </c>
      <c r="B2030" s="15">
        <v>43957</v>
      </c>
      <c r="C2030" s="16">
        <v>2356666</v>
      </c>
      <c r="D2030" s="10">
        <f>PrincipalesVariables[[#This Row],[Base monetaria]]/1000000</f>
        <v>2.3566660000000001</v>
      </c>
      <c r="E2030" s="10">
        <v>67.099999999999994</v>
      </c>
      <c r="F2030" s="11">
        <v>43400</v>
      </c>
      <c r="H2030" s="12">
        <f>(PrincipalesVariables[[#This Row],[Base monetaria]]-C2029)/C2029</f>
        <v>-4.2141971670697262E-2</v>
      </c>
      <c r="I2030" s="12">
        <f>(PrincipalesVariables[[#This Row],[Dólar  mayorista]]-E2029)/E2029</f>
        <v>1.3430831219219399E-3</v>
      </c>
      <c r="J2030" s="12">
        <f>(PrincipalesVariables[[#This Row],[Reservas internacionales]]-F2029)/F2029</f>
        <v>-4.335956319254858E-3</v>
      </c>
    </row>
    <row r="2031" spans="1:10" ht="15.75" thickBot="1" x14ac:dyDescent="0.3">
      <c r="A2031" s="14">
        <v>43958</v>
      </c>
      <c r="B2031" s="15">
        <v>43958</v>
      </c>
      <c r="C2031" s="16">
        <v>2301061</v>
      </c>
      <c r="D2031" s="10">
        <f>PrincipalesVariables[[#This Row],[Base monetaria]]/1000000</f>
        <v>2.3010609999999998</v>
      </c>
      <c r="E2031" s="10">
        <v>67.19</v>
      </c>
      <c r="F2031" s="11">
        <v>43411</v>
      </c>
      <c r="H2031" s="12">
        <f>(PrincipalesVariables[[#This Row],[Base monetaria]]-C2030)/C2030</f>
        <v>-2.3594773294136718E-2</v>
      </c>
      <c r="I2031" s="12">
        <f>(PrincipalesVariables[[#This Row],[Dólar  mayorista]]-E2030)/E2030</f>
        <v>1.3412816691505726E-3</v>
      </c>
      <c r="J2031" s="12">
        <f>(PrincipalesVariables[[#This Row],[Reservas internacionales]]-F2030)/F2030</f>
        <v>2.5345622119815668E-4</v>
      </c>
    </row>
    <row r="2032" spans="1:10" ht="15.75" thickBot="1" x14ac:dyDescent="0.3">
      <c r="A2032" s="14">
        <v>43959</v>
      </c>
      <c r="B2032" s="15">
        <v>43959</v>
      </c>
      <c r="C2032" s="16">
        <v>2285781</v>
      </c>
      <c r="D2032" s="10">
        <f>PrincipalesVariables[[#This Row],[Base monetaria]]/1000000</f>
        <v>2.2857810000000001</v>
      </c>
      <c r="E2032" s="10">
        <v>67.28</v>
      </c>
      <c r="F2032" s="11">
        <v>43415</v>
      </c>
      <c r="H2032" s="12">
        <f>(PrincipalesVariables[[#This Row],[Base monetaria]]-C2031)/C2031</f>
        <v>-6.6404150085547491E-3</v>
      </c>
      <c r="I2032" s="12">
        <f>(PrincipalesVariables[[#This Row],[Dólar  mayorista]]-E2031)/E2031</f>
        <v>1.3394850424170771E-3</v>
      </c>
      <c r="J2032" s="12">
        <f>(PrincipalesVariables[[#This Row],[Reservas internacionales]]-F2031)/F2031</f>
        <v>9.2142544516366824E-5</v>
      </c>
    </row>
    <row r="2033" spans="1:10" ht="15.75" thickBot="1" x14ac:dyDescent="0.3">
      <c r="A2033" s="14">
        <v>43962</v>
      </c>
      <c r="B2033" s="15">
        <v>43962</v>
      </c>
      <c r="C2033" s="16">
        <v>2363214</v>
      </c>
      <c r="D2033" s="10">
        <f>PrincipalesVariables[[#This Row],[Base monetaria]]/1000000</f>
        <v>2.3632140000000001</v>
      </c>
      <c r="E2033" s="10">
        <v>67.37</v>
      </c>
      <c r="F2033" s="11">
        <v>43348</v>
      </c>
      <c r="H2033" s="12">
        <f>(PrincipalesVariables[[#This Row],[Base monetaria]]-C2032)/C2032</f>
        <v>3.3875948745745982E-2</v>
      </c>
      <c r="I2033" s="12">
        <f>(PrincipalesVariables[[#This Row],[Dólar  mayorista]]-E2032)/E2032</f>
        <v>1.3376932223543908E-3</v>
      </c>
      <c r="J2033" s="12">
        <f>(PrincipalesVariables[[#This Row],[Reservas internacionales]]-F2032)/F2032</f>
        <v>-1.5432454220891396E-3</v>
      </c>
    </row>
    <row r="2034" spans="1:10" ht="15.75" thickBot="1" x14ac:dyDescent="0.3">
      <c r="A2034" s="14">
        <v>43963</v>
      </c>
      <c r="B2034" s="15">
        <v>43963</v>
      </c>
      <c r="C2034" s="16">
        <v>2390593</v>
      </c>
      <c r="D2034" s="10">
        <f>PrincipalesVariables[[#This Row],[Base monetaria]]/1000000</f>
        <v>2.390593</v>
      </c>
      <c r="E2034" s="10">
        <v>67.459999999999994</v>
      </c>
      <c r="F2034" s="11">
        <v>43351</v>
      </c>
      <c r="H2034" s="12">
        <f>(PrincipalesVariables[[#This Row],[Base monetaria]]-C2033)/C2033</f>
        <v>1.1585493315459371E-2</v>
      </c>
      <c r="I2034" s="12">
        <f>(PrincipalesVariables[[#This Row],[Dólar  mayorista]]-E2033)/E2033</f>
        <v>1.3359061896985186E-3</v>
      </c>
      <c r="J2034" s="12">
        <f>(PrincipalesVariables[[#This Row],[Reservas internacionales]]-F2033)/F2033</f>
        <v>6.9207345206237893E-5</v>
      </c>
    </row>
    <row r="2035" spans="1:10" ht="15.75" thickBot="1" x14ac:dyDescent="0.3">
      <c r="A2035" s="14">
        <v>43964</v>
      </c>
      <c r="B2035" s="15">
        <v>43964</v>
      </c>
      <c r="C2035" s="16">
        <v>2326714</v>
      </c>
      <c r="D2035" s="10">
        <f>PrincipalesVariables[[#This Row],[Base monetaria]]/1000000</f>
        <v>2.3267139999999999</v>
      </c>
      <c r="E2035" s="10">
        <v>67.55</v>
      </c>
      <c r="F2035" s="11">
        <v>43263</v>
      </c>
      <c r="H2035" s="12">
        <f>(PrincipalesVariables[[#This Row],[Base monetaria]]-C2034)/C2034</f>
        <v>-2.6720985127957793E-2</v>
      </c>
      <c r="I2035" s="12">
        <f>(PrincipalesVariables[[#This Row],[Dólar  mayorista]]-E2034)/E2034</f>
        <v>1.3341239252891109E-3</v>
      </c>
      <c r="J2035" s="12">
        <f>(PrincipalesVariables[[#This Row],[Reservas internacionales]]-F2034)/F2034</f>
        <v>-2.0299416391778738E-3</v>
      </c>
    </row>
    <row r="2036" spans="1:10" ht="15.75" thickBot="1" x14ac:dyDescent="0.3">
      <c r="A2036" s="14">
        <v>43965</v>
      </c>
      <c r="B2036" s="15">
        <v>43965</v>
      </c>
      <c r="C2036" s="16">
        <v>2343802</v>
      </c>
      <c r="D2036" s="10">
        <f>PrincipalesVariables[[#This Row],[Base monetaria]]/1000000</f>
        <v>2.3438020000000002</v>
      </c>
      <c r="E2036" s="10">
        <v>67.64</v>
      </c>
      <c r="F2036" s="11">
        <v>43215</v>
      </c>
      <c r="H2036" s="12">
        <f>(PrincipalesVariables[[#This Row],[Base monetaria]]-C2035)/C2035</f>
        <v>7.3442631969378273E-3</v>
      </c>
      <c r="I2036" s="12">
        <f>(PrincipalesVariables[[#This Row],[Dólar  mayorista]]-E2035)/E2035</f>
        <v>1.3323464100666678E-3</v>
      </c>
      <c r="J2036" s="12">
        <f>(PrincipalesVariables[[#This Row],[Reservas internacionales]]-F2035)/F2035</f>
        <v>-1.1094931003397823E-3</v>
      </c>
    </row>
    <row r="2037" spans="1:10" ht="15.75" thickBot="1" x14ac:dyDescent="0.3">
      <c r="A2037" s="14">
        <v>43966</v>
      </c>
      <c r="B2037" s="15">
        <v>43966</v>
      </c>
      <c r="C2037" s="16">
        <v>2504806</v>
      </c>
      <c r="D2037" s="10">
        <f>PrincipalesVariables[[#This Row],[Base monetaria]]/1000000</f>
        <v>2.5048059999999999</v>
      </c>
      <c r="E2037" s="10">
        <v>67.73</v>
      </c>
      <c r="F2037" s="11">
        <v>43137</v>
      </c>
      <c r="H2037" s="12">
        <f>(PrincipalesVariables[[#This Row],[Base monetaria]]-C2036)/C2036</f>
        <v>6.8693515919860129E-2</v>
      </c>
      <c r="I2037" s="12">
        <f>(PrincipalesVariables[[#This Row],[Dólar  mayorista]]-E2036)/E2036</f>
        <v>1.3305736250739711E-3</v>
      </c>
      <c r="J2037" s="12">
        <f>(PrincipalesVariables[[#This Row],[Reservas internacionales]]-F2036)/F2036</f>
        <v>-1.8049288441513364E-3</v>
      </c>
    </row>
    <row r="2038" spans="1:10" ht="15.75" thickBot="1" x14ac:dyDescent="0.3">
      <c r="A2038" s="14">
        <v>43969</v>
      </c>
      <c r="B2038" s="15">
        <v>43969</v>
      </c>
      <c r="C2038" s="16">
        <v>2255996</v>
      </c>
      <c r="D2038" s="10">
        <f>PrincipalesVariables[[#This Row],[Base monetaria]]/1000000</f>
        <v>2.2559960000000001</v>
      </c>
      <c r="E2038" s="10">
        <v>67.819999999999993</v>
      </c>
      <c r="F2038" s="11">
        <v>43047</v>
      </c>
      <c r="H2038" s="12">
        <f>(PrincipalesVariables[[#This Row],[Base monetaria]]-C2037)/C2037</f>
        <v>-9.9333042159752097E-2</v>
      </c>
      <c r="I2038" s="12">
        <f>(PrincipalesVariables[[#This Row],[Dólar  mayorista]]-E2037)/E2037</f>
        <v>1.3288055514541442E-3</v>
      </c>
      <c r="J2038" s="12">
        <f>(PrincipalesVariables[[#This Row],[Reservas internacionales]]-F2037)/F2037</f>
        <v>-2.0863759649488839E-3</v>
      </c>
    </row>
    <row r="2039" spans="1:10" ht="15.75" thickBot="1" x14ac:dyDescent="0.3">
      <c r="A2039" s="14">
        <v>43970</v>
      </c>
      <c r="B2039" s="15">
        <v>43970</v>
      </c>
      <c r="C2039" s="16">
        <v>2039211</v>
      </c>
      <c r="D2039" s="10">
        <f>PrincipalesVariables[[#This Row],[Base monetaria]]/1000000</f>
        <v>2.0392109999999999</v>
      </c>
      <c r="E2039" s="10">
        <v>67.91</v>
      </c>
      <c r="F2039" s="11">
        <v>42980</v>
      </c>
      <c r="H2039" s="12">
        <f>(PrincipalesVariables[[#This Row],[Base monetaria]]-C2038)/C2038</f>
        <v>-9.6092812221298271E-2</v>
      </c>
      <c r="I2039" s="12">
        <f>(PrincipalesVariables[[#This Row],[Dólar  mayorista]]-E2038)/E2038</f>
        <v>1.3270421704512448E-3</v>
      </c>
      <c r="J2039" s="12">
        <f>(PrincipalesVariables[[#This Row],[Reservas internacionales]]-F2038)/F2038</f>
        <v>-1.5564383116128883E-3</v>
      </c>
    </row>
    <row r="2040" spans="1:10" ht="15.75" thickBot="1" x14ac:dyDescent="0.3">
      <c r="A2040" s="14">
        <v>43971</v>
      </c>
      <c r="B2040" s="15">
        <v>43971</v>
      </c>
      <c r="C2040" s="16">
        <v>1993629</v>
      </c>
      <c r="D2040" s="10">
        <f>PrincipalesVariables[[#This Row],[Base monetaria]]/1000000</f>
        <v>1.9936290000000001</v>
      </c>
      <c r="E2040" s="10">
        <v>68</v>
      </c>
      <c r="F2040" s="11">
        <v>42949</v>
      </c>
      <c r="H2040" s="12">
        <f>(PrincipalesVariables[[#This Row],[Base monetaria]]-C2039)/C2039</f>
        <v>-2.235276290683014E-2</v>
      </c>
      <c r="I2040" s="12">
        <f>(PrincipalesVariables[[#This Row],[Dólar  mayorista]]-E2039)/E2039</f>
        <v>1.3252834634075014E-3</v>
      </c>
      <c r="J2040" s="12">
        <f>(PrincipalesVariables[[#This Row],[Reservas internacionales]]-F2039)/F2039</f>
        <v>-7.2126570497906006E-4</v>
      </c>
    </row>
    <row r="2041" spans="1:10" ht="15.75" thickBot="1" x14ac:dyDescent="0.3">
      <c r="A2041" s="14">
        <v>43972</v>
      </c>
      <c r="B2041" s="15">
        <v>43972</v>
      </c>
      <c r="C2041" s="16">
        <v>2000492</v>
      </c>
      <c r="D2041" s="10">
        <f>PrincipalesVariables[[#This Row],[Base monetaria]]/1000000</f>
        <v>2.0004919999999999</v>
      </c>
      <c r="E2041" s="10">
        <v>68.09</v>
      </c>
      <c r="F2041" s="11">
        <v>42839</v>
      </c>
      <c r="H2041" s="12">
        <f>(PrincipalesVariables[[#This Row],[Base monetaria]]-C2040)/C2040</f>
        <v>3.4424659753645235E-3</v>
      </c>
      <c r="I2041" s="12">
        <f>(PrincipalesVariables[[#This Row],[Dólar  mayorista]]-E2040)/E2040</f>
        <v>1.3235294117647561E-3</v>
      </c>
      <c r="J2041" s="12">
        <f>(PrincipalesVariables[[#This Row],[Reservas internacionales]]-F2040)/F2040</f>
        <v>-2.5611772101795153E-3</v>
      </c>
    </row>
    <row r="2042" spans="1:10" ht="15.75" thickBot="1" x14ac:dyDescent="0.3">
      <c r="A2042" s="14">
        <v>43973</v>
      </c>
      <c r="B2042" s="15">
        <v>43973</v>
      </c>
      <c r="C2042" s="16">
        <v>1987395</v>
      </c>
      <c r="D2042" s="10">
        <f>PrincipalesVariables[[#This Row],[Base monetaria]]/1000000</f>
        <v>1.987395</v>
      </c>
      <c r="E2042" s="10">
        <v>68.180000000000007</v>
      </c>
      <c r="F2042" s="11">
        <v>42738</v>
      </c>
      <c r="H2042" s="12">
        <f>(PrincipalesVariables[[#This Row],[Base monetaria]]-C2041)/C2041</f>
        <v>-6.5468894651915625E-3</v>
      </c>
      <c r="I2042" s="12">
        <f>(PrincipalesVariables[[#This Row],[Dólar  mayorista]]-E2041)/E2041</f>
        <v>1.3217799970627611E-3</v>
      </c>
      <c r="J2042" s="12">
        <f>(PrincipalesVariables[[#This Row],[Reservas internacionales]]-F2041)/F2041</f>
        <v>-2.3576647447419406E-3</v>
      </c>
    </row>
    <row r="2043" spans="1:10" ht="15.75" thickBot="1" x14ac:dyDescent="0.3">
      <c r="A2043" s="14">
        <v>43977</v>
      </c>
      <c r="B2043" s="15">
        <v>43977</v>
      </c>
      <c r="C2043" s="16">
        <v>2026404</v>
      </c>
      <c r="D2043" s="10">
        <f>PrincipalesVariables[[#This Row],[Base monetaria]]/1000000</f>
        <v>2.0264039999999999</v>
      </c>
      <c r="E2043" s="10">
        <v>68.27</v>
      </c>
      <c r="F2043" s="11">
        <v>42629</v>
      </c>
      <c r="H2043" s="12">
        <f>(PrincipalesVariables[[#This Row],[Base monetaria]]-C2042)/C2042</f>
        <v>1.9628206773188016E-2</v>
      </c>
      <c r="I2043" s="12">
        <f>(PrincipalesVariables[[#This Row],[Dólar  mayorista]]-E2042)/E2042</f>
        <v>1.3200352009385332E-3</v>
      </c>
      <c r="J2043" s="12">
        <f>(PrincipalesVariables[[#This Row],[Reservas internacionales]]-F2042)/F2042</f>
        <v>-2.5504235106930599E-3</v>
      </c>
    </row>
    <row r="2044" spans="1:10" ht="15.75" thickBot="1" x14ac:dyDescent="0.3">
      <c r="A2044" s="14">
        <v>43978</v>
      </c>
      <c r="B2044" s="15">
        <v>43978</v>
      </c>
      <c r="C2044" s="16">
        <v>1983720</v>
      </c>
      <c r="D2044" s="10">
        <f>PrincipalesVariables[[#This Row],[Base monetaria]]/1000000</f>
        <v>1.9837199999999999</v>
      </c>
      <c r="E2044" s="10">
        <v>68.36</v>
      </c>
      <c r="F2044" s="11">
        <v>42499</v>
      </c>
      <c r="H2044" s="12">
        <f>(PrincipalesVariables[[#This Row],[Base monetaria]]-C2043)/C2043</f>
        <v>-2.1063914204669947E-2</v>
      </c>
      <c r="I2044" s="12">
        <f>(PrincipalesVariables[[#This Row],[Dólar  mayorista]]-E2043)/E2043</f>
        <v>1.3182950051267529E-3</v>
      </c>
      <c r="J2044" s="12">
        <f>(PrincipalesVariables[[#This Row],[Reservas internacionales]]-F2043)/F2043</f>
        <v>-3.0495671960402543E-3</v>
      </c>
    </row>
    <row r="2045" spans="1:10" ht="15.75" thickBot="1" x14ac:dyDescent="0.3">
      <c r="A2045" s="14">
        <v>43979</v>
      </c>
      <c r="B2045" s="15">
        <v>43979</v>
      </c>
      <c r="C2045" s="16">
        <v>2049428</v>
      </c>
      <c r="D2045" s="10">
        <f>PrincipalesVariables[[#This Row],[Base monetaria]]/1000000</f>
        <v>2.0494279999999998</v>
      </c>
      <c r="E2045" s="10">
        <v>68.45</v>
      </c>
      <c r="F2045" s="11">
        <v>42448</v>
      </c>
      <c r="H2045" s="12">
        <f>(PrincipalesVariables[[#This Row],[Base monetaria]]-C2044)/C2044</f>
        <v>3.3123626318230397E-2</v>
      </c>
      <c r="I2045" s="12">
        <f>(PrincipalesVariables[[#This Row],[Dólar  mayorista]]-E2044)/E2044</f>
        <v>1.3165593914570423E-3</v>
      </c>
      <c r="J2045" s="12">
        <f>(PrincipalesVariables[[#This Row],[Reservas internacionales]]-F2044)/F2044</f>
        <v>-1.2000282359584931E-3</v>
      </c>
    </row>
    <row r="2046" spans="1:10" ht="15.75" thickBot="1" x14ac:dyDescent="0.3">
      <c r="A2046" s="14">
        <v>43980</v>
      </c>
      <c r="B2046" s="15">
        <v>43980</v>
      </c>
      <c r="C2046" s="16">
        <v>2131292</v>
      </c>
      <c r="D2046" s="10">
        <f>PrincipalesVariables[[#This Row],[Base monetaria]]/1000000</f>
        <v>2.1312920000000002</v>
      </c>
      <c r="E2046" s="10">
        <v>68.540000000000006</v>
      </c>
      <c r="F2046" s="11">
        <v>42589</v>
      </c>
      <c r="H2046" s="12">
        <f>(PrincipalesVariables[[#This Row],[Base monetaria]]-C2045)/C2045</f>
        <v>3.9944804111195907E-2</v>
      </c>
      <c r="I2046" s="12">
        <f>(PrincipalesVariables[[#This Row],[Dólar  mayorista]]-E2045)/E2045</f>
        <v>1.3148283418554186E-3</v>
      </c>
      <c r="J2046" s="12">
        <f>(PrincipalesVariables[[#This Row],[Reservas internacionales]]-F2045)/F2045</f>
        <v>3.3217112702600827E-3</v>
      </c>
    </row>
    <row r="2047" spans="1:10" ht="15.75" thickBot="1" x14ac:dyDescent="0.3">
      <c r="A2047" s="14">
        <v>43983</v>
      </c>
      <c r="B2047" s="15">
        <v>43983</v>
      </c>
      <c r="C2047" s="16">
        <v>2411499</v>
      </c>
      <c r="D2047" s="10">
        <f>PrincipalesVariables[[#This Row],[Base monetaria]]/1000000</f>
        <v>2.4114990000000001</v>
      </c>
      <c r="E2047" s="10">
        <v>68.63</v>
      </c>
      <c r="F2047" s="11">
        <v>42609</v>
      </c>
      <c r="H2047" s="12">
        <f>(PrincipalesVariables[[#This Row],[Base monetaria]]-C2046)/C2046</f>
        <v>0.13147283431833837</v>
      </c>
      <c r="I2047" s="12">
        <f>(PrincipalesVariables[[#This Row],[Dólar  mayorista]]-E2046)/E2046</f>
        <v>1.313101838342416E-3</v>
      </c>
      <c r="J2047" s="12">
        <f>(PrincipalesVariables[[#This Row],[Reservas internacionales]]-F2046)/F2046</f>
        <v>4.6960482753762711E-4</v>
      </c>
    </row>
    <row r="2048" spans="1:10" ht="15.75" thickBot="1" x14ac:dyDescent="0.3">
      <c r="A2048" s="14">
        <v>43984</v>
      </c>
      <c r="B2048" s="15">
        <v>43984</v>
      </c>
      <c r="C2048" s="16">
        <v>2218153</v>
      </c>
      <c r="D2048" s="10">
        <f>PrincipalesVariables[[#This Row],[Base monetaria]]/1000000</f>
        <v>2.218153</v>
      </c>
      <c r="E2048" s="10">
        <v>68.72</v>
      </c>
      <c r="F2048" s="11">
        <v>42660</v>
      </c>
      <c r="H2048" s="12">
        <f>(PrincipalesVariables[[#This Row],[Base monetaria]]-C2047)/C2047</f>
        <v>-8.017668678278532E-2</v>
      </c>
      <c r="I2048" s="12">
        <f>(PrincipalesVariables[[#This Row],[Dólar  mayorista]]-E2047)/E2047</f>
        <v>1.3113798630337086E-3</v>
      </c>
      <c r="J2048" s="12">
        <f>(PrincipalesVariables[[#This Row],[Reservas internacionales]]-F2047)/F2047</f>
        <v>1.1969302260085898E-3</v>
      </c>
    </row>
    <row r="2049" spans="1:10" ht="15.75" thickBot="1" x14ac:dyDescent="0.3">
      <c r="A2049" s="14">
        <v>43985</v>
      </c>
      <c r="B2049" s="15">
        <v>43985</v>
      </c>
      <c r="C2049" s="16">
        <v>2204817</v>
      </c>
      <c r="D2049" s="10">
        <f>PrincipalesVariables[[#This Row],[Base monetaria]]/1000000</f>
        <v>2.2048169999999998</v>
      </c>
      <c r="E2049" s="10">
        <v>68.81</v>
      </c>
      <c r="F2049" s="11">
        <v>42670</v>
      </c>
      <c r="H2049" s="12">
        <f>(PrincipalesVariables[[#This Row],[Base monetaria]]-C2048)/C2048</f>
        <v>-6.0122092569809202E-3</v>
      </c>
      <c r="I2049" s="12">
        <f>(PrincipalesVariables[[#This Row],[Dólar  mayorista]]-E2048)/E2048</f>
        <v>1.3096623981374187E-3</v>
      </c>
      <c r="J2049" s="12">
        <f>(PrincipalesVariables[[#This Row],[Reservas internacionales]]-F2048)/F2048</f>
        <v>2.3441162681669012E-4</v>
      </c>
    </row>
    <row r="2050" spans="1:10" ht="15.75" thickBot="1" x14ac:dyDescent="0.3">
      <c r="A2050" s="14">
        <v>43986</v>
      </c>
      <c r="B2050" s="15">
        <v>43986</v>
      </c>
      <c r="C2050" s="16">
        <v>2175533</v>
      </c>
      <c r="D2050" s="10">
        <f>PrincipalesVariables[[#This Row],[Base monetaria]]/1000000</f>
        <v>2.1755330000000002</v>
      </c>
      <c r="E2050" s="10">
        <v>68.900000000000006</v>
      </c>
      <c r="F2050" s="11">
        <v>42748</v>
      </c>
      <c r="H2050" s="12">
        <f>(PrincipalesVariables[[#This Row],[Base monetaria]]-C2049)/C2049</f>
        <v>-1.3281827924947967E-2</v>
      </c>
      <c r="I2050" s="12">
        <f>(PrincipalesVariables[[#This Row],[Dólar  mayorista]]-E2049)/E2049</f>
        <v>1.3079494259555793E-3</v>
      </c>
      <c r="J2050" s="12">
        <f>(PrincipalesVariables[[#This Row],[Reservas internacionales]]-F2049)/F2049</f>
        <v>1.8279821888914929E-3</v>
      </c>
    </row>
    <row r="2051" spans="1:10" ht="15.75" thickBot="1" x14ac:dyDescent="0.3">
      <c r="A2051" s="14">
        <v>43987</v>
      </c>
      <c r="B2051" s="15">
        <v>43987</v>
      </c>
      <c r="C2051" s="16">
        <v>2138987</v>
      </c>
      <c r="D2051" s="10">
        <f>PrincipalesVariables[[#This Row],[Base monetaria]]/1000000</f>
        <v>2.1389870000000002</v>
      </c>
      <c r="E2051" s="10">
        <v>68.989999999999995</v>
      </c>
      <c r="F2051" s="11">
        <v>42814</v>
      </c>
      <c r="H2051" s="12">
        <f>(PrincipalesVariables[[#This Row],[Base monetaria]]-C2050)/C2050</f>
        <v>-1.6798641987963409E-2</v>
      </c>
      <c r="I2051" s="12">
        <f>(PrincipalesVariables[[#This Row],[Dólar  mayorista]]-E2050)/E2050</f>
        <v>1.3062409288822814E-3</v>
      </c>
      <c r="J2051" s="12">
        <f>(PrincipalesVariables[[#This Row],[Reservas internacionales]]-F2050)/F2050</f>
        <v>1.5439318798540283E-3</v>
      </c>
    </row>
    <row r="2052" spans="1:10" ht="15.75" thickBot="1" x14ac:dyDescent="0.3">
      <c r="A2052" s="14">
        <v>43990</v>
      </c>
      <c r="B2052" s="15">
        <v>43990</v>
      </c>
      <c r="C2052" s="16">
        <v>2113038</v>
      </c>
      <c r="D2052" s="10">
        <f>PrincipalesVariables[[#This Row],[Base monetaria]]/1000000</f>
        <v>2.113038</v>
      </c>
      <c r="E2052" s="10">
        <v>69.08</v>
      </c>
      <c r="F2052" s="11">
        <v>42883</v>
      </c>
      <c r="H2052" s="12">
        <f>(PrincipalesVariables[[#This Row],[Base monetaria]]-C2051)/C2051</f>
        <v>-1.2131443529109807E-2</v>
      </c>
      <c r="I2052" s="12">
        <f>(PrincipalesVariables[[#This Row],[Dólar  mayorista]]-E2051)/E2051</f>
        <v>1.3045368894043111E-3</v>
      </c>
      <c r="J2052" s="12">
        <f>(PrincipalesVariables[[#This Row],[Reservas internacionales]]-F2051)/F2051</f>
        <v>1.6116223665156256E-3</v>
      </c>
    </row>
    <row r="2053" spans="1:10" ht="15.75" thickBot="1" x14ac:dyDescent="0.3">
      <c r="A2053" s="14">
        <v>43991</v>
      </c>
      <c r="B2053" s="15">
        <v>43991</v>
      </c>
      <c r="C2053" s="16">
        <v>2115343</v>
      </c>
      <c r="D2053" s="10">
        <f>PrincipalesVariables[[#This Row],[Base monetaria]]/1000000</f>
        <v>2.1153430000000002</v>
      </c>
      <c r="E2053" s="10">
        <v>69.17</v>
      </c>
      <c r="F2053" s="11">
        <v>42988</v>
      </c>
      <c r="H2053" s="12">
        <f>(PrincipalesVariables[[#This Row],[Base monetaria]]-C2052)/C2052</f>
        <v>1.0908464495196016E-3</v>
      </c>
      <c r="I2053" s="12">
        <f>(PrincipalesVariables[[#This Row],[Dólar  mayorista]]-E2052)/E2052</f>
        <v>1.3028372900984861E-3</v>
      </c>
      <c r="J2053" s="12">
        <f>(PrincipalesVariables[[#This Row],[Reservas internacionales]]-F2052)/F2052</f>
        <v>2.4485227246228108E-3</v>
      </c>
    </row>
    <row r="2054" spans="1:10" ht="15.75" thickBot="1" x14ac:dyDescent="0.3">
      <c r="A2054" s="14">
        <v>43992</v>
      </c>
      <c r="B2054" s="15">
        <v>43992</v>
      </c>
      <c r="C2054" s="16">
        <v>2127641</v>
      </c>
      <c r="D2054" s="10">
        <f>PrincipalesVariables[[#This Row],[Base monetaria]]/1000000</f>
        <v>2.1276410000000001</v>
      </c>
      <c r="E2054" s="10">
        <v>69.260000000000005</v>
      </c>
      <c r="F2054" s="11">
        <v>43041</v>
      </c>
      <c r="H2054" s="12">
        <f>(PrincipalesVariables[[#This Row],[Base monetaria]]-C2053)/C2053</f>
        <v>5.8137143716172745E-3</v>
      </c>
      <c r="I2054" s="12">
        <f>(PrincipalesVariables[[#This Row],[Dólar  mayorista]]-E2053)/E2053</f>
        <v>1.3011421136331271E-3</v>
      </c>
      <c r="J2054" s="12">
        <f>(PrincipalesVariables[[#This Row],[Reservas internacionales]]-F2053)/F2053</f>
        <v>1.232902205266586E-3</v>
      </c>
    </row>
    <row r="2055" spans="1:10" ht="15.75" thickBot="1" x14ac:dyDescent="0.3">
      <c r="A2055" s="14">
        <v>43993</v>
      </c>
      <c r="B2055" s="15">
        <v>43993</v>
      </c>
      <c r="C2055" s="16">
        <v>2101009</v>
      </c>
      <c r="D2055" s="10">
        <f>PrincipalesVariables[[#This Row],[Base monetaria]]/1000000</f>
        <v>2.1010089999999999</v>
      </c>
      <c r="E2055" s="10">
        <v>69.319999999999993</v>
      </c>
      <c r="F2055" s="11">
        <v>43122</v>
      </c>
      <c r="H2055" s="12">
        <f>(PrincipalesVariables[[#This Row],[Base monetaria]]-C2054)/C2054</f>
        <v>-1.2517149274713169E-2</v>
      </c>
      <c r="I2055" s="12">
        <f>(PrincipalesVariables[[#This Row],[Dólar  mayorista]]-E2054)/E2054</f>
        <v>8.6630089517741925E-4</v>
      </c>
      <c r="J2055" s="12">
        <f>(PrincipalesVariables[[#This Row],[Reservas internacionales]]-F2054)/F2054</f>
        <v>1.8819265351641458E-3</v>
      </c>
    </row>
    <row r="2056" spans="1:10" ht="15.75" thickBot="1" x14ac:dyDescent="0.3">
      <c r="A2056" s="14">
        <v>43994</v>
      </c>
      <c r="B2056" s="15">
        <v>43994</v>
      </c>
      <c r="C2056" s="16">
        <v>2097591</v>
      </c>
      <c r="D2056" s="10">
        <f>PrincipalesVariables[[#This Row],[Base monetaria]]/1000000</f>
        <v>2.097591</v>
      </c>
      <c r="E2056" s="10">
        <v>69.38</v>
      </c>
      <c r="F2056" s="11">
        <v>43126</v>
      </c>
      <c r="H2056" s="12">
        <f>(PrincipalesVariables[[#This Row],[Base monetaria]]-C2055)/C2055</f>
        <v>-1.626837390986902E-3</v>
      </c>
      <c r="I2056" s="12">
        <f>(PrincipalesVariables[[#This Row],[Dólar  mayorista]]-E2055)/E2055</f>
        <v>8.6555106751301611E-4</v>
      </c>
      <c r="J2056" s="12">
        <f>(PrincipalesVariables[[#This Row],[Reservas internacionales]]-F2055)/F2055</f>
        <v>9.2760076063262378E-5</v>
      </c>
    </row>
    <row r="2057" spans="1:10" ht="15.75" thickBot="1" x14ac:dyDescent="0.3">
      <c r="A2057" s="14">
        <v>43998</v>
      </c>
      <c r="B2057" s="15">
        <v>43998</v>
      </c>
      <c r="C2057" s="16">
        <v>2121457</v>
      </c>
      <c r="D2057" s="10">
        <f>PrincipalesVariables[[#This Row],[Base monetaria]]/1000000</f>
        <v>2.1214569999999999</v>
      </c>
      <c r="E2057" s="10">
        <v>69.62</v>
      </c>
      <c r="F2057" s="11">
        <v>43170</v>
      </c>
      <c r="H2057" s="12">
        <f>(PrincipalesVariables[[#This Row],[Base monetaria]]-C2056)/C2056</f>
        <v>1.137781388268733E-2</v>
      </c>
      <c r="I2057" s="12">
        <f>(PrincipalesVariables[[#This Row],[Dólar  mayorista]]-E2056)/E2056</f>
        <v>3.4592101470165624E-3</v>
      </c>
      <c r="J2057" s="12">
        <f>(PrincipalesVariables[[#This Row],[Reservas internacionales]]-F2056)/F2056</f>
        <v>1.0202661967258729E-3</v>
      </c>
    </row>
    <row r="2058" spans="1:10" ht="15.75" thickBot="1" x14ac:dyDescent="0.3">
      <c r="A2058" s="14">
        <v>43999</v>
      </c>
      <c r="B2058" s="15">
        <v>43999</v>
      </c>
      <c r="C2058" s="16">
        <v>2114902</v>
      </c>
      <c r="D2058" s="10">
        <f>PrincipalesVariables[[#This Row],[Base monetaria]]/1000000</f>
        <v>2.1149019999999998</v>
      </c>
      <c r="E2058" s="10">
        <v>69.680000000000007</v>
      </c>
      <c r="F2058" s="11">
        <v>43172</v>
      </c>
      <c r="H2058" s="12">
        <f>(PrincipalesVariables[[#This Row],[Base monetaria]]-C2057)/C2057</f>
        <v>-3.0898575837266557E-3</v>
      </c>
      <c r="I2058" s="12">
        <f>(PrincipalesVariables[[#This Row],[Dólar  mayorista]]-E2057)/E2057</f>
        <v>8.6182131571390795E-4</v>
      </c>
      <c r="J2058" s="12">
        <f>(PrincipalesVariables[[#This Row],[Reservas internacionales]]-F2057)/F2057</f>
        <v>4.6328468844104701E-5</v>
      </c>
    </row>
    <row r="2059" spans="1:10" ht="15.75" thickBot="1" x14ac:dyDescent="0.3">
      <c r="A2059" s="14">
        <v>44000</v>
      </c>
      <c r="B2059" s="15">
        <v>44000</v>
      </c>
      <c r="C2059" s="16">
        <v>2118509</v>
      </c>
      <c r="D2059" s="10">
        <f>PrincipalesVariables[[#This Row],[Base monetaria]]/1000000</f>
        <v>2.118509</v>
      </c>
      <c r="E2059" s="10">
        <v>69.739999999999995</v>
      </c>
      <c r="F2059" s="11">
        <v>43123</v>
      </c>
      <c r="H2059" s="12">
        <f>(PrincipalesVariables[[#This Row],[Base monetaria]]-C2058)/C2058</f>
        <v>1.7055163785366888E-3</v>
      </c>
      <c r="I2059" s="12">
        <f>(PrincipalesVariables[[#This Row],[Dólar  mayorista]]-E2058)/E2058</f>
        <v>8.6107921928800307E-4</v>
      </c>
      <c r="J2059" s="12">
        <f>(PrincipalesVariables[[#This Row],[Reservas internacionales]]-F2058)/F2058</f>
        <v>-1.1349949041045122E-3</v>
      </c>
    </row>
    <row r="2060" spans="1:10" ht="15.75" thickBot="1" x14ac:dyDescent="0.3">
      <c r="A2060" s="14">
        <v>44001</v>
      </c>
      <c r="B2060" s="15">
        <v>44001</v>
      </c>
      <c r="C2060" s="16">
        <v>2110301</v>
      </c>
      <c r="D2060" s="10">
        <f>PrincipalesVariables[[#This Row],[Base monetaria]]/1000000</f>
        <v>2.1103010000000002</v>
      </c>
      <c r="E2060" s="10">
        <v>69.8</v>
      </c>
      <c r="F2060" s="11">
        <v>43178</v>
      </c>
      <c r="H2060" s="12">
        <f>(PrincipalesVariables[[#This Row],[Base monetaria]]-C2059)/C2059</f>
        <v>-3.8744230022152372E-3</v>
      </c>
      <c r="I2060" s="12">
        <f>(PrincipalesVariables[[#This Row],[Dólar  mayorista]]-E2059)/E2059</f>
        <v>8.6033839977060907E-4</v>
      </c>
      <c r="J2060" s="12">
        <f>(PrincipalesVariables[[#This Row],[Reservas internacionales]]-F2059)/F2059</f>
        <v>1.2754214688217424E-3</v>
      </c>
    </row>
    <row r="2061" spans="1:10" ht="15.75" thickBot="1" x14ac:dyDescent="0.3">
      <c r="A2061" s="14">
        <v>44004</v>
      </c>
      <c r="B2061" s="15">
        <v>44004</v>
      </c>
      <c r="C2061" s="16">
        <v>2213496</v>
      </c>
      <c r="D2061" s="10">
        <f>PrincipalesVariables[[#This Row],[Base monetaria]]/1000000</f>
        <v>2.2134960000000001</v>
      </c>
      <c r="E2061" s="10">
        <v>69.98</v>
      </c>
      <c r="F2061" s="11">
        <v>43202</v>
      </c>
      <c r="H2061" s="12">
        <f>(PrincipalesVariables[[#This Row],[Base monetaria]]-C2060)/C2060</f>
        <v>4.8900607069797153E-2</v>
      </c>
      <c r="I2061" s="12">
        <f>(PrincipalesVariables[[#This Row],[Dólar  mayorista]]-E2060)/E2060</f>
        <v>2.5787965616046824E-3</v>
      </c>
      <c r="J2061" s="12">
        <f>(PrincipalesVariables[[#This Row],[Reservas internacionales]]-F2060)/F2060</f>
        <v>5.5583862152021866E-4</v>
      </c>
    </row>
    <row r="2062" spans="1:10" ht="15.75" thickBot="1" x14ac:dyDescent="0.3">
      <c r="A2062" s="14">
        <v>44005</v>
      </c>
      <c r="B2062" s="15">
        <v>44005</v>
      </c>
      <c r="C2062" s="16">
        <v>2135566</v>
      </c>
      <c r="D2062" s="10">
        <f>PrincipalesVariables[[#This Row],[Base monetaria]]/1000000</f>
        <v>2.1355659999999999</v>
      </c>
      <c r="E2062" s="10">
        <v>70.040000000000006</v>
      </c>
      <c r="F2062" s="11">
        <v>43213</v>
      </c>
      <c r="H2062" s="12">
        <f>(PrincipalesVariables[[#This Row],[Base monetaria]]-C2061)/C2061</f>
        <v>-3.520674986537134E-2</v>
      </c>
      <c r="I2062" s="12">
        <f>(PrincipalesVariables[[#This Row],[Dólar  mayorista]]-E2061)/E2061</f>
        <v>8.5738782509291612E-4</v>
      </c>
      <c r="J2062" s="12">
        <f>(PrincipalesVariables[[#This Row],[Reservas internacionales]]-F2061)/F2061</f>
        <v>2.5461784176658488E-4</v>
      </c>
    </row>
    <row r="2063" spans="1:10" ht="15.75" thickBot="1" x14ac:dyDescent="0.3">
      <c r="A2063" s="14">
        <v>44006</v>
      </c>
      <c r="B2063" s="15">
        <v>44006</v>
      </c>
      <c r="C2063" s="16">
        <v>2142800</v>
      </c>
      <c r="D2063" s="10">
        <f>PrincipalesVariables[[#This Row],[Base monetaria]]/1000000</f>
        <v>2.1427999999999998</v>
      </c>
      <c r="E2063" s="10">
        <v>70.099999999999994</v>
      </c>
      <c r="F2063" s="11">
        <v>43217</v>
      </c>
      <c r="H2063" s="12">
        <f>(PrincipalesVariables[[#This Row],[Base monetaria]]-C2062)/C2062</f>
        <v>3.3873923821600457E-3</v>
      </c>
      <c r="I2063" s="12">
        <f>(PrincipalesVariables[[#This Row],[Dólar  mayorista]]-E2062)/E2062</f>
        <v>8.5665334094785922E-4</v>
      </c>
      <c r="J2063" s="12">
        <f>(PrincipalesVariables[[#This Row],[Reservas internacionales]]-F2062)/F2062</f>
        <v>9.2564737463263365E-5</v>
      </c>
    </row>
    <row r="2064" spans="1:10" ht="15.75" thickBot="1" x14ac:dyDescent="0.3">
      <c r="A2064" s="14">
        <v>44007</v>
      </c>
      <c r="B2064" s="15">
        <v>44007</v>
      </c>
      <c r="C2064" s="16">
        <v>2140685</v>
      </c>
      <c r="D2064" s="10">
        <f>PrincipalesVariables[[#This Row],[Base monetaria]]/1000000</f>
        <v>2.1406849999999999</v>
      </c>
      <c r="E2064" s="10">
        <v>70.16</v>
      </c>
      <c r="F2064" s="11">
        <v>43197</v>
      </c>
      <c r="H2064" s="12">
        <f>(PrincipalesVariables[[#This Row],[Base monetaria]]-C2063)/C2063</f>
        <v>-9.8702632070188541E-4</v>
      </c>
      <c r="I2064" s="12">
        <f>(PrincipalesVariables[[#This Row],[Dólar  mayorista]]-E2063)/E2063</f>
        <v>8.5592011412271435E-4</v>
      </c>
      <c r="J2064" s="12">
        <f>(PrincipalesVariables[[#This Row],[Reservas internacionales]]-F2063)/F2063</f>
        <v>-4.6278085012842169E-4</v>
      </c>
    </row>
    <row r="2065" spans="1:10" ht="15.75" thickBot="1" x14ac:dyDescent="0.3">
      <c r="A2065" s="14">
        <v>44008</v>
      </c>
      <c r="B2065" s="15">
        <v>44008</v>
      </c>
      <c r="C2065" s="16">
        <v>2171372</v>
      </c>
      <c r="D2065" s="10">
        <f>PrincipalesVariables[[#This Row],[Base monetaria]]/1000000</f>
        <v>2.1713719999999999</v>
      </c>
      <c r="E2065" s="10">
        <v>70.22</v>
      </c>
      <c r="F2065" s="11">
        <v>43200</v>
      </c>
      <c r="H2065" s="12">
        <f>(PrincipalesVariables[[#This Row],[Base monetaria]]-C2064)/C2064</f>
        <v>1.433513104450211E-2</v>
      </c>
      <c r="I2065" s="12">
        <f>(PrincipalesVariables[[#This Row],[Dólar  mayorista]]-E2064)/E2064</f>
        <v>8.5518814139113849E-4</v>
      </c>
      <c r="J2065" s="12">
        <f>(PrincipalesVariables[[#This Row],[Reservas internacionales]]-F2064)/F2064</f>
        <v>6.9449267310229878E-5</v>
      </c>
    </row>
    <row r="2066" spans="1:10" ht="15.75" thickBot="1" x14ac:dyDescent="0.3">
      <c r="A2066" s="14">
        <v>44011</v>
      </c>
      <c r="B2066" s="15">
        <v>44011</v>
      </c>
      <c r="C2066" s="16">
        <v>2202384</v>
      </c>
      <c r="D2066" s="10">
        <f>PrincipalesVariables[[#This Row],[Base monetaria]]/1000000</f>
        <v>2.2023839999999999</v>
      </c>
      <c r="E2066" s="10">
        <v>70.400000000000006</v>
      </c>
      <c r="F2066" s="11">
        <v>43201</v>
      </c>
      <c r="H2066" s="12">
        <f>(PrincipalesVariables[[#This Row],[Base monetaria]]-C2065)/C2065</f>
        <v>1.4282214194527699E-2</v>
      </c>
      <c r="I2066" s="12">
        <f>(PrincipalesVariables[[#This Row],[Dólar  mayorista]]-E2065)/E2065</f>
        <v>2.5633722586158761E-3</v>
      </c>
      <c r="J2066" s="12">
        <f>(PrincipalesVariables[[#This Row],[Reservas internacionales]]-F2065)/F2065</f>
        <v>2.3148148148148147E-5</v>
      </c>
    </row>
    <row r="2067" spans="1:10" ht="15.75" thickBot="1" x14ac:dyDescent="0.3">
      <c r="A2067" s="14">
        <v>44012</v>
      </c>
      <c r="B2067" s="15">
        <v>44012</v>
      </c>
      <c r="C2067" s="16">
        <v>2164501</v>
      </c>
      <c r="D2067" s="10">
        <f>PrincipalesVariables[[#This Row],[Base monetaria]]/1000000</f>
        <v>2.164501</v>
      </c>
      <c r="E2067" s="10">
        <v>70.459999999999994</v>
      </c>
      <c r="F2067" s="11">
        <v>43242</v>
      </c>
      <c r="H2067" s="12">
        <f>(PrincipalesVariables[[#This Row],[Base monetaria]]-C2066)/C2066</f>
        <v>-1.7200905927395042E-2</v>
      </c>
      <c r="I2067" s="12">
        <f>(PrincipalesVariables[[#This Row],[Dólar  mayorista]]-E2066)/E2066</f>
        <v>8.5227272727255766E-4</v>
      </c>
      <c r="J2067" s="12">
        <f>(PrincipalesVariables[[#This Row],[Reservas internacionales]]-F2066)/F2066</f>
        <v>9.4905210527534089E-4</v>
      </c>
    </row>
    <row r="2068" spans="1:10" ht="15.75" thickBot="1" x14ac:dyDescent="0.3">
      <c r="A2068" s="14">
        <v>44013</v>
      </c>
      <c r="B2068" s="15">
        <v>44013</v>
      </c>
      <c r="C2068" s="16">
        <v>2359097</v>
      </c>
      <c r="D2068" s="10">
        <f>PrincipalesVariables[[#This Row],[Base monetaria]]/1000000</f>
        <v>2.3590970000000002</v>
      </c>
      <c r="E2068" s="10">
        <v>70.52</v>
      </c>
      <c r="F2068" s="11">
        <v>43219</v>
      </c>
      <c r="H2068" s="12">
        <f>(PrincipalesVariables[[#This Row],[Base monetaria]]-C2067)/C2067</f>
        <v>8.9903400368029393E-2</v>
      </c>
      <c r="I2068" s="12">
        <f>(PrincipalesVariables[[#This Row],[Dólar  mayorista]]-E2067)/E2067</f>
        <v>8.5154697700826401E-4</v>
      </c>
      <c r="J2068" s="12">
        <f>(PrincipalesVariables[[#This Row],[Reservas internacionales]]-F2067)/F2067</f>
        <v>-5.3189029184589059E-4</v>
      </c>
    </row>
    <row r="2069" spans="1:10" ht="15.75" thickBot="1" x14ac:dyDescent="0.3">
      <c r="A2069" s="14">
        <v>44014</v>
      </c>
      <c r="B2069" s="15">
        <v>44014</v>
      </c>
      <c r="C2069" s="16">
        <v>2377474</v>
      </c>
      <c r="D2069" s="10">
        <f>PrincipalesVariables[[#This Row],[Base monetaria]]/1000000</f>
        <v>2.3774739999999999</v>
      </c>
      <c r="E2069" s="10">
        <v>70.58</v>
      </c>
      <c r="F2069" s="11">
        <v>43203</v>
      </c>
      <c r="H2069" s="12">
        <f>(PrincipalesVariables[[#This Row],[Base monetaria]]-C2068)/C2068</f>
        <v>7.7898450127315668E-3</v>
      </c>
      <c r="I2069" s="12">
        <f>(PrincipalesVariables[[#This Row],[Dólar  mayorista]]-E2068)/E2068</f>
        <v>8.5082246171302154E-4</v>
      </c>
      <c r="J2069" s="12">
        <f>(PrincipalesVariables[[#This Row],[Reservas internacionales]]-F2068)/F2068</f>
        <v>-3.702075476063768E-4</v>
      </c>
    </row>
    <row r="2070" spans="1:10" ht="15.75" thickBot="1" x14ac:dyDescent="0.3">
      <c r="A2070" s="14">
        <v>44015</v>
      </c>
      <c r="B2070" s="15">
        <v>44015</v>
      </c>
      <c r="C2070" s="16">
        <v>2368607</v>
      </c>
      <c r="D2070" s="10">
        <f>PrincipalesVariables[[#This Row],[Base monetaria]]/1000000</f>
        <v>2.3686069999999999</v>
      </c>
      <c r="E2070" s="10">
        <v>70.64</v>
      </c>
      <c r="F2070" s="11">
        <v>43219</v>
      </c>
      <c r="H2070" s="12">
        <f>(PrincipalesVariables[[#This Row],[Base monetaria]]-C2069)/C2069</f>
        <v>-3.7295886306222487E-3</v>
      </c>
      <c r="I2070" s="12">
        <f>(PrincipalesVariables[[#This Row],[Dólar  mayorista]]-E2069)/E2069</f>
        <v>8.5009917823749323E-4</v>
      </c>
      <c r="J2070" s="12">
        <f>(PrincipalesVariables[[#This Row],[Reservas internacionales]]-F2069)/F2069</f>
        <v>3.7034465199175983E-4</v>
      </c>
    </row>
    <row r="2071" spans="1:10" ht="15.75" thickBot="1" x14ac:dyDescent="0.3">
      <c r="A2071" s="14">
        <v>44018</v>
      </c>
      <c r="B2071" s="15">
        <v>44018</v>
      </c>
      <c r="C2071" s="16">
        <v>2373767</v>
      </c>
      <c r="D2071" s="10">
        <f>PrincipalesVariables[[#This Row],[Base monetaria]]/1000000</f>
        <v>2.373767</v>
      </c>
      <c r="E2071" s="10">
        <v>70.819999999999993</v>
      </c>
      <c r="F2071" s="11">
        <v>43253</v>
      </c>
      <c r="H2071" s="12">
        <f>(PrincipalesVariables[[#This Row],[Base monetaria]]-C2070)/C2070</f>
        <v>2.1784956305541613E-3</v>
      </c>
      <c r="I2071" s="12">
        <f>(PrincipalesVariables[[#This Row],[Dólar  mayorista]]-E2070)/E2070</f>
        <v>2.5481313703283213E-3</v>
      </c>
      <c r="J2071" s="12">
        <f>(PrincipalesVariables[[#This Row],[Reservas internacionales]]-F2070)/F2070</f>
        <v>7.8669103866355072E-4</v>
      </c>
    </row>
    <row r="2072" spans="1:10" ht="15.75" thickBot="1" x14ac:dyDescent="0.3">
      <c r="A2072" s="14">
        <v>44019</v>
      </c>
      <c r="B2072" s="15">
        <v>44019</v>
      </c>
      <c r="C2072" s="16">
        <v>2388267</v>
      </c>
      <c r="D2072" s="10">
        <f>PrincipalesVariables[[#This Row],[Base monetaria]]/1000000</f>
        <v>2.3882669999999999</v>
      </c>
      <c r="E2072" s="10">
        <v>70.88</v>
      </c>
      <c r="F2072" s="11">
        <v>43240</v>
      </c>
      <c r="H2072" s="12">
        <f>(PrincipalesVariables[[#This Row],[Base monetaria]]-C2071)/C2071</f>
        <v>6.1084343998378948E-3</v>
      </c>
      <c r="I2072" s="12">
        <f>(PrincipalesVariables[[#This Row],[Dólar  mayorista]]-E2071)/E2071</f>
        <v>8.4721829991531031E-4</v>
      </c>
      <c r="J2072" s="12">
        <f>(PrincipalesVariables[[#This Row],[Reservas internacionales]]-F2071)/F2071</f>
        <v>-3.0055718678473169E-4</v>
      </c>
    </row>
    <row r="2073" spans="1:10" ht="15.75" thickBot="1" x14ac:dyDescent="0.3">
      <c r="A2073" s="14">
        <v>44020</v>
      </c>
      <c r="B2073" s="15">
        <v>44020</v>
      </c>
      <c r="C2073" s="16">
        <v>2270921</v>
      </c>
      <c r="D2073" s="10">
        <f>PrincipalesVariables[[#This Row],[Base monetaria]]/1000000</f>
        <v>2.270921</v>
      </c>
      <c r="E2073" s="10">
        <v>70.94</v>
      </c>
      <c r="F2073" s="11">
        <v>43246</v>
      </c>
      <c r="H2073" s="12">
        <f>(PrincipalesVariables[[#This Row],[Base monetaria]]-C2072)/C2072</f>
        <v>-4.9134372329391982E-2</v>
      </c>
      <c r="I2073" s="12">
        <f>(PrincipalesVariables[[#This Row],[Dólar  mayorista]]-E2072)/E2072</f>
        <v>8.4650112866820374E-4</v>
      </c>
      <c r="J2073" s="12">
        <f>(PrincipalesVariables[[#This Row],[Reservas internacionales]]-F2072)/F2072</f>
        <v>1.3876040703052729E-4</v>
      </c>
    </row>
    <row r="2074" spans="1:10" ht="15.75" thickBot="1" x14ac:dyDescent="0.3">
      <c r="A2074" s="14">
        <v>44025</v>
      </c>
      <c r="B2074" s="15">
        <v>44025</v>
      </c>
      <c r="C2074" s="16">
        <v>2355011</v>
      </c>
      <c r="D2074" s="10">
        <f>PrincipalesVariables[[#This Row],[Base monetaria]]/1000000</f>
        <v>2.3550110000000002</v>
      </c>
      <c r="E2074" s="10">
        <v>71.23</v>
      </c>
      <c r="F2074" s="11">
        <v>43276</v>
      </c>
      <c r="H2074" s="12">
        <f>(PrincipalesVariables[[#This Row],[Base monetaria]]-C2073)/C2073</f>
        <v>3.7029029191240029E-2</v>
      </c>
      <c r="I2074" s="12">
        <f>(PrincipalesVariables[[#This Row],[Dólar  mayorista]]-E2073)/E2073</f>
        <v>4.0879616577390223E-3</v>
      </c>
      <c r="J2074" s="12">
        <f>(PrincipalesVariables[[#This Row],[Reservas internacionales]]-F2073)/F2073</f>
        <v>6.9370577625676359E-4</v>
      </c>
    </row>
    <row r="2075" spans="1:10" ht="15.75" thickBot="1" x14ac:dyDescent="0.3">
      <c r="A2075" s="14">
        <v>44026</v>
      </c>
      <c r="B2075" s="15">
        <v>44026</v>
      </c>
      <c r="C2075" s="16">
        <v>2338952</v>
      </c>
      <c r="D2075" s="10">
        <f>PrincipalesVariables[[#This Row],[Base monetaria]]/1000000</f>
        <v>2.3389519999999999</v>
      </c>
      <c r="E2075" s="10">
        <v>71.3</v>
      </c>
      <c r="F2075" s="11">
        <v>43307</v>
      </c>
      <c r="H2075" s="12">
        <f>(PrincipalesVariables[[#This Row],[Base monetaria]]-C2074)/C2074</f>
        <v>-6.8190764289423698E-3</v>
      </c>
      <c r="I2075" s="12">
        <f>(PrincipalesVariables[[#This Row],[Dólar  mayorista]]-E2074)/E2074</f>
        <v>9.8273199494585393E-4</v>
      </c>
      <c r="J2075" s="12">
        <f>(PrincipalesVariables[[#This Row],[Reservas internacionales]]-F2074)/F2074</f>
        <v>7.1633237822349568E-4</v>
      </c>
    </row>
    <row r="2076" spans="1:10" ht="15.75" thickBot="1" x14ac:dyDescent="0.3">
      <c r="A2076" s="14">
        <v>44027</v>
      </c>
      <c r="B2076" s="15">
        <v>44027</v>
      </c>
      <c r="C2076" s="16">
        <v>2288342</v>
      </c>
      <c r="D2076" s="10">
        <f>PrincipalesVariables[[#This Row],[Base monetaria]]/1000000</f>
        <v>2.2883420000000001</v>
      </c>
      <c r="E2076" s="10">
        <v>71.36</v>
      </c>
      <c r="F2076" s="11">
        <v>43346</v>
      </c>
      <c r="H2076" s="12">
        <f>(PrincipalesVariables[[#This Row],[Base monetaria]]-C2075)/C2075</f>
        <v>-2.1637895946560681E-2</v>
      </c>
      <c r="I2076" s="12">
        <f>(PrincipalesVariables[[#This Row],[Dólar  mayorista]]-E2075)/E2075</f>
        <v>8.415147265077458E-4</v>
      </c>
      <c r="J2076" s="12">
        <f>(PrincipalesVariables[[#This Row],[Reservas internacionales]]-F2075)/F2075</f>
        <v>9.0054725563996582E-4</v>
      </c>
    </row>
    <row r="2077" spans="1:10" ht="15.75" thickBot="1" x14ac:dyDescent="0.3">
      <c r="A2077" s="14">
        <v>44028</v>
      </c>
      <c r="B2077" s="15">
        <v>44028</v>
      </c>
      <c r="C2077" s="16">
        <v>2268727</v>
      </c>
      <c r="D2077" s="10">
        <f>PrincipalesVariables[[#This Row],[Base monetaria]]/1000000</f>
        <v>2.2687270000000002</v>
      </c>
      <c r="E2077" s="10">
        <v>71.42</v>
      </c>
      <c r="F2077" s="11">
        <v>43356</v>
      </c>
      <c r="H2077" s="12">
        <f>(PrincipalesVariables[[#This Row],[Base monetaria]]-C2076)/C2076</f>
        <v>-8.5717082499032048E-3</v>
      </c>
      <c r="I2077" s="12">
        <f>(PrincipalesVariables[[#This Row],[Dólar  mayorista]]-E2076)/E2076</f>
        <v>8.4080717488792429E-4</v>
      </c>
      <c r="J2077" s="12">
        <f>(PrincipalesVariables[[#This Row],[Reservas internacionales]]-F2076)/F2076</f>
        <v>2.3070179485996402E-4</v>
      </c>
    </row>
    <row r="2078" spans="1:10" ht="15.75" thickBot="1" x14ac:dyDescent="0.3">
      <c r="A2078" s="14">
        <v>44029</v>
      </c>
      <c r="B2078" s="15">
        <v>44029</v>
      </c>
      <c r="C2078" s="16">
        <v>2221876</v>
      </c>
      <c r="D2078" s="10">
        <f>PrincipalesVariables[[#This Row],[Base monetaria]]/1000000</f>
        <v>2.221876</v>
      </c>
      <c r="E2078" s="10">
        <v>71.48</v>
      </c>
      <c r="F2078" s="11">
        <v>43362</v>
      </c>
      <c r="H2078" s="12">
        <f>(PrincipalesVariables[[#This Row],[Base monetaria]]-C2077)/C2077</f>
        <v>-2.0650787864736481E-2</v>
      </c>
      <c r="I2078" s="12">
        <f>(PrincipalesVariables[[#This Row],[Dólar  mayorista]]-E2077)/E2077</f>
        <v>8.4010081209748354E-4</v>
      </c>
      <c r="J2078" s="12">
        <f>(PrincipalesVariables[[#This Row],[Reservas internacionales]]-F2077)/F2077</f>
        <v>1.3838915029061721E-4</v>
      </c>
    </row>
    <row r="2079" spans="1:10" ht="15.75" thickBot="1" x14ac:dyDescent="0.3">
      <c r="A2079" s="14">
        <v>44032</v>
      </c>
      <c r="B2079" s="15">
        <v>44032</v>
      </c>
      <c r="C2079" s="16">
        <v>2258381</v>
      </c>
      <c r="D2079" s="10">
        <f>PrincipalesVariables[[#This Row],[Base monetaria]]/1000000</f>
        <v>2.258381</v>
      </c>
      <c r="E2079" s="10">
        <v>71.66</v>
      </c>
      <c r="F2079" s="11">
        <v>43389</v>
      </c>
      <c r="H2079" s="12">
        <f>(PrincipalesVariables[[#This Row],[Base monetaria]]-C2078)/C2078</f>
        <v>1.6429809764361286E-2</v>
      </c>
      <c r="I2079" s="12">
        <f>(PrincipalesVariables[[#This Row],[Dólar  mayorista]]-E2078)/E2078</f>
        <v>2.5181869054279882E-3</v>
      </c>
      <c r="J2079" s="12">
        <f>(PrincipalesVariables[[#This Row],[Reservas internacionales]]-F2078)/F2078</f>
        <v>6.2266500622665006E-4</v>
      </c>
    </row>
    <row r="2080" spans="1:10" ht="15.75" thickBot="1" x14ac:dyDescent="0.3">
      <c r="A2080" s="14">
        <v>44033</v>
      </c>
      <c r="B2080" s="15">
        <v>44033</v>
      </c>
      <c r="C2080" s="16">
        <v>2274834</v>
      </c>
      <c r="D2080" s="10">
        <f>PrincipalesVariables[[#This Row],[Base monetaria]]/1000000</f>
        <v>2.2748339999999998</v>
      </c>
      <c r="E2080" s="10">
        <v>71.72</v>
      </c>
      <c r="F2080" s="11">
        <v>43399</v>
      </c>
      <c r="H2080" s="12">
        <f>(PrincipalesVariables[[#This Row],[Base monetaria]]-C2079)/C2079</f>
        <v>7.2853074835468419E-3</v>
      </c>
      <c r="I2080" s="12">
        <f>(PrincipalesVariables[[#This Row],[Dólar  mayorista]]-E2079)/E2079</f>
        <v>8.3728718950603232E-4</v>
      </c>
      <c r="J2080" s="12">
        <f>(PrincipalesVariables[[#This Row],[Reservas internacionales]]-F2079)/F2079</f>
        <v>2.3047316140035494E-4</v>
      </c>
    </row>
    <row r="2081" spans="1:10" ht="15.75" thickBot="1" x14ac:dyDescent="0.3">
      <c r="A2081" s="14">
        <v>44034</v>
      </c>
      <c r="B2081" s="15">
        <v>44034</v>
      </c>
      <c r="C2081" s="16">
        <v>2282579</v>
      </c>
      <c r="D2081" s="10">
        <f>PrincipalesVariables[[#This Row],[Base monetaria]]/1000000</f>
        <v>2.2825790000000001</v>
      </c>
      <c r="E2081" s="10">
        <v>71.78</v>
      </c>
      <c r="F2081" s="11">
        <v>43379</v>
      </c>
      <c r="H2081" s="12">
        <f>(PrincipalesVariables[[#This Row],[Base monetaria]]-C2080)/C2080</f>
        <v>3.4046440311688679E-3</v>
      </c>
      <c r="I2081" s="12">
        <f>(PrincipalesVariables[[#This Row],[Dólar  mayorista]]-E2080)/E2080</f>
        <v>8.3658672615731001E-4</v>
      </c>
      <c r="J2081" s="12">
        <f>(PrincipalesVariables[[#This Row],[Reservas internacionales]]-F2080)/F2080</f>
        <v>-4.6084011152330699E-4</v>
      </c>
    </row>
    <row r="2082" spans="1:10" ht="15.75" thickBot="1" x14ac:dyDescent="0.3">
      <c r="A2082" s="14">
        <v>44035</v>
      </c>
      <c r="B2082" s="15">
        <v>44035</v>
      </c>
      <c r="C2082" s="16">
        <v>2281662</v>
      </c>
      <c r="D2082" s="10">
        <f>PrincipalesVariables[[#This Row],[Base monetaria]]/1000000</f>
        <v>2.2816619999999999</v>
      </c>
      <c r="E2082" s="10">
        <v>71.84</v>
      </c>
      <c r="F2082" s="11">
        <v>43349</v>
      </c>
      <c r="H2082" s="12">
        <f>(PrincipalesVariables[[#This Row],[Base monetaria]]-C2081)/C2081</f>
        <v>-4.0173855976069175E-4</v>
      </c>
      <c r="I2082" s="12">
        <f>(PrincipalesVariables[[#This Row],[Dólar  mayorista]]-E2081)/E2081</f>
        <v>8.3588743382560977E-4</v>
      </c>
      <c r="J2082" s="12">
        <f>(PrincipalesVariables[[#This Row],[Reservas internacionales]]-F2081)/F2081</f>
        <v>-6.9157887457064473E-4</v>
      </c>
    </row>
    <row r="2083" spans="1:10" ht="15.75" thickBot="1" x14ac:dyDescent="0.3">
      <c r="A2083" s="14">
        <v>44036</v>
      </c>
      <c r="B2083" s="15">
        <v>44036</v>
      </c>
      <c r="C2083" s="16">
        <v>2262955</v>
      </c>
      <c r="D2083" s="10">
        <f>PrincipalesVariables[[#This Row],[Base monetaria]]/1000000</f>
        <v>2.2629549999999998</v>
      </c>
      <c r="E2083" s="10">
        <v>71.900000000000006</v>
      </c>
      <c r="F2083" s="11">
        <v>43360</v>
      </c>
      <c r="H2083" s="12">
        <f>(PrincipalesVariables[[#This Row],[Base monetaria]]-C2082)/C2082</f>
        <v>-8.1988480327059837E-3</v>
      </c>
      <c r="I2083" s="12">
        <f>(PrincipalesVariables[[#This Row],[Dólar  mayorista]]-E2082)/E2082</f>
        <v>8.3518930957686898E-4</v>
      </c>
      <c r="J2083" s="12">
        <f>(PrincipalesVariables[[#This Row],[Reservas internacionales]]-F2082)/F2082</f>
        <v>2.5375441186647904E-4</v>
      </c>
    </row>
    <row r="2084" spans="1:10" ht="15.75" thickBot="1" x14ac:dyDescent="0.3">
      <c r="A2084" s="14">
        <v>44039</v>
      </c>
      <c r="B2084" s="15">
        <v>44039</v>
      </c>
      <c r="C2084" s="16">
        <v>2260822</v>
      </c>
      <c r="D2084" s="10">
        <f>PrincipalesVariables[[#This Row],[Base monetaria]]/1000000</f>
        <v>2.2608220000000001</v>
      </c>
      <c r="E2084" s="10">
        <v>72.08</v>
      </c>
      <c r="F2084" s="11">
        <v>43384</v>
      </c>
      <c r="H2084" s="12">
        <f>(PrincipalesVariables[[#This Row],[Base monetaria]]-C2083)/C2083</f>
        <v>-9.4257287484726833E-4</v>
      </c>
      <c r="I2084" s="12">
        <f>(PrincipalesVariables[[#This Row],[Dólar  mayorista]]-E2083)/E2083</f>
        <v>2.5034770514602588E-3</v>
      </c>
      <c r="J2084" s="12">
        <f>(PrincipalesVariables[[#This Row],[Reservas internacionales]]-F2083)/F2083</f>
        <v>5.5350553505535054E-4</v>
      </c>
    </row>
    <row r="2085" spans="1:10" ht="15.75" thickBot="1" x14ac:dyDescent="0.3">
      <c r="A2085" s="14">
        <v>44040</v>
      </c>
      <c r="B2085" s="15">
        <v>44040</v>
      </c>
      <c r="C2085" s="16">
        <v>2281202</v>
      </c>
      <c r="D2085" s="10">
        <f>PrincipalesVariables[[#This Row],[Base monetaria]]/1000000</f>
        <v>2.281202</v>
      </c>
      <c r="E2085" s="10">
        <v>72.14</v>
      </c>
      <c r="F2085" s="11">
        <v>43433</v>
      </c>
      <c r="H2085" s="12">
        <f>(PrincipalesVariables[[#This Row],[Base monetaria]]-C2084)/C2084</f>
        <v>9.0144204187680415E-3</v>
      </c>
      <c r="I2085" s="12">
        <f>(PrincipalesVariables[[#This Row],[Dólar  mayorista]]-E2084)/E2084</f>
        <v>8.3240843507217358E-4</v>
      </c>
      <c r="J2085" s="12">
        <f>(PrincipalesVariables[[#This Row],[Reservas internacionales]]-F2084)/F2084</f>
        <v>1.1294486446616265E-3</v>
      </c>
    </row>
    <row r="2086" spans="1:10" ht="15.75" thickBot="1" x14ac:dyDescent="0.3">
      <c r="A2086" s="14">
        <v>44041</v>
      </c>
      <c r="B2086" s="15">
        <v>44041</v>
      </c>
      <c r="C2086" s="16">
        <v>2291366</v>
      </c>
      <c r="D2086" s="10">
        <f>PrincipalesVariables[[#This Row],[Base monetaria]]/1000000</f>
        <v>2.291366</v>
      </c>
      <c r="E2086" s="10">
        <v>72.2</v>
      </c>
      <c r="F2086" s="11">
        <v>43387</v>
      </c>
      <c r="H2086" s="12">
        <f>(PrincipalesVariables[[#This Row],[Base monetaria]]-C2085)/C2085</f>
        <v>4.4555458043610344E-3</v>
      </c>
      <c r="I2086" s="12">
        <f>(PrincipalesVariables[[#This Row],[Dólar  mayorista]]-E2085)/E2085</f>
        <v>8.3171610756864814E-4</v>
      </c>
      <c r="J2086" s="12">
        <f>(PrincipalesVariables[[#This Row],[Reservas internacionales]]-F2085)/F2085</f>
        <v>-1.0591025257292842E-3</v>
      </c>
    </row>
    <row r="2087" spans="1:10" ht="15.75" thickBot="1" x14ac:dyDescent="0.3">
      <c r="A2087" s="14">
        <v>44042</v>
      </c>
      <c r="B2087" s="15">
        <v>44042</v>
      </c>
      <c r="C2087" s="16">
        <v>2386046</v>
      </c>
      <c r="D2087" s="10">
        <f>PrincipalesVariables[[#This Row],[Base monetaria]]/1000000</f>
        <v>2.3860459999999999</v>
      </c>
      <c r="E2087" s="10">
        <v>72.260000000000005</v>
      </c>
      <c r="F2087" s="11">
        <v>43340</v>
      </c>
      <c r="H2087" s="12">
        <f>(PrincipalesVariables[[#This Row],[Base monetaria]]-C2086)/C2086</f>
        <v>4.1320330318246848E-2</v>
      </c>
      <c r="I2087" s="12">
        <f>(PrincipalesVariables[[#This Row],[Dólar  mayorista]]-E2086)/E2086</f>
        <v>8.3102493074795395E-4</v>
      </c>
      <c r="J2087" s="12">
        <f>(PrincipalesVariables[[#This Row],[Reservas internacionales]]-F2086)/F2086</f>
        <v>-1.0832737916887547E-3</v>
      </c>
    </row>
    <row r="2088" spans="1:10" ht="15.75" thickBot="1" x14ac:dyDescent="0.3">
      <c r="A2088" s="14">
        <v>44043</v>
      </c>
      <c r="B2088" s="15">
        <v>44043</v>
      </c>
      <c r="C2088" s="16">
        <v>2428900</v>
      </c>
      <c r="D2088" s="10">
        <f>PrincipalesVariables[[#This Row],[Base monetaria]]/1000000</f>
        <v>2.4289000000000001</v>
      </c>
      <c r="E2088" s="10">
        <v>72.319999999999993</v>
      </c>
      <c r="F2088" s="11">
        <v>43386</v>
      </c>
      <c r="H2088" s="12">
        <f>(PrincipalesVariables[[#This Row],[Base monetaria]]-C2087)/C2087</f>
        <v>1.7960257262433332E-2</v>
      </c>
      <c r="I2088" s="12">
        <f>(PrincipalesVariables[[#This Row],[Dólar  mayorista]]-E2087)/E2087</f>
        <v>8.3033490174353808E-4</v>
      </c>
      <c r="J2088" s="12">
        <f>(PrincipalesVariables[[#This Row],[Reservas internacionales]]-F2087)/F2087</f>
        <v>1.0613751730503E-3</v>
      </c>
    </row>
    <row r="2089" spans="1:10" ht="15.75" thickBot="1" x14ac:dyDescent="0.3">
      <c r="A2089" s="14">
        <v>44046</v>
      </c>
      <c r="B2089" s="15">
        <v>44046</v>
      </c>
      <c r="C2089" s="16">
        <v>2506974</v>
      </c>
      <c r="D2089" s="10">
        <f>PrincipalesVariables[[#This Row],[Base monetaria]]/1000000</f>
        <v>2.506974</v>
      </c>
      <c r="E2089" s="10">
        <v>72.52</v>
      </c>
      <c r="F2089" s="11">
        <v>43348</v>
      </c>
      <c r="H2089" s="12">
        <f>(PrincipalesVariables[[#This Row],[Base monetaria]]-C2088)/C2088</f>
        <v>3.2143768784223314E-2</v>
      </c>
      <c r="I2089" s="12">
        <f>(PrincipalesVariables[[#This Row],[Dólar  mayorista]]-E2088)/E2088</f>
        <v>2.7654867256637562E-3</v>
      </c>
      <c r="J2089" s="12">
        <f>(PrincipalesVariables[[#This Row],[Reservas internacionales]]-F2088)/F2088</f>
        <v>-8.7585857188954958E-4</v>
      </c>
    </row>
    <row r="2090" spans="1:10" ht="15.75" thickBot="1" x14ac:dyDescent="0.3">
      <c r="A2090" s="14">
        <v>44047</v>
      </c>
      <c r="B2090" s="15">
        <v>44047</v>
      </c>
      <c r="C2090" s="16">
        <v>2497358</v>
      </c>
      <c r="D2090" s="10">
        <f>PrincipalesVariables[[#This Row],[Base monetaria]]/1000000</f>
        <v>2.4973580000000002</v>
      </c>
      <c r="E2090" s="10">
        <v>72.569999999999993</v>
      </c>
      <c r="F2090" s="11">
        <v>43409</v>
      </c>
      <c r="H2090" s="12">
        <f>(PrincipalesVariables[[#This Row],[Base monetaria]]-C2089)/C2089</f>
        <v>-3.8356999314711681E-3</v>
      </c>
      <c r="I2090" s="12">
        <f>(PrincipalesVariables[[#This Row],[Dólar  mayorista]]-E2089)/E2089</f>
        <v>6.8946497517922175E-4</v>
      </c>
      <c r="J2090" s="12">
        <f>(PrincipalesVariables[[#This Row],[Reservas internacionales]]-F2089)/F2089</f>
        <v>1.4072160191935038E-3</v>
      </c>
    </row>
    <row r="2091" spans="1:10" ht="15.75" thickBot="1" x14ac:dyDescent="0.3">
      <c r="A2091" s="14">
        <v>44048</v>
      </c>
      <c r="B2091" s="15">
        <v>44048</v>
      </c>
      <c r="C2091" s="16">
        <v>2454570</v>
      </c>
      <c r="D2091" s="10">
        <f>PrincipalesVariables[[#This Row],[Base monetaria]]/1000000</f>
        <v>2.4545699999999999</v>
      </c>
      <c r="E2091" s="10">
        <v>72.62</v>
      </c>
      <c r="F2091" s="11">
        <v>43374</v>
      </c>
      <c r="H2091" s="12">
        <f>(PrincipalesVariables[[#This Row],[Base monetaria]]-C2090)/C2090</f>
        <v>-1.7133306478286252E-2</v>
      </c>
      <c r="I2091" s="12">
        <f>(PrincipalesVariables[[#This Row],[Dólar  mayorista]]-E2090)/E2090</f>
        <v>6.8898994074702183E-4</v>
      </c>
      <c r="J2091" s="12">
        <f>(PrincipalesVariables[[#This Row],[Reservas internacionales]]-F2090)/F2090</f>
        <v>-8.0628441106682944E-4</v>
      </c>
    </row>
    <row r="2092" spans="1:10" ht="15.75" thickBot="1" x14ac:dyDescent="0.3">
      <c r="A2092" s="14">
        <v>44049</v>
      </c>
      <c r="B2092" s="15">
        <v>44049</v>
      </c>
      <c r="C2092" s="16">
        <v>2400520</v>
      </c>
      <c r="D2092" s="10">
        <f>PrincipalesVariables[[#This Row],[Base monetaria]]/1000000</f>
        <v>2.4005200000000002</v>
      </c>
      <c r="E2092" s="10">
        <v>72.7</v>
      </c>
      <c r="F2092" s="11">
        <v>43344</v>
      </c>
      <c r="H2092" s="12">
        <f>(PrincipalesVariables[[#This Row],[Base monetaria]]-C2091)/C2091</f>
        <v>-2.2020150168868682E-2</v>
      </c>
      <c r="I2092" s="12">
        <f>(PrincipalesVariables[[#This Row],[Dólar  mayorista]]-E2091)/E2091</f>
        <v>1.1016248967226424E-3</v>
      </c>
      <c r="J2092" s="12">
        <f>(PrincipalesVariables[[#This Row],[Reservas internacionales]]-F2091)/F2091</f>
        <v>-6.9165859731636461E-4</v>
      </c>
    </row>
    <row r="2093" spans="1:10" ht="15.75" thickBot="1" x14ac:dyDescent="0.3">
      <c r="A2093" s="14">
        <v>44050</v>
      </c>
      <c r="B2093" s="15">
        <v>44050</v>
      </c>
      <c r="C2093" s="16">
        <v>2344231</v>
      </c>
      <c r="D2093" s="10">
        <f>PrincipalesVariables[[#This Row],[Base monetaria]]/1000000</f>
        <v>2.3442310000000002</v>
      </c>
      <c r="E2093" s="10">
        <v>72.77</v>
      </c>
      <c r="F2093" s="11">
        <v>43303</v>
      </c>
      <c r="H2093" s="12">
        <f>(PrincipalesVariables[[#This Row],[Base monetaria]]-C2092)/C2092</f>
        <v>-2.3448669454951426E-2</v>
      </c>
      <c r="I2093" s="12">
        <f>(PrincipalesVariables[[#This Row],[Dólar  mayorista]]-E2092)/E2092</f>
        <v>9.6286107290224454E-4</v>
      </c>
      <c r="J2093" s="12">
        <f>(PrincipalesVariables[[#This Row],[Reservas internacionales]]-F2092)/F2092</f>
        <v>-9.4592100406053897E-4</v>
      </c>
    </row>
    <row r="2094" spans="1:10" ht="15.75" thickBot="1" x14ac:dyDescent="0.3">
      <c r="A2094" s="14">
        <v>44053</v>
      </c>
      <c r="B2094" s="15">
        <v>44053</v>
      </c>
      <c r="C2094" s="16">
        <v>2389351</v>
      </c>
      <c r="D2094" s="10">
        <f>PrincipalesVariables[[#This Row],[Base monetaria]]/1000000</f>
        <v>2.389351</v>
      </c>
      <c r="E2094" s="10">
        <v>72.95</v>
      </c>
      <c r="F2094" s="11">
        <v>43332</v>
      </c>
      <c r="H2094" s="12">
        <f>(PrincipalesVariables[[#This Row],[Base monetaria]]-C2093)/C2093</f>
        <v>1.9247249951050045E-2</v>
      </c>
      <c r="I2094" s="12">
        <f>(PrincipalesVariables[[#This Row],[Dólar  mayorista]]-E2093)/E2093</f>
        <v>2.4735467912602284E-3</v>
      </c>
      <c r="J2094" s="12">
        <f>(PrincipalesVariables[[#This Row],[Reservas internacionales]]-F2093)/F2093</f>
        <v>6.6969955892201463E-4</v>
      </c>
    </row>
    <row r="2095" spans="1:10" ht="15.75" thickBot="1" x14ac:dyDescent="0.3">
      <c r="A2095" s="14">
        <v>44054</v>
      </c>
      <c r="B2095" s="15">
        <v>44054</v>
      </c>
      <c r="C2095" s="16">
        <v>2348870</v>
      </c>
      <c r="D2095" s="10">
        <f>PrincipalesVariables[[#This Row],[Base monetaria]]/1000000</f>
        <v>2.3488699999999998</v>
      </c>
      <c r="E2095" s="10">
        <v>73</v>
      </c>
      <c r="F2095" s="11">
        <v>43302</v>
      </c>
      <c r="H2095" s="12">
        <f>(PrincipalesVariables[[#This Row],[Base monetaria]]-C2094)/C2094</f>
        <v>-1.6942257541901547E-2</v>
      </c>
      <c r="I2095" s="12">
        <f>(PrincipalesVariables[[#This Row],[Dólar  mayorista]]-E2094)/E2094</f>
        <v>6.854009595613044E-4</v>
      </c>
      <c r="J2095" s="12">
        <f>(PrincipalesVariables[[#This Row],[Reservas internacionales]]-F2094)/F2094</f>
        <v>-6.9232899473829963E-4</v>
      </c>
    </row>
    <row r="2096" spans="1:10" ht="15.75" thickBot="1" x14ac:dyDescent="0.3">
      <c r="A2096" s="14">
        <v>44055</v>
      </c>
      <c r="B2096" s="15">
        <v>44055</v>
      </c>
      <c r="C2096" s="16">
        <v>2365960</v>
      </c>
      <c r="D2096" s="10">
        <f>PrincipalesVariables[[#This Row],[Base monetaria]]/1000000</f>
        <v>2.3659599999999998</v>
      </c>
      <c r="E2096" s="10">
        <v>73.05</v>
      </c>
      <c r="F2096" s="11">
        <v>43253</v>
      </c>
      <c r="H2096" s="12">
        <f>(PrincipalesVariables[[#This Row],[Base monetaria]]-C2095)/C2095</f>
        <v>7.27583902046516E-3</v>
      </c>
      <c r="I2096" s="12">
        <f>(PrincipalesVariables[[#This Row],[Dólar  mayorista]]-E2095)/E2095</f>
        <v>6.8493150684927615E-4</v>
      </c>
      <c r="J2096" s="12">
        <f>(PrincipalesVariables[[#This Row],[Reservas internacionales]]-F2095)/F2095</f>
        <v>-1.1315874555447786E-3</v>
      </c>
    </row>
    <row r="2097" spans="1:10" ht="15.75" thickBot="1" x14ac:dyDescent="0.3">
      <c r="A2097" s="14">
        <v>44056</v>
      </c>
      <c r="B2097" s="15">
        <v>44056</v>
      </c>
      <c r="C2097" s="16">
        <v>2304144</v>
      </c>
      <c r="D2097" s="10">
        <f>PrincipalesVariables[[#This Row],[Base monetaria]]/1000000</f>
        <v>2.304144</v>
      </c>
      <c r="E2097" s="10">
        <v>73.11</v>
      </c>
      <c r="F2097" s="11">
        <v>43207</v>
      </c>
      <c r="H2097" s="12">
        <f>(PrincipalesVariables[[#This Row],[Base monetaria]]-C2096)/C2096</f>
        <v>-2.6127237992189217E-2</v>
      </c>
      <c r="I2097" s="12">
        <f>(PrincipalesVariables[[#This Row],[Dólar  mayorista]]-E2096)/E2096</f>
        <v>8.2135523613966149E-4</v>
      </c>
      <c r="J2097" s="12">
        <f>(PrincipalesVariables[[#This Row],[Reservas internacionales]]-F2096)/F2096</f>
        <v>-1.0635100455459736E-3</v>
      </c>
    </row>
    <row r="2098" spans="1:10" ht="15.75" thickBot="1" x14ac:dyDescent="0.3">
      <c r="A2098" s="14">
        <v>44057</v>
      </c>
      <c r="B2098" s="15">
        <v>44057</v>
      </c>
      <c r="C2098" s="16">
        <v>2271473</v>
      </c>
      <c r="D2098" s="10">
        <f>PrincipalesVariables[[#This Row],[Base monetaria]]/1000000</f>
        <v>2.2714729999999999</v>
      </c>
      <c r="E2098" s="10">
        <v>73.16</v>
      </c>
      <c r="F2098" s="11">
        <v>43122</v>
      </c>
      <c r="H2098" s="12">
        <f>(PrincipalesVariables[[#This Row],[Base monetaria]]-C2097)/C2097</f>
        <v>-1.417923532556993E-2</v>
      </c>
      <c r="I2098" s="12">
        <f>(PrincipalesVariables[[#This Row],[Dólar  mayorista]]-E2097)/E2097</f>
        <v>6.8390097113934015E-4</v>
      </c>
      <c r="J2098" s="12">
        <f>(PrincipalesVariables[[#This Row],[Reservas internacionales]]-F2097)/F2097</f>
        <v>-1.967273821371537E-3</v>
      </c>
    </row>
    <row r="2099" spans="1:10" ht="15.75" thickBot="1" x14ac:dyDescent="0.3">
      <c r="A2099" s="14">
        <v>44061</v>
      </c>
      <c r="B2099" s="15">
        <v>44061</v>
      </c>
      <c r="C2099" s="16">
        <v>2284875</v>
      </c>
      <c r="D2099" s="10">
        <f>PrincipalesVariables[[#This Row],[Base monetaria]]/1000000</f>
        <v>2.284875</v>
      </c>
      <c r="E2099" s="10">
        <v>73.400000000000006</v>
      </c>
      <c r="F2099" s="11">
        <v>43160</v>
      </c>
      <c r="H2099" s="12">
        <f>(PrincipalesVariables[[#This Row],[Base monetaria]]-C2098)/C2098</f>
        <v>5.900136167147926E-3</v>
      </c>
      <c r="I2099" s="12">
        <f>(PrincipalesVariables[[#This Row],[Dólar  mayorista]]-E2098)/E2098</f>
        <v>3.2804811372335852E-3</v>
      </c>
      <c r="J2099" s="12">
        <f>(PrincipalesVariables[[#This Row],[Reservas internacionales]]-F2098)/F2098</f>
        <v>8.8122072260099255E-4</v>
      </c>
    </row>
    <row r="2100" spans="1:10" ht="15.75" thickBot="1" x14ac:dyDescent="0.3">
      <c r="A2100" s="14">
        <v>44062</v>
      </c>
      <c r="B2100" s="15">
        <v>44062</v>
      </c>
      <c r="C2100" s="16">
        <v>2269508</v>
      </c>
      <c r="D2100" s="10">
        <f>PrincipalesVariables[[#This Row],[Base monetaria]]/1000000</f>
        <v>2.2695080000000001</v>
      </c>
      <c r="E2100" s="10">
        <v>73.48</v>
      </c>
      <c r="F2100" s="11">
        <v>43115</v>
      </c>
      <c r="H2100" s="12">
        <f>(PrincipalesVariables[[#This Row],[Base monetaria]]-C2099)/C2099</f>
        <v>-6.7255320312927403E-3</v>
      </c>
      <c r="I2100" s="12">
        <f>(PrincipalesVariables[[#This Row],[Dólar  mayorista]]-E2099)/E2099</f>
        <v>1.0899182561307668E-3</v>
      </c>
      <c r="J2100" s="12">
        <f>(PrincipalesVariables[[#This Row],[Reservas internacionales]]-F2099)/F2099</f>
        <v>-1.0426320667284523E-3</v>
      </c>
    </row>
    <row r="2101" spans="1:10" ht="15.75" thickBot="1" x14ac:dyDescent="0.3">
      <c r="A2101" s="14">
        <v>44063</v>
      </c>
      <c r="B2101" s="15">
        <v>44063</v>
      </c>
      <c r="C2101" s="16">
        <v>2280254</v>
      </c>
      <c r="D2101" s="10">
        <f>PrincipalesVariables[[#This Row],[Base monetaria]]/1000000</f>
        <v>2.2802539999999998</v>
      </c>
      <c r="E2101" s="10">
        <v>73.53</v>
      </c>
      <c r="F2101" s="11">
        <v>43092</v>
      </c>
      <c r="H2101" s="12">
        <f>(PrincipalesVariables[[#This Row],[Base monetaria]]-C2100)/C2100</f>
        <v>4.7349469576665956E-3</v>
      </c>
      <c r="I2101" s="12">
        <f>(PrincipalesVariables[[#This Row],[Dólar  mayorista]]-E2100)/E2100</f>
        <v>6.8045726728357589E-4</v>
      </c>
      <c r="J2101" s="12">
        <f>(PrincipalesVariables[[#This Row],[Reservas internacionales]]-F2100)/F2100</f>
        <v>-5.33457033515018E-4</v>
      </c>
    </row>
    <row r="2102" spans="1:10" ht="15.75" thickBot="1" x14ac:dyDescent="0.3">
      <c r="A2102" s="14">
        <v>44064</v>
      </c>
      <c r="B2102" s="15">
        <v>44064</v>
      </c>
      <c r="C2102" s="16">
        <v>2259074</v>
      </c>
      <c r="D2102" s="10">
        <f>PrincipalesVariables[[#This Row],[Base monetaria]]/1000000</f>
        <v>2.259074</v>
      </c>
      <c r="E2102" s="10">
        <v>73.58</v>
      </c>
      <c r="F2102" s="11">
        <v>43048</v>
      </c>
      <c r="H2102" s="12">
        <f>(PrincipalesVariables[[#This Row],[Base monetaria]]-C2101)/C2101</f>
        <v>-9.2884389195238767E-3</v>
      </c>
      <c r="I2102" s="12">
        <f>(PrincipalesVariables[[#This Row],[Dólar  mayorista]]-E2101)/E2101</f>
        <v>6.7999456004348095E-4</v>
      </c>
      <c r="J2102" s="12">
        <f>(PrincipalesVariables[[#This Row],[Reservas internacionales]]-F2101)/F2101</f>
        <v>-1.0210711965097929E-3</v>
      </c>
    </row>
    <row r="2103" spans="1:10" ht="15.75" thickBot="1" x14ac:dyDescent="0.3">
      <c r="A2103" s="14">
        <v>44067</v>
      </c>
      <c r="B2103" s="15">
        <v>44067</v>
      </c>
      <c r="C2103" s="16">
        <v>2264148</v>
      </c>
      <c r="D2103" s="10">
        <f>PrincipalesVariables[[#This Row],[Base monetaria]]/1000000</f>
        <v>2.264148</v>
      </c>
      <c r="E2103" s="10">
        <v>73.73</v>
      </c>
      <c r="F2103" s="11">
        <v>43047</v>
      </c>
      <c r="H2103" s="12">
        <f>(PrincipalesVariables[[#This Row],[Base monetaria]]-C2102)/C2102</f>
        <v>2.2460530288073784E-3</v>
      </c>
      <c r="I2103" s="12">
        <f>(PrincipalesVariables[[#This Row],[Dólar  mayorista]]-E2102)/E2102</f>
        <v>2.0385974449579464E-3</v>
      </c>
      <c r="J2103" s="12">
        <f>(PrincipalesVariables[[#This Row],[Reservas internacionales]]-F2102)/F2102</f>
        <v>-2.3229882921390077E-5</v>
      </c>
    </row>
    <row r="2104" spans="1:10" ht="15.75" thickBot="1" x14ac:dyDescent="0.3">
      <c r="A2104" s="14">
        <v>44068</v>
      </c>
      <c r="B2104" s="15">
        <v>44068</v>
      </c>
      <c r="C2104" s="16">
        <v>2278112</v>
      </c>
      <c r="D2104" s="10">
        <f>PrincipalesVariables[[#This Row],[Base monetaria]]/1000000</f>
        <v>2.2781120000000001</v>
      </c>
      <c r="E2104" s="10">
        <v>73.81</v>
      </c>
      <c r="F2104" s="11">
        <v>42983</v>
      </c>
      <c r="H2104" s="12">
        <f>(PrincipalesVariables[[#This Row],[Base monetaria]]-C2103)/C2103</f>
        <v>6.1674413510070898E-3</v>
      </c>
      <c r="I2104" s="12">
        <f>(PrincipalesVariables[[#This Row],[Dólar  mayorista]]-E2103)/E2103</f>
        <v>1.085040010850377E-3</v>
      </c>
      <c r="J2104" s="12">
        <f>(PrincipalesVariables[[#This Row],[Reservas internacionales]]-F2103)/F2103</f>
        <v>-1.486747043928729E-3</v>
      </c>
    </row>
    <row r="2105" spans="1:10" ht="15.75" thickBot="1" x14ac:dyDescent="0.3">
      <c r="A2105" s="14">
        <v>44069</v>
      </c>
      <c r="B2105" s="15">
        <v>44069</v>
      </c>
      <c r="C2105" s="16">
        <v>2266143</v>
      </c>
      <c r="D2105" s="10">
        <f>PrincipalesVariables[[#This Row],[Base monetaria]]/1000000</f>
        <v>2.266143</v>
      </c>
      <c r="E2105" s="10">
        <v>73.86</v>
      </c>
      <c r="F2105" s="11">
        <v>42962</v>
      </c>
      <c r="H2105" s="12">
        <f>(PrincipalesVariables[[#This Row],[Base monetaria]]-C2104)/C2104</f>
        <v>-5.2539120113497496E-3</v>
      </c>
      <c r="I2105" s="12">
        <f>(PrincipalesVariables[[#This Row],[Dólar  mayorista]]-E2104)/E2104</f>
        <v>6.7741498441941685E-4</v>
      </c>
      <c r="J2105" s="12">
        <f>(PrincipalesVariables[[#This Row],[Reservas internacionales]]-F2104)/F2104</f>
        <v>-4.8856524672544958E-4</v>
      </c>
    </row>
    <row r="2106" spans="1:10" ht="15.75" thickBot="1" x14ac:dyDescent="0.3">
      <c r="A2106" s="14">
        <v>44070</v>
      </c>
      <c r="B2106" s="15">
        <v>44070</v>
      </c>
      <c r="C2106" s="16">
        <v>2280186</v>
      </c>
      <c r="D2106" s="10">
        <f>PrincipalesVariables[[#This Row],[Base monetaria]]/1000000</f>
        <v>2.280186</v>
      </c>
      <c r="E2106" s="10">
        <v>73.94</v>
      </c>
      <c r="F2106" s="11">
        <v>42896</v>
      </c>
      <c r="H2106" s="12">
        <f>(PrincipalesVariables[[#This Row],[Base monetaria]]-C2105)/C2105</f>
        <v>6.1968728363567521E-3</v>
      </c>
      <c r="I2106" s="12">
        <f>(PrincipalesVariables[[#This Row],[Dólar  mayorista]]-E2105)/E2105</f>
        <v>1.083130246412108E-3</v>
      </c>
      <c r="J2106" s="12">
        <f>(PrincipalesVariables[[#This Row],[Reservas internacionales]]-F2105)/F2105</f>
        <v>-1.5362413295470416E-3</v>
      </c>
    </row>
    <row r="2107" spans="1:10" ht="15.75" thickBot="1" x14ac:dyDescent="0.3">
      <c r="A2107" s="14">
        <v>44071</v>
      </c>
      <c r="B2107" s="15">
        <v>44071</v>
      </c>
      <c r="C2107" s="16">
        <v>2324757</v>
      </c>
      <c r="D2107" s="10">
        <f>PrincipalesVariables[[#This Row],[Base monetaria]]/1000000</f>
        <v>2.324757</v>
      </c>
      <c r="E2107" s="10">
        <v>74</v>
      </c>
      <c r="F2107" s="11">
        <v>42914</v>
      </c>
      <c r="H2107" s="12">
        <f>(PrincipalesVariables[[#This Row],[Base monetaria]]-C2106)/C2106</f>
        <v>1.9547089579534303E-2</v>
      </c>
      <c r="I2107" s="12">
        <f>(PrincipalesVariables[[#This Row],[Dólar  mayorista]]-E2106)/E2106</f>
        <v>8.1146875845283036E-4</v>
      </c>
      <c r="J2107" s="12">
        <f>(PrincipalesVariables[[#This Row],[Reservas internacionales]]-F2106)/F2106</f>
        <v>4.1961954494591569E-4</v>
      </c>
    </row>
    <row r="2108" spans="1:10" ht="15.75" thickBot="1" x14ac:dyDescent="0.3">
      <c r="A2108" s="14">
        <v>44074</v>
      </c>
      <c r="B2108" s="15">
        <v>44074</v>
      </c>
      <c r="C2108" s="16">
        <v>2287225</v>
      </c>
      <c r="D2108" s="10">
        <f>PrincipalesVariables[[#This Row],[Base monetaria]]/1000000</f>
        <v>2.2872249999999998</v>
      </c>
      <c r="E2108" s="10">
        <v>74.180000000000007</v>
      </c>
      <c r="F2108" s="11">
        <v>42842</v>
      </c>
      <c r="H2108" s="12">
        <f>(PrincipalesVariables[[#This Row],[Base monetaria]]-C2107)/C2107</f>
        <v>-1.6144483057799159E-2</v>
      </c>
      <c r="I2108" s="12">
        <f>(PrincipalesVariables[[#This Row],[Dólar  mayorista]]-E2107)/E2107</f>
        <v>2.4324324324325247E-3</v>
      </c>
      <c r="J2108" s="12">
        <f>(PrincipalesVariables[[#This Row],[Reservas internacionales]]-F2107)/F2107</f>
        <v>-1.6777741529570768E-3</v>
      </c>
    </row>
    <row r="2109" spans="1:10" ht="15.75" thickBot="1" x14ac:dyDescent="0.3">
      <c r="A2109" s="14">
        <v>44075</v>
      </c>
      <c r="B2109" s="15">
        <v>44075</v>
      </c>
      <c r="C2109" s="16">
        <v>2359206</v>
      </c>
      <c r="D2109" s="10">
        <f>PrincipalesVariables[[#This Row],[Base monetaria]]/1000000</f>
        <v>2.3592059999999999</v>
      </c>
      <c r="E2109" s="10">
        <v>74.25</v>
      </c>
      <c r="F2109" s="11">
        <v>42700</v>
      </c>
      <c r="H2109" s="12">
        <f>(PrincipalesVariables[[#This Row],[Base monetaria]]-C2108)/C2108</f>
        <v>3.147088721048432E-2</v>
      </c>
      <c r="I2109" s="12">
        <f>(PrincipalesVariables[[#This Row],[Dólar  mayorista]]-E2108)/E2108</f>
        <v>9.436505796709783E-4</v>
      </c>
      <c r="J2109" s="12">
        <f>(PrincipalesVariables[[#This Row],[Reservas internacionales]]-F2108)/F2108</f>
        <v>-3.3145044582419121E-3</v>
      </c>
    </row>
    <row r="2110" spans="1:10" ht="15.75" thickBot="1" x14ac:dyDescent="0.3">
      <c r="A2110" s="14">
        <v>44076</v>
      </c>
      <c r="B2110" s="15">
        <v>44076</v>
      </c>
      <c r="C2110" s="16">
        <v>2411436</v>
      </c>
      <c r="D2110" s="10">
        <f>PrincipalesVariables[[#This Row],[Base monetaria]]/1000000</f>
        <v>2.4114360000000001</v>
      </c>
      <c r="E2110" s="10">
        <v>74.319999999999993</v>
      </c>
      <c r="F2110" s="11">
        <v>42640</v>
      </c>
      <c r="H2110" s="12">
        <f>(PrincipalesVariables[[#This Row],[Base monetaria]]-C2109)/C2109</f>
        <v>2.2138804326540369E-2</v>
      </c>
      <c r="I2110" s="12">
        <f>(PrincipalesVariables[[#This Row],[Dólar  mayorista]]-E2109)/E2109</f>
        <v>9.4276094276085089E-4</v>
      </c>
      <c r="J2110" s="12">
        <f>(PrincipalesVariables[[#This Row],[Reservas internacionales]]-F2109)/F2109</f>
        <v>-1.405152224824356E-3</v>
      </c>
    </row>
    <row r="2111" spans="1:10" ht="15.75" thickBot="1" x14ac:dyDescent="0.3">
      <c r="A2111" s="14">
        <v>44077</v>
      </c>
      <c r="B2111" s="15">
        <v>44077</v>
      </c>
      <c r="C2111" s="16">
        <v>2384708</v>
      </c>
      <c r="D2111" s="10">
        <f>PrincipalesVariables[[#This Row],[Base monetaria]]/1000000</f>
        <v>2.3847079999999998</v>
      </c>
      <c r="E2111" s="10">
        <v>74.38</v>
      </c>
      <c r="F2111" s="11">
        <v>42613</v>
      </c>
      <c r="H2111" s="12">
        <f>(PrincipalesVariables[[#This Row],[Base monetaria]]-C2110)/C2110</f>
        <v>-1.1083852111356055E-2</v>
      </c>
      <c r="I2111" s="12">
        <f>(PrincipalesVariables[[#This Row],[Dólar  mayorista]]-E2110)/E2110</f>
        <v>8.0731969860067657E-4</v>
      </c>
      <c r="J2111" s="12">
        <f>(PrincipalesVariables[[#This Row],[Reservas internacionales]]-F2110)/F2110</f>
        <v>-6.3320825515947473E-4</v>
      </c>
    </row>
    <row r="2112" spans="1:10" ht="15.75" thickBot="1" x14ac:dyDescent="0.3">
      <c r="A2112" s="14">
        <v>44078</v>
      </c>
      <c r="B2112" s="15">
        <v>44078</v>
      </c>
      <c r="C2112" s="16">
        <v>2384669</v>
      </c>
      <c r="D2112" s="10">
        <f>PrincipalesVariables[[#This Row],[Base monetaria]]/1000000</f>
        <v>2.3846690000000001</v>
      </c>
      <c r="E2112" s="10">
        <v>74.44</v>
      </c>
      <c r="F2112" s="11">
        <v>42617</v>
      </c>
      <c r="H2112" s="12">
        <f>(PrincipalesVariables[[#This Row],[Base monetaria]]-C2111)/C2111</f>
        <v>-1.6354203533514376E-5</v>
      </c>
      <c r="I2112" s="12">
        <f>(PrincipalesVariables[[#This Row],[Dólar  mayorista]]-E2111)/E2111</f>
        <v>8.0666845926327343E-4</v>
      </c>
      <c r="J2112" s="12">
        <f>(PrincipalesVariables[[#This Row],[Reservas internacionales]]-F2111)/F2111</f>
        <v>9.3868068429821884E-5</v>
      </c>
    </row>
    <row r="2113" spans="1:10" ht="15.75" thickBot="1" x14ac:dyDescent="0.3">
      <c r="A2113" s="14">
        <v>44081</v>
      </c>
      <c r="B2113" s="15">
        <v>44081</v>
      </c>
      <c r="C2113" s="16">
        <v>2310407</v>
      </c>
      <c r="D2113" s="10">
        <f>PrincipalesVariables[[#This Row],[Base monetaria]]/1000000</f>
        <v>2.3104070000000001</v>
      </c>
      <c r="E2113" s="10">
        <v>74.650000000000006</v>
      </c>
      <c r="F2113" s="11">
        <v>42643</v>
      </c>
      <c r="H2113" s="12">
        <f>(PrincipalesVariables[[#This Row],[Base monetaria]]-C2112)/C2112</f>
        <v>-3.1141428852389998E-2</v>
      </c>
      <c r="I2113" s="12">
        <f>(PrincipalesVariables[[#This Row],[Dólar  mayorista]]-E2112)/E2112</f>
        <v>2.8210639441161737E-3</v>
      </c>
      <c r="J2113" s="12">
        <f>(PrincipalesVariables[[#This Row],[Reservas internacionales]]-F2112)/F2112</f>
        <v>6.100851772766736E-4</v>
      </c>
    </row>
    <row r="2114" spans="1:10" ht="15.75" thickBot="1" x14ac:dyDescent="0.3">
      <c r="A2114" s="14">
        <v>44082</v>
      </c>
      <c r="B2114" s="15">
        <v>44082</v>
      </c>
      <c r="C2114" s="16">
        <v>2301723</v>
      </c>
      <c r="D2114" s="10">
        <f>PrincipalesVariables[[#This Row],[Base monetaria]]/1000000</f>
        <v>2.301723</v>
      </c>
      <c r="E2114" s="10">
        <v>74.709999999999994</v>
      </c>
      <c r="F2114" s="11">
        <v>42638</v>
      </c>
      <c r="H2114" s="12">
        <f>(PrincipalesVariables[[#This Row],[Base monetaria]]-C2113)/C2113</f>
        <v>-3.7586451218335126E-3</v>
      </c>
      <c r="I2114" s="12">
        <f>(PrincipalesVariables[[#This Row],[Dólar  mayorista]]-E2113)/E2113</f>
        <v>8.0375083724029553E-4</v>
      </c>
      <c r="J2114" s="12">
        <f>(PrincipalesVariables[[#This Row],[Reservas internacionales]]-F2113)/F2113</f>
        <v>-1.1725253851745891E-4</v>
      </c>
    </row>
    <row r="2115" spans="1:10" ht="15.75" thickBot="1" x14ac:dyDescent="0.3">
      <c r="A2115" s="14">
        <v>44083</v>
      </c>
      <c r="B2115" s="15">
        <v>44083</v>
      </c>
      <c r="C2115" s="16">
        <v>2286756</v>
      </c>
      <c r="D2115" s="10">
        <f>PrincipalesVariables[[#This Row],[Base monetaria]]/1000000</f>
        <v>2.286756</v>
      </c>
      <c r="E2115" s="10">
        <v>74.77</v>
      </c>
      <c r="F2115" s="11">
        <v>42570</v>
      </c>
      <c r="H2115" s="12">
        <f>(PrincipalesVariables[[#This Row],[Base monetaria]]-C2114)/C2114</f>
        <v>-6.5025200686616071E-3</v>
      </c>
      <c r="I2115" s="12">
        <f>(PrincipalesVariables[[#This Row],[Dólar  mayorista]]-E2114)/E2114</f>
        <v>8.0310534065054578E-4</v>
      </c>
      <c r="J2115" s="12">
        <f>(PrincipalesVariables[[#This Row],[Reservas internacionales]]-F2114)/F2114</f>
        <v>-1.5948215207092266E-3</v>
      </c>
    </row>
    <row r="2116" spans="1:10" ht="15.75" thickBot="1" x14ac:dyDescent="0.3">
      <c r="A2116" s="14">
        <v>44084</v>
      </c>
      <c r="B2116" s="15">
        <v>44084</v>
      </c>
      <c r="C2116" s="16">
        <v>2276743</v>
      </c>
      <c r="D2116" s="10">
        <f>PrincipalesVariables[[#This Row],[Base monetaria]]/1000000</f>
        <v>2.2767430000000002</v>
      </c>
      <c r="E2116" s="10">
        <v>74.84</v>
      </c>
      <c r="F2116" s="11">
        <v>42549</v>
      </c>
      <c r="H2116" s="12">
        <f>(PrincipalesVariables[[#This Row],[Base monetaria]]-C2115)/C2115</f>
        <v>-4.3786919111614879E-3</v>
      </c>
      <c r="I2116" s="12">
        <f>(PrincipalesVariables[[#This Row],[Dólar  mayorista]]-E2115)/E2115</f>
        <v>9.3620436003754703E-4</v>
      </c>
      <c r="J2116" s="12">
        <f>(PrincipalesVariables[[#This Row],[Reservas internacionales]]-F2115)/F2115</f>
        <v>-4.9330514446793521E-4</v>
      </c>
    </row>
    <row r="2117" spans="1:10" ht="15.75" thickBot="1" x14ac:dyDescent="0.3">
      <c r="A2117" s="14">
        <v>44085</v>
      </c>
      <c r="B2117" s="15">
        <v>44085</v>
      </c>
      <c r="C2117" s="16">
        <v>2281287</v>
      </c>
      <c r="D2117" s="10">
        <f>PrincipalesVariables[[#This Row],[Base monetaria]]/1000000</f>
        <v>2.2812869999999998</v>
      </c>
      <c r="E2117" s="10">
        <v>74.91</v>
      </c>
      <c r="F2117" s="11">
        <v>42452</v>
      </c>
      <c r="H2117" s="12">
        <f>(PrincipalesVariables[[#This Row],[Base monetaria]]-C2116)/C2116</f>
        <v>1.9958335218336017E-3</v>
      </c>
      <c r="I2117" s="12">
        <f>(PrincipalesVariables[[#This Row],[Dólar  mayorista]]-E2116)/E2116</f>
        <v>9.35328701229198E-4</v>
      </c>
      <c r="J2117" s="12">
        <f>(PrincipalesVariables[[#This Row],[Reservas internacionales]]-F2116)/F2116</f>
        <v>-2.2797245528684575E-3</v>
      </c>
    </row>
    <row r="2118" spans="1:10" ht="15.75" thickBot="1" x14ac:dyDescent="0.3">
      <c r="A2118" s="14">
        <v>44088</v>
      </c>
      <c r="B2118" s="15">
        <v>44088</v>
      </c>
      <c r="C2118" s="16">
        <v>2336090</v>
      </c>
      <c r="D2118" s="10">
        <f>PrincipalesVariables[[#This Row],[Base monetaria]]/1000000</f>
        <v>2.33609</v>
      </c>
      <c r="E2118" s="10">
        <v>75.12</v>
      </c>
      <c r="F2118" s="11">
        <v>42501</v>
      </c>
      <c r="H2118" s="12">
        <f>(PrincipalesVariables[[#This Row],[Base monetaria]]-C2117)/C2117</f>
        <v>2.4022843245939684E-2</v>
      </c>
      <c r="I2118" s="12">
        <f>(PrincipalesVariables[[#This Row],[Dólar  mayorista]]-E2117)/E2117</f>
        <v>2.8033640368443193E-3</v>
      </c>
      <c r="J2118" s="12">
        <f>(PrincipalesVariables[[#This Row],[Reservas internacionales]]-F2117)/F2117</f>
        <v>1.1542447941204183E-3</v>
      </c>
    </row>
    <row r="2119" spans="1:10" ht="15.75" thickBot="1" x14ac:dyDescent="0.3">
      <c r="A2119" s="14">
        <v>44089</v>
      </c>
      <c r="B2119" s="15">
        <v>44089</v>
      </c>
      <c r="C2119" s="16">
        <v>2287039</v>
      </c>
      <c r="D2119" s="10">
        <f>PrincipalesVariables[[#This Row],[Base monetaria]]/1000000</f>
        <v>2.287039</v>
      </c>
      <c r="E2119" s="10">
        <v>75.19</v>
      </c>
      <c r="F2119" s="11">
        <v>42495</v>
      </c>
      <c r="H2119" s="12">
        <f>(PrincipalesVariables[[#This Row],[Base monetaria]]-C2118)/C2118</f>
        <v>-2.0997050627330281E-2</v>
      </c>
      <c r="I2119" s="12">
        <f>(PrincipalesVariables[[#This Row],[Dólar  mayorista]]-E2118)/E2118</f>
        <v>9.318423855164161E-4</v>
      </c>
      <c r="J2119" s="12">
        <f>(PrincipalesVariables[[#This Row],[Reservas internacionales]]-F2118)/F2118</f>
        <v>-1.4117314886708549E-4</v>
      </c>
    </row>
    <row r="2120" spans="1:10" ht="15.75" thickBot="1" x14ac:dyDescent="0.3">
      <c r="A2120" s="14">
        <v>44090</v>
      </c>
      <c r="B2120" s="15">
        <v>44090</v>
      </c>
      <c r="C2120" s="16">
        <v>2288070</v>
      </c>
      <c r="D2120" s="10">
        <f>PrincipalesVariables[[#This Row],[Base monetaria]]/1000000</f>
        <v>2.2880699999999998</v>
      </c>
      <c r="E2120" s="10">
        <v>75.25</v>
      </c>
      <c r="F2120" s="11">
        <v>42521</v>
      </c>
      <c r="H2120" s="12">
        <f>(PrincipalesVariables[[#This Row],[Base monetaria]]-C2119)/C2119</f>
        <v>4.5080123251068304E-4</v>
      </c>
      <c r="I2120" s="12">
        <f>(PrincipalesVariables[[#This Row],[Dólar  mayorista]]-E2119)/E2119</f>
        <v>7.9797845458175654E-4</v>
      </c>
      <c r="J2120" s="12">
        <f>(PrincipalesVariables[[#This Row],[Reservas internacionales]]-F2119)/F2119</f>
        <v>6.1183668666901986E-4</v>
      </c>
    </row>
    <row r="2121" spans="1:10" ht="15.75" thickBot="1" x14ac:dyDescent="0.3">
      <c r="A2121" s="14">
        <v>44091</v>
      </c>
      <c r="B2121" s="15">
        <v>44091</v>
      </c>
      <c r="C2121" s="16">
        <v>2314381</v>
      </c>
      <c r="D2121" s="10">
        <f>PrincipalesVariables[[#This Row],[Base monetaria]]/1000000</f>
        <v>2.314381</v>
      </c>
      <c r="E2121" s="10">
        <v>75.319999999999993</v>
      </c>
      <c r="F2121" s="11">
        <v>42473</v>
      </c>
      <c r="H2121" s="12">
        <f>(PrincipalesVariables[[#This Row],[Base monetaria]]-C2120)/C2120</f>
        <v>1.1499211125533747E-2</v>
      </c>
      <c r="I2121" s="12">
        <f>(PrincipalesVariables[[#This Row],[Dólar  mayorista]]-E2120)/E2120</f>
        <v>9.3023255813944419E-4</v>
      </c>
      <c r="J2121" s="12">
        <f>(PrincipalesVariables[[#This Row],[Reservas internacionales]]-F2120)/F2120</f>
        <v>-1.1288539780343831E-3</v>
      </c>
    </row>
    <row r="2122" spans="1:10" ht="15.75" thickBot="1" x14ac:dyDescent="0.3">
      <c r="A2122" s="14">
        <v>44092</v>
      </c>
      <c r="B2122" s="15">
        <v>44092</v>
      </c>
      <c r="C2122" s="16">
        <v>2280774</v>
      </c>
      <c r="D2122" s="10">
        <f>PrincipalesVariables[[#This Row],[Base monetaria]]/1000000</f>
        <v>2.2807740000000001</v>
      </c>
      <c r="E2122" s="10">
        <v>75.38</v>
      </c>
      <c r="F2122" s="11">
        <v>42428</v>
      </c>
      <c r="H2122" s="12">
        <f>(PrincipalesVariables[[#This Row],[Base monetaria]]-C2121)/C2121</f>
        <v>-1.4520945341324526E-2</v>
      </c>
      <c r="I2122" s="12">
        <f>(PrincipalesVariables[[#This Row],[Dólar  mayorista]]-E2121)/E2121</f>
        <v>7.9660116834841049E-4</v>
      </c>
      <c r="J2122" s="12">
        <f>(PrincipalesVariables[[#This Row],[Reservas internacionales]]-F2121)/F2121</f>
        <v>-1.0594966213829963E-3</v>
      </c>
    </row>
    <row r="2123" spans="1:10" ht="15.75" thickBot="1" x14ac:dyDescent="0.3">
      <c r="A2123" s="14">
        <v>44095</v>
      </c>
      <c r="B2123" s="15">
        <v>44095</v>
      </c>
      <c r="C2123" s="16">
        <v>2346077</v>
      </c>
      <c r="D2123" s="10">
        <f>PrincipalesVariables[[#This Row],[Base monetaria]]/1000000</f>
        <v>2.3460770000000002</v>
      </c>
      <c r="E2123" s="10">
        <v>75.59</v>
      </c>
      <c r="F2123" s="11">
        <v>42248</v>
      </c>
      <c r="H2123" s="12">
        <f>(PrincipalesVariables[[#This Row],[Base monetaria]]-C2122)/C2122</f>
        <v>2.8631946874175172E-2</v>
      </c>
      <c r="I2123" s="12">
        <f>(PrincipalesVariables[[#This Row],[Dólar  mayorista]]-E2122)/E2122</f>
        <v>2.7858848500929684E-3</v>
      </c>
      <c r="J2123" s="12">
        <f>(PrincipalesVariables[[#This Row],[Reservas internacionales]]-F2122)/F2122</f>
        <v>-4.2424813802206087E-3</v>
      </c>
    </row>
    <row r="2124" spans="1:10" ht="15.75" thickBot="1" x14ac:dyDescent="0.3">
      <c r="A2124" s="14">
        <v>44096</v>
      </c>
      <c r="B2124" s="15">
        <v>44096</v>
      </c>
      <c r="C2124" s="16">
        <v>2311979</v>
      </c>
      <c r="D2124" s="10">
        <f>PrincipalesVariables[[#This Row],[Base monetaria]]/1000000</f>
        <v>2.311979</v>
      </c>
      <c r="E2124" s="10">
        <v>75.650000000000006</v>
      </c>
      <c r="F2124" s="11">
        <v>42226</v>
      </c>
      <c r="H2124" s="12">
        <f>(PrincipalesVariables[[#This Row],[Base monetaria]]-C2123)/C2123</f>
        <v>-1.4534049820189193E-2</v>
      </c>
      <c r="I2124" s="12">
        <f>(PrincipalesVariables[[#This Row],[Dólar  mayorista]]-E2123)/E2123</f>
        <v>7.9375578780264944E-4</v>
      </c>
      <c r="J2124" s="12">
        <f>(PrincipalesVariables[[#This Row],[Reservas internacionales]]-F2123)/F2123</f>
        <v>-5.2073470933535317E-4</v>
      </c>
    </row>
    <row r="2125" spans="1:10" ht="15.75" thickBot="1" x14ac:dyDescent="0.3">
      <c r="A2125" s="14">
        <v>44097</v>
      </c>
      <c r="B2125" s="15">
        <v>44097</v>
      </c>
      <c r="C2125" s="16">
        <v>2278055</v>
      </c>
      <c r="D2125" s="10">
        <f>PrincipalesVariables[[#This Row],[Base monetaria]]/1000000</f>
        <v>2.2780550000000002</v>
      </c>
      <c r="E2125" s="10">
        <v>75.72</v>
      </c>
      <c r="F2125" s="11">
        <v>42177</v>
      </c>
      <c r="H2125" s="12">
        <f>(PrincipalesVariables[[#This Row],[Base monetaria]]-C2124)/C2124</f>
        <v>-1.4673143657446715E-2</v>
      </c>
      <c r="I2125" s="12">
        <f>(PrincipalesVariables[[#This Row],[Dólar  mayorista]]-E2124)/E2124</f>
        <v>9.2531394580295005E-4</v>
      </c>
      <c r="J2125" s="12">
        <f>(PrincipalesVariables[[#This Row],[Reservas internacionales]]-F2124)/F2124</f>
        <v>-1.1604224885141856E-3</v>
      </c>
    </row>
    <row r="2126" spans="1:10" ht="15.75" thickBot="1" x14ac:dyDescent="0.3">
      <c r="A2126" s="14">
        <v>44098</v>
      </c>
      <c r="B2126" s="15">
        <v>44098</v>
      </c>
      <c r="C2126" s="16">
        <v>2297638</v>
      </c>
      <c r="D2126" s="10">
        <f>PrincipalesVariables[[#This Row],[Base monetaria]]/1000000</f>
        <v>2.2976380000000001</v>
      </c>
      <c r="E2126" s="10">
        <v>75.78</v>
      </c>
      <c r="F2126" s="11">
        <v>42118</v>
      </c>
      <c r="H2126" s="12">
        <f>(PrincipalesVariables[[#This Row],[Base monetaria]]-C2125)/C2125</f>
        <v>8.5963683932126309E-3</v>
      </c>
      <c r="I2126" s="12">
        <f>(PrincipalesVariables[[#This Row],[Dólar  mayorista]]-E2125)/E2125</f>
        <v>7.9239302694139298E-4</v>
      </c>
      <c r="J2126" s="12">
        <f>(PrincipalesVariables[[#This Row],[Reservas internacionales]]-F2125)/F2125</f>
        <v>-1.3988666808924296E-3</v>
      </c>
    </row>
    <row r="2127" spans="1:10" ht="15.75" thickBot="1" x14ac:dyDescent="0.3">
      <c r="A2127" s="14">
        <v>44099</v>
      </c>
      <c r="B2127" s="15">
        <v>44099</v>
      </c>
      <c r="C2127" s="16">
        <v>2254072</v>
      </c>
      <c r="D2127" s="10">
        <f>PrincipalesVariables[[#This Row],[Base monetaria]]/1000000</f>
        <v>2.2540719999999999</v>
      </c>
      <c r="E2127" s="10">
        <v>75.849999999999994</v>
      </c>
      <c r="F2127" s="11">
        <v>41970</v>
      </c>
      <c r="H2127" s="12">
        <f>(PrincipalesVariables[[#This Row],[Base monetaria]]-C2126)/C2126</f>
        <v>-1.8961211470214193E-2</v>
      </c>
      <c r="I2127" s="12">
        <f>(PrincipalesVariables[[#This Row],[Dólar  mayorista]]-E2126)/E2126</f>
        <v>9.237265769331377E-4</v>
      </c>
      <c r="J2127" s="12">
        <f>(PrincipalesVariables[[#This Row],[Reservas internacionales]]-F2126)/F2126</f>
        <v>-3.5139370340472008E-3</v>
      </c>
    </row>
    <row r="2128" spans="1:10" ht="15.75" thickBot="1" x14ac:dyDescent="0.3">
      <c r="A2128" s="14">
        <v>44102</v>
      </c>
      <c r="B2128" s="15">
        <v>44102</v>
      </c>
      <c r="C2128" s="16">
        <v>2313631</v>
      </c>
      <c r="D2128" s="10">
        <f>PrincipalesVariables[[#This Row],[Base monetaria]]/1000000</f>
        <v>2.313631</v>
      </c>
      <c r="E2128" s="10">
        <v>76.06</v>
      </c>
      <c r="F2128" s="11">
        <v>41874</v>
      </c>
      <c r="H2128" s="12">
        <f>(PrincipalesVariables[[#This Row],[Base monetaria]]-C2127)/C2127</f>
        <v>2.6422847185005625E-2</v>
      </c>
      <c r="I2128" s="12">
        <f>(PrincipalesVariables[[#This Row],[Dólar  mayorista]]-E2127)/E2127</f>
        <v>2.7686222808175078E-3</v>
      </c>
      <c r="J2128" s="12">
        <f>(PrincipalesVariables[[#This Row],[Reservas internacionales]]-F2127)/F2127</f>
        <v>-2.2873481057898498E-3</v>
      </c>
    </row>
    <row r="2129" spans="1:10" ht="15.75" thickBot="1" x14ac:dyDescent="0.3">
      <c r="A2129" s="14">
        <v>44103</v>
      </c>
      <c r="B2129" s="15">
        <v>44103</v>
      </c>
      <c r="C2129" s="16">
        <v>2295292</v>
      </c>
      <c r="D2129" s="10">
        <f>PrincipalesVariables[[#This Row],[Base monetaria]]/1000000</f>
        <v>2.2952919999999999</v>
      </c>
      <c r="E2129" s="10">
        <v>76.12</v>
      </c>
      <c r="F2129" s="11">
        <v>41751</v>
      </c>
      <c r="H2129" s="12">
        <f>(PrincipalesVariables[[#This Row],[Base monetaria]]-C2128)/C2128</f>
        <v>-7.9265016763693085E-3</v>
      </c>
      <c r="I2129" s="12">
        <f>(PrincipalesVariables[[#This Row],[Dólar  mayorista]]-E2128)/E2128</f>
        <v>7.8885090717857316E-4</v>
      </c>
      <c r="J2129" s="12">
        <f>(PrincipalesVariables[[#This Row],[Reservas internacionales]]-F2128)/F2128</f>
        <v>-2.9373835793093566E-3</v>
      </c>
    </row>
    <row r="2130" spans="1:10" ht="15.75" thickBot="1" x14ac:dyDescent="0.3">
      <c r="A2130" s="14">
        <v>44104</v>
      </c>
      <c r="B2130" s="15">
        <v>44104</v>
      </c>
      <c r="C2130" s="16">
        <v>2393695</v>
      </c>
      <c r="D2130" s="10">
        <f>PrincipalesVariables[[#This Row],[Base monetaria]]/1000000</f>
        <v>2.3936950000000001</v>
      </c>
      <c r="E2130" s="10">
        <v>76.180000000000007</v>
      </c>
      <c r="F2130" s="11">
        <v>41379</v>
      </c>
      <c r="H2130" s="12">
        <f>(PrincipalesVariables[[#This Row],[Base monetaria]]-C2129)/C2129</f>
        <v>4.2871669486932384E-2</v>
      </c>
      <c r="I2130" s="12">
        <f>(PrincipalesVariables[[#This Row],[Dólar  mayorista]]-E2129)/E2129</f>
        <v>7.8822911192856374E-4</v>
      </c>
      <c r="J2130" s="12">
        <f>(PrincipalesVariables[[#This Row],[Reservas internacionales]]-F2129)/F2129</f>
        <v>-8.9099662283538116E-3</v>
      </c>
    </row>
    <row r="2131" spans="1:10" ht="15.75" thickBot="1" x14ac:dyDescent="0.3">
      <c r="A2131" s="14">
        <v>44105</v>
      </c>
      <c r="B2131" s="15">
        <v>44105</v>
      </c>
      <c r="C2131" s="16">
        <v>2588971</v>
      </c>
      <c r="D2131" s="10">
        <f>PrincipalesVariables[[#This Row],[Base monetaria]]/1000000</f>
        <v>2.5889709999999999</v>
      </c>
      <c r="E2131" s="10">
        <v>76.25</v>
      </c>
      <c r="F2131" s="11">
        <v>41369</v>
      </c>
      <c r="H2131" s="12">
        <f>(PrincipalesVariables[[#This Row],[Base monetaria]]-C2130)/C2130</f>
        <v>8.1579315660516488E-2</v>
      </c>
      <c r="I2131" s="12">
        <f>(PrincipalesVariables[[#This Row],[Dólar  mayorista]]-E2130)/E2130</f>
        <v>9.1887634549741627E-4</v>
      </c>
      <c r="J2131" s="12">
        <f>(PrincipalesVariables[[#This Row],[Reservas internacionales]]-F2130)/F2130</f>
        <v>-2.4166847918026053E-4</v>
      </c>
    </row>
    <row r="2132" spans="1:10" ht="15.75" thickBot="1" x14ac:dyDescent="0.3">
      <c r="A2132" s="14">
        <v>44106</v>
      </c>
      <c r="B2132" s="15">
        <v>44106</v>
      </c>
      <c r="C2132" s="16">
        <v>2404536</v>
      </c>
      <c r="D2132" s="10">
        <f>PrincipalesVariables[[#This Row],[Base monetaria]]/1000000</f>
        <v>2.4045359999999998</v>
      </c>
      <c r="E2132" s="10">
        <v>76.95</v>
      </c>
      <c r="F2132" s="11">
        <v>41252</v>
      </c>
      <c r="H2132" s="12">
        <f>(PrincipalesVariables[[#This Row],[Base monetaria]]-C2131)/C2131</f>
        <v>-7.1238727664388671E-2</v>
      </c>
      <c r="I2132" s="12">
        <f>(PrincipalesVariables[[#This Row],[Dólar  mayorista]]-E2131)/E2131</f>
        <v>9.1803278688524954E-3</v>
      </c>
      <c r="J2132" s="12">
        <f>(PrincipalesVariables[[#This Row],[Reservas internacionales]]-F2131)/F2131</f>
        <v>-2.8282046943363388E-3</v>
      </c>
    </row>
    <row r="2133" spans="1:10" ht="15.75" thickBot="1" x14ac:dyDescent="0.3">
      <c r="A2133" s="14">
        <v>44109</v>
      </c>
      <c r="B2133" s="15">
        <v>44109</v>
      </c>
      <c r="C2133" s="16">
        <v>2435624</v>
      </c>
      <c r="D2133" s="10">
        <f>PrincipalesVariables[[#This Row],[Base monetaria]]/1000000</f>
        <v>2.4356239999999998</v>
      </c>
      <c r="E2133" s="10">
        <v>77.05</v>
      </c>
      <c r="F2133" s="11">
        <v>41172</v>
      </c>
      <c r="H2133" s="12">
        <f>(PrincipalesVariables[[#This Row],[Base monetaria]]-C2132)/C2132</f>
        <v>1.2928897716648867E-2</v>
      </c>
      <c r="I2133" s="12">
        <f>(PrincipalesVariables[[#This Row],[Dólar  mayorista]]-E2132)/E2132</f>
        <v>1.299545159194208E-3</v>
      </c>
      <c r="J2133" s="12">
        <f>(PrincipalesVariables[[#This Row],[Reservas internacionales]]-F2132)/F2132</f>
        <v>-1.9392999127315039E-3</v>
      </c>
    </row>
    <row r="2134" spans="1:10" ht="15.75" thickBot="1" x14ac:dyDescent="0.3">
      <c r="A2134" s="14">
        <v>44110</v>
      </c>
      <c r="B2134" s="15">
        <v>44110</v>
      </c>
      <c r="C2134" s="16">
        <v>2452874</v>
      </c>
      <c r="D2134" s="10">
        <f>PrincipalesVariables[[#This Row],[Base monetaria]]/1000000</f>
        <v>2.452874</v>
      </c>
      <c r="E2134" s="10">
        <v>77.08</v>
      </c>
      <c r="F2134" s="11">
        <v>41129</v>
      </c>
      <c r="H2134" s="12">
        <f>(PrincipalesVariables[[#This Row],[Base monetaria]]-C2133)/C2133</f>
        <v>7.0823739624835359E-3</v>
      </c>
      <c r="I2134" s="12">
        <f>(PrincipalesVariables[[#This Row],[Dólar  mayorista]]-E2133)/E2133</f>
        <v>3.8935756002597195E-4</v>
      </c>
      <c r="J2134" s="12">
        <f>(PrincipalesVariables[[#This Row],[Reservas internacionales]]-F2133)/F2133</f>
        <v>-1.0443991061886719E-3</v>
      </c>
    </row>
    <row r="2135" spans="1:10" ht="15.75" thickBot="1" x14ac:dyDescent="0.3">
      <c r="A2135" s="14">
        <v>44111</v>
      </c>
      <c r="B2135" s="15">
        <v>44111</v>
      </c>
      <c r="C2135" s="16">
        <v>2384162</v>
      </c>
      <c r="D2135" s="10">
        <f>PrincipalesVariables[[#This Row],[Base monetaria]]/1000000</f>
        <v>2.3841619999999999</v>
      </c>
      <c r="E2135" s="10">
        <v>77.099999999999994</v>
      </c>
      <c r="F2135" s="11">
        <v>41132</v>
      </c>
      <c r="H2135" s="12">
        <f>(PrincipalesVariables[[#This Row],[Base monetaria]]-C2134)/C2134</f>
        <v>-2.8012853493493754E-2</v>
      </c>
      <c r="I2135" s="12">
        <f>(PrincipalesVariables[[#This Row],[Dólar  mayorista]]-E2134)/E2134</f>
        <v>2.5947067981312949E-4</v>
      </c>
      <c r="J2135" s="12">
        <f>(PrincipalesVariables[[#This Row],[Reservas internacionales]]-F2134)/F2134</f>
        <v>7.294123367939897E-5</v>
      </c>
    </row>
    <row r="2136" spans="1:10" ht="15.75" thickBot="1" x14ac:dyDescent="0.3">
      <c r="A2136" s="14">
        <v>44112</v>
      </c>
      <c r="B2136" s="15">
        <v>44112</v>
      </c>
      <c r="C2136" s="16">
        <v>2355836</v>
      </c>
      <c r="D2136" s="10">
        <f>PrincipalesVariables[[#This Row],[Base monetaria]]/1000000</f>
        <v>2.355836</v>
      </c>
      <c r="E2136" s="10">
        <v>77.099999999999994</v>
      </c>
      <c r="F2136" s="11">
        <v>41092</v>
      </c>
      <c r="H2136" s="12">
        <f>(PrincipalesVariables[[#This Row],[Base monetaria]]-C2135)/C2135</f>
        <v>-1.1880904066082758E-2</v>
      </c>
      <c r="I2136" s="12">
        <f>(PrincipalesVariables[[#This Row],[Dólar  mayorista]]-E2135)/E2135</f>
        <v>0</v>
      </c>
      <c r="J2136" s="12">
        <f>(PrincipalesVariables[[#This Row],[Reservas internacionales]]-F2135)/F2135</f>
        <v>-9.7247884858504331E-4</v>
      </c>
    </row>
    <row r="2137" spans="1:10" ht="15.75" thickBot="1" x14ac:dyDescent="0.3">
      <c r="A2137" s="14">
        <v>44113</v>
      </c>
      <c r="B2137" s="15">
        <v>44113</v>
      </c>
      <c r="C2137" s="16">
        <v>2301193</v>
      </c>
      <c r="D2137" s="10">
        <f>PrincipalesVariables[[#This Row],[Base monetaria]]/1000000</f>
        <v>2.301193</v>
      </c>
      <c r="E2137" s="10">
        <v>77.11</v>
      </c>
      <c r="F2137" s="11">
        <v>41026</v>
      </c>
      <c r="H2137" s="12">
        <f>(PrincipalesVariables[[#This Row],[Base monetaria]]-C2136)/C2136</f>
        <v>-2.3194738513207202E-2</v>
      </c>
      <c r="I2137" s="12">
        <f>(PrincipalesVariables[[#This Row],[Dólar  mayorista]]-E2136)/E2136</f>
        <v>1.2970168612198594E-4</v>
      </c>
      <c r="J2137" s="12">
        <f>(PrincipalesVariables[[#This Row],[Reservas internacionales]]-F2136)/F2136</f>
        <v>-1.6061520490606444E-3</v>
      </c>
    </row>
    <row r="2138" spans="1:10" ht="15.75" thickBot="1" x14ac:dyDescent="0.3">
      <c r="A2138" s="14">
        <v>44117</v>
      </c>
      <c r="B2138" s="15">
        <v>44117</v>
      </c>
      <c r="C2138" s="16">
        <v>2340564</v>
      </c>
      <c r="D2138" s="10">
        <f>PrincipalesVariables[[#This Row],[Base monetaria]]/1000000</f>
        <v>2.3405640000000001</v>
      </c>
      <c r="E2138" s="10">
        <v>77.400000000000006</v>
      </c>
      <c r="F2138" s="11">
        <v>40837</v>
      </c>
      <c r="H2138" s="12">
        <f>(PrincipalesVariables[[#This Row],[Base monetaria]]-C2137)/C2137</f>
        <v>1.7108951748071543E-2</v>
      </c>
      <c r="I2138" s="12">
        <f>(PrincipalesVariables[[#This Row],[Dólar  mayorista]]-E2137)/E2137</f>
        <v>3.7608611075088351E-3</v>
      </c>
      <c r="J2138" s="12">
        <f>(PrincipalesVariables[[#This Row],[Reservas internacionales]]-F2137)/F2137</f>
        <v>-4.6068346901964605E-3</v>
      </c>
    </row>
    <row r="2139" spans="1:10" ht="15.75" thickBot="1" x14ac:dyDescent="0.3">
      <c r="A2139" s="14">
        <v>44118</v>
      </c>
      <c r="B2139" s="15">
        <v>44118</v>
      </c>
      <c r="C2139" s="16">
        <v>2302943</v>
      </c>
      <c r="D2139" s="10">
        <f>PrincipalesVariables[[#This Row],[Base monetaria]]/1000000</f>
        <v>2.302943</v>
      </c>
      <c r="E2139" s="10">
        <v>77.42</v>
      </c>
      <c r="F2139" s="11">
        <v>40847</v>
      </c>
      <c r="H2139" s="12">
        <f>(PrincipalesVariables[[#This Row],[Base monetaria]]-C2138)/C2138</f>
        <v>-1.6073476307419923E-2</v>
      </c>
      <c r="I2139" s="12">
        <f>(PrincipalesVariables[[#This Row],[Dólar  mayorista]]-E2138)/E2138</f>
        <v>2.5839793281648605E-4</v>
      </c>
      <c r="J2139" s="12">
        <f>(PrincipalesVariables[[#This Row],[Reservas internacionales]]-F2138)/F2138</f>
        <v>2.4487597032103237E-4</v>
      </c>
    </row>
    <row r="2140" spans="1:10" ht="15.75" thickBot="1" x14ac:dyDescent="0.3">
      <c r="A2140" s="14">
        <v>44119</v>
      </c>
      <c r="B2140" s="15">
        <v>44119</v>
      </c>
      <c r="C2140" s="16">
        <v>2310573</v>
      </c>
      <c r="D2140" s="10">
        <f>PrincipalesVariables[[#This Row],[Base monetaria]]/1000000</f>
        <v>2.3105730000000002</v>
      </c>
      <c r="E2140" s="10">
        <v>77.459999999999994</v>
      </c>
      <c r="F2140" s="11">
        <v>40777</v>
      </c>
      <c r="H2140" s="12">
        <f>(PrincipalesVariables[[#This Row],[Base monetaria]]-C2139)/C2139</f>
        <v>3.3131519104033402E-3</v>
      </c>
      <c r="I2140" s="12">
        <f>(PrincipalesVariables[[#This Row],[Dólar  mayorista]]-E2139)/E2139</f>
        <v>5.1666236114688766E-4</v>
      </c>
      <c r="J2140" s="12">
        <f>(PrincipalesVariables[[#This Row],[Reservas internacionales]]-F2139)/F2139</f>
        <v>-1.7137121453227899E-3</v>
      </c>
    </row>
    <row r="2141" spans="1:10" ht="15.75" thickBot="1" x14ac:dyDescent="0.3">
      <c r="A2141" s="14">
        <v>44120</v>
      </c>
      <c r="B2141" s="15">
        <v>44120</v>
      </c>
      <c r="C2141" s="16">
        <v>2285442</v>
      </c>
      <c r="D2141" s="10">
        <f>PrincipalesVariables[[#This Row],[Base monetaria]]/1000000</f>
        <v>2.2854420000000002</v>
      </c>
      <c r="E2141" s="10">
        <v>77.53</v>
      </c>
      <c r="F2141" s="11">
        <v>40785</v>
      </c>
      <c r="H2141" s="12">
        <f>(PrincipalesVariables[[#This Row],[Base monetaria]]-C2140)/C2140</f>
        <v>-1.0876522836543143E-2</v>
      </c>
      <c r="I2141" s="12">
        <f>(PrincipalesVariables[[#This Row],[Dólar  mayorista]]-E2140)/E2140</f>
        <v>9.0369222824693252E-4</v>
      </c>
      <c r="J2141" s="12">
        <f>(PrincipalesVariables[[#This Row],[Reservas internacionales]]-F2140)/F2140</f>
        <v>1.9618902812860192E-4</v>
      </c>
    </row>
    <row r="2142" spans="1:10" ht="15.75" thickBot="1" x14ac:dyDescent="0.3">
      <c r="A2142" s="14">
        <v>44123</v>
      </c>
      <c r="B2142" s="15">
        <v>44123</v>
      </c>
      <c r="C2142" s="16">
        <v>2294029</v>
      </c>
      <c r="D2142" s="10">
        <f>PrincipalesVariables[[#This Row],[Base monetaria]]/1000000</f>
        <v>2.2940290000000001</v>
      </c>
      <c r="E2142" s="10">
        <v>77.58</v>
      </c>
      <c r="F2142" s="11">
        <v>40794</v>
      </c>
      <c r="H2142" s="12">
        <f>(PrincipalesVariables[[#This Row],[Base monetaria]]-C2141)/C2141</f>
        <v>3.7572600836074596E-3</v>
      </c>
      <c r="I2142" s="12">
        <f>(PrincipalesVariables[[#This Row],[Dólar  mayorista]]-E2141)/E2141</f>
        <v>6.4491164710430999E-4</v>
      </c>
      <c r="J2142" s="12">
        <f>(PrincipalesVariables[[#This Row],[Reservas internacionales]]-F2141)/F2141</f>
        <v>2.206693637366679E-4</v>
      </c>
    </row>
    <row r="2143" spans="1:10" ht="15.75" thickBot="1" x14ac:dyDescent="0.3">
      <c r="A2143" s="14">
        <v>44124</v>
      </c>
      <c r="B2143" s="15">
        <v>44124</v>
      </c>
      <c r="C2143" s="16">
        <v>2263791</v>
      </c>
      <c r="D2143" s="10">
        <f>PrincipalesVariables[[#This Row],[Base monetaria]]/1000000</f>
        <v>2.2637909999999999</v>
      </c>
      <c r="E2143" s="10">
        <v>77.66</v>
      </c>
      <c r="F2143" s="11">
        <v>40812</v>
      </c>
      <c r="H2143" s="12">
        <f>(PrincipalesVariables[[#This Row],[Base monetaria]]-C2142)/C2142</f>
        <v>-1.3181176000826493E-2</v>
      </c>
      <c r="I2143" s="12">
        <f>(PrincipalesVariables[[#This Row],[Dólar  mayorista]]-E2142)/E2142</f>
        <v>1.031193606599617E-3</v>
      </c>
      <c r="J2143" s="12">
        <f>(PrincipalesVariables[[#This Row],[Reservas internacionales]]-F2142)/F2142</f>
        <v>4.4124135902338577E-4</v>
      </c>
    </row>
    <row r="2144" spans="1:10" ht="15.75" thickBot="1" x14ac:dyDescent="0.3">
      <c r="A2144" s="14">
        <v>44125</v>
      </c>
      <c r="B2144" s="15">
        <v>44125</v>
      </c>
      <c r="C2144" s="16">
        <v>2263836</v>
      </c>
      <c r="D2144" s="10">
        <f>PrincipalesVariables[[#This Row],[Base monetaria]]/1000000</f>
        <v>2.263836</v>
      </c>
      <c r="E2144" s="10">
        <v>77.709999999999994</v>
      </c>
      <c r="F2144" s="11">
        <v>40800</v>
      </c>
      <c r="H2144" s="12">
        <f>(PrincipalesVariables[[#This Row],[Base monetaria]]-C2143)/C2143</f>
        <v>1.9878160130506746E-5</v>
      </c>
      <c r="I2144" s="12">
        <f>(PrincipalesVariables[[#This Row],[Dólar  mayorista]]-E2143)/E2143</f>
        <v>6.4383208859125878E-4</v>
      </c>
      <c r="J2144" s="12">
        <f>(PrincipalesVariables[[#This Row],[Reservas internacionales]]-F2143)/F2143</f>
        <v>-2.9403116730373417E-4</v>
      </c>
    </row>
    <row r="2145" spans="1:10" ht="15.75" thickBot="1" x14ac:dyDescent="0.3">
      <c r="A2145" s="14">
        <v>44126</v>
      </c>
      <c r="B2145" s="15">
        <v>44126</v>
      </c>
      <c r="C2145" s="16">
        <v>2255762</v>
      </c>
      <c r="D2145" s="10">
        <f>PrincipalesVariables[[#This Row],[Base monetaria]]/1000000</f>
        <v>2.2557619999999998</v>
      </c>
      <c r="E2145" s="10">
        <v>78.05</v>
      </c>
      <c r="F2145" s="11">
        <v>40668</v>
      </c>
      <c r="H2145" s="12">
        <f>(PrincipalesVariables[[#This Row],[Base monetaria]]-C2144)/C2144</f>
        <v>-3.5665127685927779E-3</v>
      </c>
      <c r="I2145" s="12">
        <f>(PrincipalesVariables[[#This Row],[Dólar  mayorista]]-E2144)/E2144</f>
        <v>4.3752412816883725E-3</v>
      </c>
      <c r="J2145" s="12">
        <f>(PrincipalesVariables[[#This Row],[Reservas internacionales]]-F2144)/F2144</f>
        <v>-3.2352941176470589E-3</v>
      </c>
    </row>
    <row r="2146" spans="1:10" ht="15.75" thickBot="1" x14ac:dyDescent="0.3">
      <c r="A2146" s="14">
        <v>44127</v>
      </c>
      <c r="B2146" s="15">
        <v>44127</v>
      </c>
      <c r="C2146" s="16">
        <v>2279626</v>
      </c>
      <c r="D2146" s="10">
        <f>PrincipalesVariables[[#This Row],[Base monetaria]]/1000000</f>
        <v>2.2796259999999999</v>
      </c>
      <c r="E2146" s="10">
        <v>78.09</v>
      </c>
      <c r="F2146" s="11">
        <v>40498</v>
      </c>
      <c r="H2146" s="12">
        <f>(PrincipalesVariables[[#This Row],[Base monetaria]]-C2145)/C2145</f>
        <v>1.0579130245123377E-2</v>
      </c>
      <c r="I2146" s="12">
        <f>(PrincipalesVariables[[#This Row],[Dólar  mayorista]]-E2145)/E2145</f>
        <v>5.1249199231270023E-4</v>
      </c>
      <c r="J2146" s="12">
        <f>(PrincipalesVariables[[#This Row],[Reservas internacionales]]-F2145)/F2145</f>
        <v>-4.1801908134159538E-3</v>
      </c>
    </row>
    <row r="2147" spans="1:10" ht="15.75" thickBot="1" x14ac:dyDescent="0.3">
      <c r="A2147" s="14">
        <v>44130</v>
      </c>
      <c r="B2147" s="15">
        <v>44130</v>
      </c>
      <c r="C2147" s="16">
        <v>2314316</v>
      </c>
      <c r="D2147" s="10">
        <f>PrincipalesVariables[[#This Row],[Base monetaria]]/1000000</f>
        <v>2.3143159999999998</v>
      </c>
      <c r="E2147" s="10">
        <v>78.209999999999994</v>
      </c>
      <c r="F2147" s="11">
        <v>40239</v>
      </c>
      <c r="H2147" s="12">
        <f>(PrincipalesVariables[[#This Row],[Base monetaria]]-C2146)/C2146</f>
        <v>1.5217408469634932E-2</v>
      </c>
      <c r="I2147" s="12">
        <f>(PrincipalesVariables[[#This Row],[Dólar  mayorista]]-E2146)/E2146</f>
        <v>1.5366884364193922E-3</v>
      </c>
      <c r="J2147" s="12">
        <f>(PrincipalesVariables[[#This Row],[Reservas internacionales]]-F2146)/F2146</f>
        <v>-6.3953775495086181E-3</v>
      </c>
    </row>
    <row r="2148" spans="1:10" ht="15.75" thickBot="1" x14ac:dyDescent="0.3">
      <c r="A2148" s="14">
        <v>44131</v>
      </c>
      <c r="B2148" s="15">
        <v>44131</v>
      </c>
      <c r="C2148" s="16">
        <v>2239999</v>
      </c>
      <c r="D2148" s="10">
        <f>PrincipalesVariables[[#This Row],[Base monetaria]]/1000000</f>
        <v>2.2399990000000001</v>
      </c>
      <c r="E2148" s="10">
        <v>78.3</v>
      </c>
      <c r="F2148" s="11">
        <v>40140</v>
      </c>
      <c r="H2148" s="12">
        <f>(PrincipalesVariables[[#This Row],[Base monetaria]]-C2147)/C2147</f>
        <v>-3.2111863721289574E-2</v>
      </c>
      <c r="I2148" s="12">
        <f>(PrincipalesVariables[[#This Row],[Dólar  mayorista]]-E2147)/E2147</f>
        <v>1.150747986191068E-3</v>
      </c>
      <c r="J2148" s="12">
        <f>(PrincipalesVariables[[#This Row],[Reservas internacionales]]-F2147)/F2147</f>
        <v>-2.4602997092373069E-3</v>
      </c>
    </row>
    <row r="2149" spans="1:10" ht="15.75" thickBot="1" x14ac:dyDescent="0.3">
      <c r="A2149" s="14">
        <v>44132</v>
      </c>
      <c r="B2149" s="15">
        <v>44132</v>
      </c>
      <c r="C2149" s="16">
        <v>2271986</v>
      </c>
      <c r="D2149" s="10">
        <f>PrincipalesVariables[[#This Row],[Base monetaria]]/1000000</f>
        <v>2.2719860000000001</v>
      </c>
      <c r="E2149" s="10">
        <v>78.3</v>
      </c>
      <c r="F2149" s="11">
        <v>39866</v>
      </c>
      <c r="H2149" s="12">
        <f>(PrincipalesVariables[[#This Row],[Base monetaria]]-C2148)/C2148</f>
        <v>1.42799170892487E-2</v>
      </c>
      <c r="I2149" s="12">
        <f>(PrincipalesVariables[[#This Row],[Dólar  mayorista]]-E2148)/E2148</f>
        <v>0</v>
      </c>
      <c r="J2149" s="12">
        <f>(PrincipalesVariables[[#This Row],[Reservas internacionales]]-F2148)/F2148</f>
        <v>-6.8261086198305931E-3</v>
      </c>
    </row>
    <row r="2150" spans="1:10" ht="15.75" thickBot="1" x14ac:dyDescent="0.3">
      <c r="A2150" s="14">
        <v>44133</v>
      </c>
      <c r="B2150" s="15">
        <v>44133</v>
      </c>
      <c r="C2150" s="16">
        <v>2246622</v>
      </c>
      <c r="D2150" s="10">
        <f>PrincipalesVariables[[#This Row],[Base monetaria]]/1000000</f>
        <v>2.2466219999999999</v>
      </c>
      <c r="E2150" s="10">
        <v>78.3</v>
      </c>
      <c r="F2150" s="11">
        <v>39826</v>
      </c>
      <c r="H2150" s="12">
        <f>(PrincipalesVariables[[#This Row],[Base monetaria]]-C2149)/C2149</f>
        <v>-1.1163801185394628E-2</v>
      </c>
      <c r="I2150" s="12">
        <f>(PrincipalesVariables[[#This Row],[Dólar  mayorista]]-E2149)/E2149</f>
        <v>0</v>
      </c>
      <c r="J2150" s="12">
        <f>(PrincipalesVariables[[#This Row],[Reservas internacionales]]-F2149)/F2149</f>
        <v>-1.0033612602217427E-3</v>
      </c>
    </row>
    <row r="2151" spans="1:10" ht="15.75" thickBot="1" x14ac:dyDescent="0.3">
      <c r="A2151" s="14">
        <v>44134</v>
      </c>
      <c r="B2151" s="15">
        <v>44134</v>
      </c>
      <c r="C2151" s="16">
        <v>2225061</v>
      </c>
      <c r="D2151" s="10">
        <f>PrincipalesVariables[[#This Row],[Base monetaria]]/1000000</f>
        <v>2.2250610000000002</v>
      </c>
      <c r="E2151" s="10">
        <v>78.33</v>
      </c>
      <c r="F2151" s="11">
        <v>39856</v>
      </c>
      <c r="H2151" s="12">
        <f>(PrincipalesVariables[[#This Row],[Base monetaria]]-C2150)/C2150</f>
        <v>-9.5970750753798361E-3</v>
      </c>
      <c r="I2151" s="12">
        <f>(PrincipalesVariables[[#This Row],[Dólar  mayorista]]-E2150)/E2150</f>
        <v>3.8314176245212182E-4</v>
      </c>
      <c r="J2151" s="12">
        <f>(PrincipalesVariables[[#This Row],[Reservas internacionales]]-F2150)/F2150</f>
        <v>7.5327675387937526E-4</v>
      </c>
    </row>
    <row r="2152" spans="1:10" ht="15.75" thickBot="1" x14ac:dyDescent="0.3">
      <c r="A2152" s="14">
        <v>44137</v>
      </c>
      <c r="B2152" s="15">
        <v>44137</v>
      </c>
      <c r="C2152" s="16">
        <v>2340064</v>
      </c>
      <c r="D2152" s="10">
        <f>PrincipalesVariables[[#This Row],[Base monetaria]]/1000000</f>
        <v>2.3400639999999999</v>
      </c>
      <c r="E2152" s="10">
        <v>78.69</v>
      </c>
      <c r="F2152" s="11">
        <v>39875</v>
      </c>
      <c r="H2152" s="12">
        <f>(PrincipalesVariables[[#This Row],[Base monetaria]]-C2151)/C2151</f>
        <v>5.1685324582112578E-2</v>
      </c>
      <c r="I2152" s="12">
        <f>(PrincipalesVariables[[#This Row],[Dólar  mayorista]]-E2151)/E2151</f>
        <v>4.5959402527767064E-3</v>
      </c>
      <c r="J2152" s="12">
        <f>(PrincipalesVariables[[#This Row],[Reservas internacionales]]-F2151)/F2151</f>
        <v>4.7671617824167003E-4</v>
      </c>
    </row>
    <row r="2153" spans="1:10" ht="15.75" thickBot="1" x14ac:dyDescent="0.3">
      <c r="A2153" s="14">
        <v>44138</v>
      </c>
      <c r="B2153" s="15">
        <v>44138</v>
      </c>
      <c r="C2153" s="16">
        <v>2338313</v>
      </c>
      <c r="D2153" s="10">
        <f>PrincipalesVariables[[#This Row],[Base monetaria]]/1000000</f>
        <v>2.3383129999999999</v>
      </c>
      <c r="E2153" s="10">
        <v>78.900000000000006</v>
      </c>
      <c r="F2153" s="11">
        <v>39882</v>
      </c>
      <c r="H2153" s="12">
        <f>(PrincipalesVariables[[#This Row],[Base monetaria]]-C2152)/C2152</f>
        <v>-7.4827013278269314E-4</v>
      </c>
      <c r="I2153" s="12">
        <f>(PrincipalesVariables[[#This Row],[Dólar  mayorista]]-E2152)/E2152</f>
        <v>2.668699961875816E-3</v>
      </c>
      <c r="J2153" s="12">
        <f>(PrincipalesVariables[[#This Row],[Reservas internacionales]]-F2152)/F2152</f>
        <v>1.7554858934169278E-4</v>
      </c>
    </row>
    <row r="2154" spans="1:10" ht="15.75" thickBot="1" x14ac:dyDescent="0.3">
      <c r="A2154" s="14">
        <v>44139</v>
      </c>
      <c r="B2154" s="15">
        <v>44139</v>
      </c>
      <c r="C2154" s="16">
        <v>2338550</v>
      </c>
      <c r="D2154" s="10">
        <f>PrincipalesVariables[[#This Row],[Base monetaria]]/1000000</f>
        <v>2.3385500000000001</v>
      </c>
      <c r="E2154" s="10">
        <v>79.02</v>
      </c>
      <c r="F2154" s="11">
        <v>39819</v>
      </c>
      <c r="H2154" s="12">
        <f>(PrincipalesVariables[[#This Row],[Base monetaria]]-C2153)/C2153</f>
        <v>1.0135512226121994E-4</v>
      </c>
      <c r="I2154" s="12">
        <f>(PrincipalesVariables[[#This Row],[Dólar  mayorista]]-E2153)/E2153</f>
        <v>1.5209125475283945E-3</v>
      </c>
      <c r="J2154" s="12">
        <f>(PrincipalesVariables[[#This Row],[Reservas internacionales]]-F2153)/F2153</f>
        <v>-1.5796599969911237E-3</v>
      </c>
    </row>
    <row r="2155" spans="1:10" ht="15.75" thickBot="1" x14ac:dyDescent="0.3">
      <c r="A2155" s="14">
        <v>44140</v>
      </c>
      <c r="B2155" s="15">
        <v>44140</v>
      </c>
      <c r="C2155" s="16">
        <v>2360225</v>
      </c>
      <c r="D2155" s="10">
        <f>PrincipalesVariables[[#This Row],[Base monetaria]]/1000000</f>
        <v>2.3602249999999998</v>
      </c>
      <c r="E2155" s="10">
        <v>79.09</v>
      </c>
      <c r="F2155" s="11">
        <v>39524</v>
      </c>
      <c r="H2155" s="12">
        <f>(PrincipalesVariables[[#This Row],[Base monetaria]]-C2154)/C2154</f>
        <v>9.2685638536700084E-3</v>
      </c>
      <c r="I2155" s="12">
        <f>(PrincipalesVariables[[#This Row],[Dólar  mayorista]]-E2154)/E2154</f>
        <v>8.8585168311829153E-4</v>
      </c>
      <c r="J2155" s="12">
        <f>(PrincipalesVariables[[#This Row],[Reservas internacionales]]-F2154)/F2154</f>
        <v>-7.4085235691504058E-3</v>
      </c>
    </row>
    <row r="2156" spans="1:10" ht="15.75" thickBot="1" x14ac:dyDescent="0.3">
      <c r="A2156" s="14">
        <v>44144</v>
      </c>
      <c r="B2156" s="15">
        <v>44144</v>
      </c>
      <c r="C2156" s="16">
        <v>2449160</v>
      </c>
      <c r="D2156" s="10">
        <f>PrincipalesVariables[[#This Row],[Base monetaria]]/1000000</f>
        <v>2.44916</v>
      </c>
      <c r="E2156" s="10">
        <v>79.34</v>
      </c>
      <c r="F2156" s="11">
        <v>39316</v>
      </c>
      <c r="H2156" s="12">
        <f>(PrincipalesVariables[[#This Row],[Base monetaria]]-C2155)/C2155</f>
        <v>3.7680729591458441E-2</v>
      </c>
      <c r="I2156" s="12">
        <f>(PrincipalesVariables[[#This Row],[Dólar  mayorista]]-E2155)/E2155</f>
        <v>3.160955873056012E-3</v>
      </c>
      <c r="J2156" s="12">
        <f>(PrincipalesVariables[[#This Row],[Reservas internacionales]]-F2155)/F2155</f>
        <v>-5.2626252403602872E-3</v>
      </c>
    </row>
    <row r="2157" spans="1:10" ht="15.75" thickBot="1" x14ac:dyDescent="0.3">
      <c r="A2157" s="14">
        <v>44145</v>
      </c>
      <c r="B2157" s="15">
        <v>44145</v>
      </c>
      <c r="C2157" s="16">
        <v>2421672</v>
      </c>
      <c r="D2157" s="10">
        <f>PrincipalesVariables[[#This Row],[Base monetaria]]/1000000</f>
        <v>2.421672</v>
      </c>
      <c r="E2157" s="10">
        <v>79.430000000000007</v>
      </c>
      <c r="F2157" s="11">
        <v>39322</v>
      </c>
      <c r="H2157" s="12">
        <f>(PrincipalesVariables[[#This Row],[Base monetaria]]-C2156)/C2156</f>
        <v>-1.122343987326267E-2</v>
      </c>
      <c r="I2157" s="12">
        <f>(PrincipalesVariables[[#This Row],[Dólar  mayorista]]-E2156)/E2156</f>
        <v>1.134358457272541E-3</v>
      </c>
      <c r="J2157" s="12">
        <f>(PrincipalesVariables[[#This Row],[Reservas internacionales]]-F2156)/F2156</f>
        <v>1.5260962458032352E-4</v>
      </c>
    </row>
    <row r="2158" spans="1:10" ht="15.75" thickBot="1" x14ac:dyDescent="0.3">
      <c r="A2158" s="14">
        <v>44146</v>
      </c>
      <c r="B2158" s="15">
        <v>44146</v>
      </c>
      <c r="C2158" s="16">
        <v>2376501</v>
      </c>
      <c r="D2158" s="10">
        <f>PrincipalesVariables[[#This Row],[Base monetaria]]/1000000</f>
        <v>2.3765010000000002</v>
      </c>
      <c r="E2158" s="10">
        <v>79.48</v>
      </c>
      <c r="F2158" s="11">
        <v>39259</v>
      </c>
      <c r="H2158" s="12">
        <f>(PrincipalesVariables[[#This Row],[Base monetaria]]-C2157)/C2157</f>
        <v>-1.8652815079829143E-2</v>
      </c>
      <c r="I2158" s="12">
        <f>(PrincipalesVariables[[#This Row],[Dólar  mayorista]]-E2157)/E2157</f>
        <v>6.294850812035396E-4</v>
      </c>
      <c r="J2158" s="12">
        <f>(PrincipalesVariables[[#This Row],[Reservas internacionales]]-F2157)/F2157</f>
        <v>-1.6021565535832359E-3</v>
      </c>
    </row>
    <row r="2159" spans="1:10" ht="15.75" thickBot="1" x14ac:dyDescent="0.3">
      <c r="A2159" s="14">
        <v>44147</v>
      </c>
      <c r="B2159" s="15">
        <v>44147</v>
      </c>
      <c r="C2159" s="16">
        <v>2423619</v>
      </c>
      <c r="D2159" s="10">
        <f>PrincipalesVariables[[#This Row],[Base monetaria]]/1000000</f>
        <v>2.423619</v>
      </c>
      <c r="E2159" s="10">
        <v>79.58</v>
      </c>
      <c r="F2159" s="11">
        <v>39191</v>
      </c>
      <c r="H2159" s="12">
        <f>(PrincipalesVariables[[#This Row],[Base monetaria]]-C2158)/C2158</f>
        <v>1.9826627466178217E-2</v>
      </c>
      <c r="I2159" s="12">
        <f>(PrincipalesVariables[[#This Row],[Dólar  mayorista]]-E2158)/E2158</f>
        <v>1.2581781580271051E-3</v>
      </c>
      <c r="J2159" s="12">
        <f>(PrincipalesVariables[[#This Row],[Reservas internacionales]]-F2158)/F2158</f>
        <v>-1.7320869100078964E-3</v>
      </c>
    </row>
    <row r="2160" spans="1:10" ht="15.75" thickBot="1" x14ac:dyDescent="0.3">
      <c r="A2160" s="14">
        <v>44148</v>
      </c>
      <c r="B2160" s="15">
        <v>44148</v>
      </c>
      <c r="C2160" s="16">
        <v>2346526</v>
      </c>
      <c r="D2160" s="10">
        <f>PrincipalesVariables[[#This Row],[Base monetaria]]/1000000</f>
        <v>2.3465259999999999</v>
      </c>
      <c r="E2160" s="10">
        <v>79.73</v>
      </c>
      <c r="F2160" s="11">
        <v>39101</v>
      </c>
      <c r="H2160" s="12">
        <f>(PrincipalesVariables[[#This Row],[Base monetaria]]-C2159)/C2159</f>
        <v>-3.1809042592915802E-2</v>
      </c>
      <c r="I2160" s="12">
        <f>(PrincipalesVariables[[#This Row],[Dólar  mayorista]]-E2159)/E2159</f>
        <v>1.88489570243787E-3</v>
      </c>
      <c r="J2160" s="12">
        <f>(PrincipalesVariables[[#This Row],[Reservas internacionales]]-F2159)/F2159</f>
        <v>-2.296445612513077E-3</v>
      </c>
    </row>
    <row r="2161" spans="1:10" ht="15.75" thickBot="1" x14ac:dyDescent="0.3">
      <c r="A2161" s="14">
        <v>44151</v>
      </c>
      <c r="B2161" s="15">
        <v>44151</v>
      </c>
      <c r="C2161" s="16">
        <v>2366821</v>
      </c>
      <c r="D2161" s="10">
        <f>PrincipalesVariables[[#This Row],[Base monetaria]]/1000000</f>
        <v>2.3668209999999998</v>
      </c>
      <c r="E2161" s="10">
        <v>79.959999999999994</v>
      </c>
      <c r="F2161" s="11">
        <v>39115</v>
      </c>
      <c r="H2161" s="12">
        <f>(PrincipalesVariables[[#This Row],[Base monetaria]]-C2160)/C2160</f>
        <v>8.6489559459388046E-3</v>
      </c>
      <c r="I2161" s="12">
        <f>(PrincipalesVariables[[#This Row],[Dólar  mayorista]]-E2160)/E2160</f>
        <v>2.8847359839456886E-3</v>
      </c>
      <c r="J2161" s="12">
        <f>(PrincipalesVariables[[#This Row],[Reservas internacionales]]-F2160)/F2160</f>
        <v>3.5804710876959669E-4</v>
      </c>
    </row>
    <row r="2162" spans="1:10" ht="15.75" thickBot="1" x14ac:dyDescent="0.3">
      <c r="A2162" s="14">
        <v>44152</v>
      </c>
      <c r="B2162" s="15">
        <v>44152</v>
      </c>
      <c r="C2162" s="16">
        <v>2357825</v>
      </c>
      <c r="D2162" s="10">
        <f>PrincipalesVariables[[#This Row],[Base monetaria]]/1000000</f>
        <v>2.3578250000000001</v>
      </c>
      <c r="E2162" s="10">
        <v>80.03</v>
      </c>
      <c r="F2162" s="11">
        <v>39116</v>
      </c>
      <c r="H2162" s="12">
        <f>(PrincipalesVariables[[#This Row],[Base monetaria]]-C2161)/C2161</f>
        <v>-3.8008789004322675E-3</v>
      </c>
      <c r="I2162" s="12">
        <f>(PrincipalesVariables[[#This Row],[Dólar  mayorista]]-E2161)/E2161</f>
        <v>8.7543771885952222E-4</v>
      </c>
      <c r="J2162" s="12">
        <f>(PrincipalesVariables[[#This Row],[Reservas internacionales]]-F2161)/F2161</f>
        <v>2.5565639780135499E-5</v>
      </c>
    </row>
    <row r="2163" spans="1:10" ht="15.75" thickBot="1" x14ac:dyDescent="0.3">
      <c r="A2163" s="14">
        <v>44153</v>
      </c>
      <c r="B2163" s="15">
        <v>44153</v>
      </c>
      <c r="C2163" s="16">
        <v>2357935</v>
      </c>
      <c r="D2163" s="10">
        <f>PrincipalesVariables[[#This Row],[Base monetaria]]/1000000</f>
        <v>2.3579349999999999</v>
      </c>
      <c r="E2163" s="10">
        <v>80.150000000000006</v>
      </c>
      <c r="F2163" s="11">
        <v>39069</v>
      </c>
      <c r="H2163" s="12">
        <f>(PrincipalesVariables[[#This Row],[Base monetaria]]-C2162)/C2162</f>
        <v>4.6653165523310677E-5</v>
      </c>
      <c r="I2163" s="12">
        <f>(PrincipalesVariables[[#This Row],[Dólar  mayorista]]-E2162)/E2162</f>
        <v>1.4994377108584849E-3</v>
      </c>
      <c r="J2163" s="12">
        <f>(PrincipalesVariables[[#This Row],[Reservas internacionales]]-F2162)/F2162</f>
        <v>-1.2015543511606503E-3</v>
      </c>
    </row>
    <row r="2164" spans="1:10" ht="15.75" thickBot="1" x14ac:dyDescent="0.3">
      <c r="A2164" s="14">
        <v>44154</v>
      </c>
      <c r="B2164" s="15">
        <v>44154</v>
      </c>
      <c r="C2164" s="16">
        <v>2300776</v>
      </c>
      <c r="D2164" s="10">
        <f>PrincipalesVariables[[#This Row],[Base monetaria]]/1000000</f>
        <v>2.3007759999999999</v>
      </c>
      <c r="E2164" s="10">
        <v>80.27</v>
      </c>
      <c r="F2164" s="11">
        <v>38939</v>
      </c>
      <c r="H2164" s="12">
        <f>(PrincipalesVariables[[#This Row],[Base monetaria]]-C2163)/C2163</f>
        <v>-2.4241126239697024E-2</v>
      </c>
      <c r="I2164" s="12">
        <f>(PrincipalesVariables[[#This Row],[Dólar  mayorista]]-E2163)/E2163</f>
        <v>1.4971927635681888E-3</v>
      </c>
      <c r="J2164" s="12">
        <f>(PrincipalesVariables[[#This Row],[Reservas internacionales]]-F2163)/F2163</f>
        <v>-3.327446312933528E-3</v>
      </c>
    </row>
    <row r="2165" spans="1:10" ht="15.75" thickBot="1" x14ac:dyDescent="0.3">
      <c r="A2165" s="14">
        <v>44155</v>
      </c>
      <c r="B2165" s="15">
        <v>44155</v>
      </c>
      <c r="C2165" s="16">
        <v>2298696</v>
      </c>
      <c r="D2165" s="10">
        <f>PrincipalesVariables[[#This Row],[Base monetaria]]/1000000</f>
        <v>2.2986960000000001</v>
      </c>
      <c r="E2165" s="10">
        <v>80.36</v>
      </c>
      <c r="F2165" s="11">
        <v>38945</v>
      </c>
      <c r="H2165" s="12">
        <f>(PrincipalesVariables[[#This Row],[Base monetaria]]-C2164)/C2164</f>
        <v>-9.0404280990413668E-4</v>
      </c>
      <c r="I2165" s="12">
        <f>(PrincipalesVariables[[#This Row],[Dólar  mayorista]]-E2164)/E2164</f>
        <v>1.1212158963498618E-3</v>
      </c>
      <c r="J2165" s="12">
        <f>(PrincipalesVariables[[#This Row],[Reservas internacionales]]-F2164)/F2164</f>
        <v>1.5408716197128842E-4</v>
      </c>
    </row>
    <row r="2166" spans="1:10" ht="15.75" thickBot="1" x14ac:dyDescent="0.3">
      <c r="A2166" s="14">
        <v>44159</v>
      </c>
      <c r="B2166" s="15">
        <v>44159</v>
      </c>
      <c r="C2166" s="16">
        <v>2317419</v>
      </c>
      <c r="D2166" s="10">
        <f>PrincipalesVariables[[#This Row],[Base monetaria]]/1000000</f>
        <v>2.3174190000000001</v>
      </c>
      <c r="E2166" s="10">
        <v>80.69</v>
      </c>
      <c r="F2166" s="11">
        <v>38731</v>
      </c>
      <c r="H2166" s="12">
        <f>(PrincipalesVariables[[#This Row],[Base monetaria]]-C2165)/C2165</f>
        <v>8.1450526733417555E-3</v>
      </c>
      <c r="I2166" s="12">
        <f>(PrincipalesVariables[[#This Row],[Dólar  mayorista]]-E2165)/E2165</f>
        <v>4.1065206570432842E-3</v>
      </c>
      <c r="J2166" s="12">
        <f>(PrincipalesVariables[[#This Row],[Reservas internacionales]]-F2165)/F2165</f>
        <v>-5.4949287456669662E-3</v>
      </c>
    </row>
    <row r="2167" spans="1:10" ht="15.75" thickBot="1" x14ac:dyDescent="0.3">
      <c r="A2167" s="14">
        <v>44160</v>
      </c>
      <c r="B2167" s="15">
        <v>44160</v>
      </c>
      <c r="C2167" s="16">
        <v>2298324</v>
      </c>
      <c r="D2167" s="10">
        <f>PrincipalesVariables[[#This Row],[Base monetaria]]/1000000</f>
        <v>2.298324</v>
      </c>
      <c r="E2167" s="10">
        <v>80.790000000000006</v>
      </c>
      <c r="F2167" s="11">
        <v>38746</v>
      </c>
      <c r="H2167" s="12">
        <f>(PrincipalesVariables[[#This Row],[Base monetaria]]-C2166)/C2166</f>
        <v>-8.2397701926151465E-3</v>
      </c>
      <c r="I2167" s="12">
        <f>(PrincipalesVariables[[#This Row],[Dólar  mayorista]]-E2166)/E2166</f>
        <v>1.2393109431157335E-3</v>
      </c>
      <c r="J2167" s="12">
        <f>(PrincipalesVariables[[#This Row],[Reservas internacionales]]-F2166)/F2166</f>
        <v>3.872866695928326E-4</v>
      </c>
    </row>
    <row r="2168" spans="1:10" ht="15.75" thickBot="1" x14ac:dyDescent="0.3">
      <c r="A2168" s="14">
        <v>44161</v>
      </c>
      <c r="B2168" s="15">
        <v>44161</v>
      </c>
      <c r="C2168" s="16">
        <v>2309235</v>
      </c>
      <c r="D2168" s="10">
        <f>PrincipalesVariables[[#This Row],[Base monetaria]]/1000000</f>
        <v>2.3092350000000001</v>
      </c>
      <c r="E2168" s="10">
        <v>80.89</v>
      </c>
      <c r="F2168" s="11">
        <v>38747</v>
      </c>
      <c r="H2168" s="12">
        <f>(PrincipalesVariables[[#This Row],[Base monetaria]]-C2167)/C2167</f>
        <v>4.7473724331295328E-3</v>
      </c>
      <c r="I2168" s="12">
        <f>(PrincipalesVariables[[#This Row],[Dólar  mayorista]]-E2167)/E2167</f>
        <v>1.2377769525930722E-3</v>
      </c>
      <c r="J2168" s="12">
        <f>(PrincipalesVariables[[#This Row],[Reservas internacionales]]-F2167)/F2167</f>
        <v>2.5809115779693388E-5</v>
      </c>
    </row>
    <row r="2169" spans="1:10" ht="15.75" thickBot="1" x14ac:dyDescent="0.3">
      <c r="A2169" s="14">
        <v>44162</v>
      </c>
      <c r="B2169" s="15">
        <v>44162</v>
      </c>
      <c r="C2169" s="16">
        <v>2335991</v>
      </c>
      <c r="D2169" s="10">
        <f>PrincipalesVariables[[#This Row],[Base monetaria]]/1000000</f>
        <v>2.3359909999999999</v>
      </c>
      <c r="E2169" s="10">
        <v>81.040000000000006</v>
      </c>
      <c r="F2169" s="11">
        <v>38705</v>
      </c>
      <c r="H2169" s="12">
        <f>(PrincipalesVariables[[#This Row],[Base monetaria]]-C2168)/C2168</f>
        <v>1.1586521077326474E-2</v>
      </c>
      <c r="I2169" s="12">
        <f>(PrincipalesVariables[[#This Row],[Dólar  mayorista]]-E2168)/E2168</f>
        <v>1.854370132278473E-3</v>
      </c>
      <c r="J2169" s="12">
        <f>(PrincipalesVariables[[#This Row],[Reservas internacionales]]-F2168)/F2168</f>
        <v>-1.0839548868299481E-3</v>
      </c>
    </row>
    <row r="2170" spans="1:10" ht="15.75" thickBot="1" x14ac:dyDescent="0.3">
      <c r="A2170" s="14">
        <v>44165</v>
      </c>
      <c r="B2170" s="15">
        <v>44165</v>
      </c>
      <c r="C2170" s="16">
        <v>2227275</v>
      </c>
      <c r="D2170" s="10">
        <f>PrincipalesVariables[[#This Row],[Base monetaria]]/1000000</f>
        <v>2.2272750000000001</v>
      </c>
      <c r="E2170" s="10">
        <v>81.3</v>
      </c>
      <c r="F2170" s="11">
        <v>38652</v>
      </c>
      <c r="H2170" s="12">
        <f>(PrincipalesVariables[[#This Row],[Base monetaria]]-C2169)/C2169</f>
        <v>-4.6539562866466523E-2</v>
      </c>
      <c r="I2170" s="12">
        <f>(PrincipalesVariables[[#This Row],[Dólar  mayorista]]-E2169)/E2169</f>
        <v>3.2082922013819213E-3</v>
      </c>
      <c r="J2170" s="12">
        <f>(PrincipalesVariables[[#This Row],[Reservas internacionales]]-F2169)/F2169</f>
        <v>-1.3693321276320889E-3</v>
      </c>
    </row>
    <row r="2171" spans="1:10" ht="15.75" thickBot="1" x14ac:dyDescent="0.3">
      <c r="A2171" s="14">
        <v>44166</v>
      </c>
      <c r="B2171" s="15">
        <v>44166</v>
      </c>
      <c r="C2171" s="16">
        <v>2348085</v>
      </c>
      <c r="D2171" s="10">
        <f>PrincipalesVariables[[#This Row],[Base monetaria]]/1000000</f>
        <v>2.3480850000000002</v>
      </c>
      <c r="E2171" s="10">
        <v>81.400000000000006</v>
      </c>
      <c r="F2171" s="11">
        <v>38619</v>
      </c>
      <c r="H2171" s="12">
        <f>(PrincipalesVariables[[#This Row],[Base monetaria]]-C2170)/C2170</f>
        <v>5.4241169141664144E-2</v>
      </c>
      <c r="I2171" s="12">
        <f>(PrincipalesVariables[[#This Row],[Dólar  mayorista]]-E2170)/E2170</f>
        <v>1.2300123001231062E-3</v>
      </c>
      <c r="J2171" s="12">
        <f>(PrincipalesVariables[[#This Row],[Reservas internacionales]]-F2170)/F2170</f>
        <v>-8.5377212045948466E-4</v>
      </c>
    </row>
    <row r="2172" spans="1:10" ht="15.75" thickBot="1" x14ac:dyDescent="0.3">
      <c r="A2172" s="14">
        <v>44167</v>
      </c>
      <c r="B2172" s="15">
        <v>44167</v>
      </c>
      <c r="C2172" s="16">
        <v>2381678</v>
      </c>
      <c r="D2172" s="10">
        <f>PrincipalesVariables[[#This Row],[Base monetaria]]/1000000</f>
        <v>2.381678</v>
      </c>
      <c r="E2172" s="10">
        <v>81.48</v>
      </c>
      <c r="F2172" s="11">
        <v>38622</v>
      </c>
      <c r="H2172" s="12">
        <f>(PrincipalesVariables[[#This Row],[Base monetaria]]-C2171)/C2171</f>
        <v>1.430655193487459E-2</v>
      </c>
      <c r="I2172" s="12">
        <f>(PrincipalesVariables[[#This Row],[Dólar  mayorista]]-E2171)/E2171</f>
        <v>9.8280098280096174E-4</v>
      </c>
      <c r="J2172" s="12">
        <f>(PrincipalesVariables[[#This Row],[Reservas internacionales]]-F2171)/F2171</f>
        <v>7.7681970014759573E-5</v>
      </c>
    </row>
    <row r="2173" spans="1:10" ht="15.75" thickBot="1" x14ac:dyDescent="0.3">
      <c r="A2173" s="14">
        <v>44168</v>
      </c>
      <c r="B2173" s="15">
        <v>44168</v>
      </c>
      <c r="C2173" s="16">
        <v>2373349</v>
      </c>
      <c r="D2173" s="10">
        <f>PrincipalesVariables[[#This Row],[Base monetaria]]/1000000</f>
        <v>2.3733490000000002</v>
      </c>
      <c r="E2173" s="10">
        <v>81.56</v>
      </c>
      <c r="F2173" s="11">
        <v>38652</v>
      </c>
      <c r="H2173" s="12">
        <f>(PrincipalesVariables[[#This Row],[Base monetaria]]-C2172)/C2172</f>
        <v>-3.4971142194704743E-3</v>
      </c>
      <c r="I2173" s="12">
        <f>(PrincipalesVariables[[#This Row],[Dólar  mayorista]]-E2172)/E2172</f>
        <v>9.8183603338240408E-4</v>
      </c>
      <c r="J2173" s="12">
        <f>(PrincipalesVariables[[#This Row],[Reservas internacionales]]-F2172)/F2172</f>
        <v>7.7675935995028737E-4</v>
      </c>
    </row>
    <row r="2174" spans="1:10" ht="15.75" thickBot="1" x14ac:dyDescent="0.3">
      <c r="A2174" s="14">
        <v>44169</v>
      </c>
      <c r="B2174" s="15">
        <v>44169</v>
      </c>
      <c r="C2174" s="16">
        <v>2381734</v>
      </c>
      <c r="D2174" s="10">
        <f>PrincipalesVariables[[#This Row],[Base monetaria]]/1000000</f>
        <v>2.3817339999999998</v>
      </c>
      <c r="E2174" s="10">
        <v>81.650000000000006</v>
      </c>
      <c r="F2174" s="11">
        <v>38661</v>
      </c>
      <c r="H2174" s="12">
        <f>(PrincipalesVariables[[#This Row],[Base monetaria]]-C2173)/C2173</f>
        <v>3.5329822963247291E-3</v>
      </c>
      <c r="I2174" s="12">
        <f>(PrincipalesVariables[[#This Row],[Dólar  mayorista]]-E2173)/E2173</f>
        <v>1.1034820990682124E-3</v>
      </c>
      <c r="J2174" s="12">
        <f>(PrincipalesVariables[[#This Row],[Reservas internacionales]]-F2173)/F2173</f>
        <v>2.3284694194349582E-4</v>
      </c>
    </row>
    <row r="2175" spans="1:10" ht="15.75" thickBot="1" x14ac:dyDescent="0.3">
      <c r="A2175" s="14">
        <v>44174</v>
      </c>
      <c r="B2175" s="15">
        <v>44174</v>
      </c>
      <c r="C2175" s="16">
        <v>2499287</v>
      </c>
      <c r="D2175" s="10">
        <f>PrincipalesVariables[[#This Row],[Base monetaria]]/1000000</f>
        <v>2.4992869999999998</v>
      </c>
      <c r="E2175" s="10">
        <v>82.05</v>
      </c>
      <c r="F2175" s="11">
        <v>38710</v>
      </c>
      <c r="H2175" s="12">
        <f>(PrincipalesVariables[[#This Row],[Base monetaria]]-C2174)/C2174</f>
        <v>4.9356057393478869E-2</v>
      </c>
      <c r="I2175" s="12">
        <f>(PrincipalesVariables[[#This Row],[Dólar  mayorista]]-E2174)/E2174</f>
        <v>4.8989589712185111E-3</v>
      </c>
      <c r="J2175" s="12">
        <f>(PrincipalesVariables[[#This Row],[Reservas internacionales]]-F2174)/F2174</f>
        <v>1.2674271229404308E-3</v>
      </c>
    </row>
    <row r="2176" spans="1:10" ht="15.75" thickBot="1" x14ac:dyDescent="0.3">
      <c r="A2176" s="14">
        <v>44175</v>
      </c>
      <c r="B2176" s="15">
        <v>44175</v>
      </c>
      <c r="C2176" s="16">
        <v>2498015</v>
      </c>
      <c r="D2176" s="10">
        <f>PrincipalesVariables[[#This Row],[Base monetaria]]/1000000</f>
        <v>2.4980150000000001</v>
      </c>
      <c r="E2176" s="10">
        <v>82.13</v>
      </c>
      <c r="F2176" s="11">
        <v>38744</v>
      </c>
      <c r="H2176" s="12">
        <f>(PrincipalesVariables[[#This Row],[Base monetaria]]-C2175)/C2175</f>
        <v>-5.0894515115710995E-4</v>
      </c>
      <c r="I2176" s="12">
        <f>(PrincipalesVariables[[#This Row],[Dólar  mayorista]]-E2175)/E2175</f>
        <v>9.7501523461302007E-4</v>
      </c>
      <c r="J2176" s="12">
        <f>(PrincipalesVariables[[#This Row],[Reservas internacionales]]-F2175)/F2175</f>
        <v>8.783260139498838E-4</v>
      </c>
    </row>
    <row r="2177" spans="1:10" ht="15.75" thickBot="1" x14ac:dyDescent="0.3">
      <c r="A2177" s="14">
        <v>44176</v>
      </c>
      <c r="B2177" s="15">
        <v>44176</v>
      </c>
      <c r="C2177" s="16">
        <v>2453191</v>
      </c>
      <c r="D2177" s="10">
        <f>PrincipalesVariables[[#This Row],[Base monetaria]]/1000000</f>
        <v>2.4531909999999999</v>
      </c>
      <c r="E2177" s="10">
        <v>82.22</v>
      </c>
      <c r="F2177" s="11">
        <v>38750</v>
      </c>
      <c r="H2177" s="12">
        <f>(PrincipalesVariables[[#This Row],[Base monetaria]]-C2176)/C2176</f>
        <v>-1.7943847414847388E-2</v>
      </c>
      <c r="I2177" s="12">
        <f>(PrincipalesVariables[[#This Row],[Dólar  mayorista]]-E2176)/E2176</f>
        <v>1.0958236941434726E-3</v>
      </c>
      <c r="J2177" s="12">
        <f>(PrincipalesVariables[[#This Row],[Reservas internacionales]]-F2176)/F2176</f>
        <v>1.548626884162709E-4</v>
      </c>
    </row>
    <row r="2178" spans="1:10" ht="15.75" thickBot="1" x14ac:dyDescent="0.3">
      <c r="A2178" s="14">
        <v>44179</v>
      </c>
      <c r="B2178" s="15">
        <v>44179</v>
      </c>
      <c r="C2178" s="16">
        <v>2399648</v>
      </c>
      <c r="D2178" s="10">
        <f>PrincipalesVariables[[#This Row],[Base monetaria]]/1000000</f>
        <v>2.399648</v>
      </c>
      <c r="E2178" s="10">
        <v>82.46</v>
      </c>
      <c r="F2178" s="11">
        <v>38761</v>
      </c>
      <c r="H2178" s="12">
        <f>(PrincipalesVariables[[#This Row],[Base monetaria]]-C2177)/C2177</f>
        <v>-2.1825858646962262E-2</v>
      </c>
      <c r="I2178" s="12">
        <f>(PrincipalesVariables[[#This Row],[Dólar  mayorista]]-E2177)/E2177</f>
        <v>2.9189978107515796E-3</v>
      </c>
      <c r="J2178" s="12">
        <f>(PrincipalesVariables[[#This Row],[Reservas internacionales]]-F2177)/F2177</f>
        <v>2.838709677419355E-4</v>
      </c>
    </row>
    <row r="2179" spans="1:10" ht="15.75" thickBot="1" x14ac:dyDescent="0.3">
      <c r="A2179" s="14">
        <v>44180</v>
      </c>
      <c r="B2179" s="15">
        <v>44180</v>
      </c>
      <c r="C2179" s="16">
        <v>2357286</v>
      </c>
      <c r="D2179" s="10">
        <f>PrincipalesVariables[[#This Row],[Base monetaria]]/1000000</f>
        <v>2.3572860000000002</v>
      </c>
      <c r="E2179" s="10">
        <v>82.54</v>
      </c>
      <c r="F2179" s="11">
        <v>38777</v>
      </c>
      <c r="H2179" s="12">
        <f>(PrincipalesVariables[[#This Row],[Base monetaria]]-C2178)/C2178</f>
        <v>-1.7653422501966956E-2</v>
      </c>
      <c r="I2179" s="12">
        <f>(PrincipalesVariables[[#This Row],[Dólar  mayorista]]-E2178)/E2178</f>
        <v>9.7016735386869408E-4</v>
      </c>
      <c r="J2179" s="12">
        <f>(PrincipalesVariables[[#This Row],[Reservas internacionales]]-F2178)/F2178</f>
        <v>4.1278604783158331E-4</v>
      </c>
    </row>
    <row r="2180" spans="1:10" ht="15.75" thickBot="1" x14ac:dyDescent="0.3">
      <c r="A2180" s="14">
        <v>44181</v>
      </c>
      <c r="B2180" s="15">
        <v>44181</v>
      </c>
      <c r="C2180" s="16">
        <v>2345703</v>
      </c>
      <c r="D2180" s="10">
        <f>PrincipalesVariables[[#This Row],[Base monetaria]]/1000000</f>
        <v>2.3457029999999999</v>
      </c>
      <c r="E2180" s="10">
        <v>82.63</v>
      </c>
      <c r="F2180" s="11">
        <v>38794</v>
      </c>
      <c r="H2180" s="12">
        <f>(PrincipalesVariables[[#This Row],[Base monetaria]]-C2179)/C2179</f>
        <v>-4.9137016043025753E-3</v>
      </c>
      <c r="I2180" s="12">
        <f>(PrincipalesVariables[[#This Row],[Dólar  mayorista]]-E2179)/E2179</f>
        <v>1.0903804216136322E-3</v>
      </c>
      <c r="J2180" s="12">
        <f>(PrincipalesVariables[[#This Row],[Reservas internacionales]]-F2179)/F2179</f>
        <v>4.3840420868040335E-4</v>
      </c>
    </row>
    <row r="2181" spans="1:10" ht="15.75" thickBot="1" x14ac:dyDescent="0.3">
      <c r="A2181" s="14">
        <v>44182</v>
      </c>
      <c r="B2181" s="15">
        <v>44182</v>
      </c>
      <c r="C2181" s="16">
        <v>2400649</v>
      </c>
      <c r="D2181" s="10">
        <f>PrincipalesVariables[[#This Row],[Base monetaria]]/1000000</f>
        <v>2.400649</v>
      </c>
      <c r="E2181" s="10">
        <v>82.72</v>
      </c>
      <c r="F2181" s="11">
        <v>38828</v>
      </c>
      <c r="H2181" s="12">
        <f>(PrincipalesVariables[[#This Row],[Base monetaria]]-C2180)/C2180</f>
        <v>2.3424107826097336E-2</v>
      </c>
      <c r="I2181" s="12">
        <f>(PrincipalesVariables[[#This Row],[Dólar  mayorista]]-E2180)/E2180</f>
        <v>1.0891927871233623E-3</v>
      </c>
      <c r="J2181" s="12">
        <f>(PrincipalesVariables[[#This Row],[Reservas internacionales]]-F2180)/F2180</f>
        <v>8.7642418930762491E-4</v>
      </c>
    </row>
    <row r="2182" spans="1:10" ht="15.75" thickBot="1" x14ac:dyDescent="0.3">
      <c r="A2182" s="14">
        <v>44183</v>
      </c>
      <c r="B2182" s="15">
        <v>44183</v>
      </c>
      <c r="C2182" s="16">
        <v>2433294</v>
      </c>
      <c r="D2182" s="10">
        <f>PrincipalesVariables[[#This Row],[Base monetaria]]/1000000</f>
        <v>2.4332940000000001</v>
      </c>
      <c r="E2182" s="10">
        <v>82.84</v>
      </c>
      <c r="F2182" s="11">
        <v>38835</v>
      </c>
      <c r="H2182" s="12">
        <f>(PrincipalesVariables[[#This Row],[Base monetaria]]-C2181)/C2181</f>
        <v>1.3598406097684418E-2</v>
      </c>
      <c r="I2182" s="12">
        <f>(PrincipalesVariables[[#This Row],[Dólar  mayorista]]-E2181)/E2181</f>
        <v>1.4506769825919311E-3</v>
      </c>
      <c r="J2182" s="12">
        <f>(PrincipalesVariables[[#This Row],[Reservas internacionales]]-F2181)/F2181</f>
        <v>1.8028227052642424E-4</v>
      </c>
    </row>
    <row r="2183" spans="1:10" ht="15.75" thickBot="1" x14ac:dyDescent="0.3">
      <c r="A2183" s="14">
        <v>44186</v>
      </c>
      <c r="B2183" s="15">
        <v>44186</v>
      </c>
      <c r="C2183" s="16">
        <v>2443707</v>
      </c>
      <c r="D2183" s="10">
        <f>PrincipalesVariables[[#This Row],[Base monetaria]]/1000000</f>
        <v>2.4437069999999999</v>
      </c>
      <c r="E2183" s="10">
        <v>83.15</v>
      </c>
      <c r="F2183" s="11">
        <v>38899</v>
      </c>
      <c r="H2183" s="12">
        <f>(PrincipalesVariables[[#This Row],[Base monetaria]]-C2182)/C2182</f>
        <v>4.2793842421014481E-3</v>
      </c>
      <c r="I2183" s="12">
        <f>(PrincipalesVariables[[#This Row],[Dólar  mayorista]]-E2182)/E2182</f>
        <v>3.7421535490101674E-3</v>
      </c>
      <c r="J2183" s="12">
        <f>(PrincipalesVariables[[#This Row],[Reservas internacionales]]-F2182)/F2182</f>
        <v>1.6479979400025749E-3</v>
      </c>
    </row>
    <row r="2184" spans="1:10" ht="15.75" thickBot="1" x14ac:dyDescent="0.3">
      <c r="A2184" s="14">
        <v>44187</v>
      </c>
      <c r="B2184" s="15">
        <v>44187</v>
      </c>
      <c r="C2184" s="16">
        <v>2478663</v>
      </c>
      <c r="D2184" s="10">
        <f>PrincipalesVariables[[#This Row],[Base monetaria]]/1000000</f>
        <v>2.4786630000000001</v>
      </c>
      <c r="E2184" s="10">
        <v>83.25</v>
      </c>
      <c r="F2184" s="11">
        <v>39009</v>
      </c>
      <c r="H2184" s="12">
        <f>(PrincipalesVariables[[#This Row],[Base monetaria]]-C2183)/C2183</f>
        <v>1.4304497224912806E-2</v>
      </c>
      <c r="I2184" s="12">
        <f>(PrincipalesVariables[[#This Row],[Dólar  mayorista]]-E2183)/E2183</f>
        <v>1.2026458208057042E-3</v>
      </c>
      <c r="J2184" s="12">
        <f>(PrincipalesVariables[[#This Row],[Reservas internacionales]]-F2183)/F2183</f>
        <v>2.8278361911617264E-3</v>
      </c>
    </row>
    <row r="2185" spans="1:10" ht="15.75" thickBot="1" x14ac:dyDescent="0.3">
      <c r="A2185" s="14">
        <v>44188</v>
      </c>
      <c r="B2185" s="15">
        <v>44188</v>
      </c>
      <c r="C2185" s="16">
        <v>2402795</v>
      </c>
      <c r="D2185" s="10">
        <f>PrincipalesVariables[[#This Row],[Base monetaria]]/1000000</f>
        <v>2.4027949999999998</v>
      </c>
      <c r="E2185" s="10">
        <v>83.36</v>
      </c>
      <c r="F2185" s="11">
        <v>39216</v>
      </c>
      <c r="H2185" s="12">
        <f>(PrincipalesVariables[[#This Row],[Base monetaria]]-C2184)/C2184</f>
        <v>-3.0608436887144399E-2</v>
      </c>
      <c r="I2185" s="12">
        <f>(PrincipalesVariables[[#This Row],[Dólar  mayorista]]-E2184)/E2184</f>
        <v>1.3213213213213145E-3</v>
      </c>
      <c r="J2185" s="12">
        <f>(PrincipalesVariables[[#This Row],[Reservas internacionales]]-F2184)/F2184</f>
        <v>5.3064677382142584E-3</v>
      </c>
    </row>
    <row r="2186" spans="1:10" ht="15.75" thickBot="1" x14ac:dyDescent="0.3">
      <c r="A2186" s="14">
        <v>44193</v>
      </c>
      <c r="B2186" s="15">
        <v>44193</v>
      </c>
      <c r="C2186" s="16">
        <v>2545437</v>
      </c>
      <c r="D2186" s="10">
        <f>PrincipalesVariables[[#This Row],[Base monetaria]]/1000000</f>
        <v>2.5454370000000002</v>
      </c>
      <c r="E2186" s="10">
        <v>83.91</v>
      </c>
      <c r="F2186" s="11">
        <v>39236</v>
      </c>
      <c r="H2186" s="12">
        <f>(PrincipalesVariables[[#This Row],[Base monetaria]]-C2185)/C2185</f>
        <v>5.9365031140817259E-2</v>
      </c>
      <c r="I2186" s="12">
        <f>(PrincipalesVariables[[#This Row],[Dólar  mayorista]]-E2185)/E2185</f>
        <v>6.5978886756237667E-3</v>
      </c>
      <c r="J2186" s="12">
        <f>(PrincipalesVariables[[#This Row],[Reservas internacionales]]-F2185)/F2185</f>
        <v>5.0999592003263977E-4</v>
      </c>
    </row>
    <row r="2187" spans="1:10" ht="15.75" thickBot="1" x14ac:dyDescent="0.3">
      <c r="A2187" s="14">
        <v>44194</v>
      </c>
      <c r="B2187" s="15">
        <v>44194</v>
      </c>
      <c r="C2187" s="16">
        <v>2581644</v>
      </c>
      <c r="D2187" s="10">
        <f>PrincipalesVariables[[#This Row],[Base monetaria]]/1000000</f>
        <v>2.5816439999999998</v>
      </c>
      <c r="E2187" s="10">
        <v>84.03</v>
      </c>
      <c r="F2187" s="11">
        <v>39281</v>
      </c>
      <c r="H2187" s="12">
        <f>(PrincipalesVariables[[#This Row],[Base monetaria]]-C2186)/C2186</f>
        <v>1.4224276617335255E-2</v>
      </c>
      <c r="I2187" s="12">
        <f>(PrincipalesVariables[[#This Row],[Dólar  mayorista]]-E2186)/E2186</f>
        <v>1.4301036825170367E-3</v>
      </c>
      <c r="J2187" s="12">
        <f>(PrincipalesVariables[[#This Row],[Reservas internacionales]]-F2186)/F2186</f>
        <v>1.1469059027423795E-3</v>
      </c>
    </row>
    <row r="2188" spans="1:10" ht="15.75" thickBot="1" x14ac:dyDescent="0.3">
      <c r="A2188" s="14">
        <v>44195</v>
      </c>
      <c r="B2188" s="15">
        <v>44195</v>
      </c>
      <c r="C2188" s="16">
        <v>2470260</v>
      </c>
      <c r="D2188" s="10">
        <f>PrincipalesVariables[[#This Row],[Base monetaria]]/1000000</f>
        <v>2.4702600000000001</v>
      </c>
      <c r="E2188" s="10">
        <v>84.15</v>
      </c>
      <c r="F2188" s="11">
        <v>39387</v>
      </c>
      <c r="H2188" s="12">
        <f>(PrincipalesVariables[[#This Row],[Base monetaria]]-C2187)/C2187</f>
        <v>-4.3144600882228532E-2</v>
      </c>
      <c r="I2188" s="12">
        <f>(PrincipalesVariables[[#This Row],[Dólar  mayorista]]-E2187)/E2187</f>
        <v>1.4280614066405396E-3</v>
      </c>
      <c r="J2188" s="12">
        <f>(PrincipalesVariables[[#This Row],[Reservas internacionales]]-F2187)/F2187</f>
        <v>2.6985056388584812E-3</v>
      </c>
    </row>
    <row r="2189" spans="1:10" ht="15.75" thickBot="1" x14ac:dyDescent="0.3">
      <c r="A2189" s="14">
        <v>44200</v>
      </c>
      <c r="B2189" s="15">
        <v>44200</v>
      </c>
      <c r="C2189" s="16">
        <v>2626749</v>
      </c>
      <c r="D2189" s="10">
        <f>PrincipalesVariables[[#This Row],[Base monetaria]]/1000000</f>
        <v>2.6267489999999998</v>
      </c>
      <c r="E2189" s="10">
        <v>84.7</v>
      </c>
      <c r="F2189" s="11">
        <v>39501</v>
      </c>
      <c r="H2189" s="12">
        <f>(PrincipalesVariables[[#This Row],[Base monetaria]]-C2188)/C2188</f>
        <v>6.33492021082801E-2</v>
      </c>
      <c r="I2189" s="12">
        <f>(PrincipalesVariables[[#This Row],[Dólar  mayorista]]-E2188)/E2188</f>
        <v>6.5359477124182662E-3</v>
      </c>
      <c r="J2189" s="12">
        <f>(PrincipalesVariables[[#This Row],[Reservas internacionales]]-F2188)/F2188</f>
        <v>2.8943560057887118E-3</v>
      </c>
    </row>
    <row r="2190" spans="1:10" ht="15.75" thickBot="1" x14ac:dyDescent="0.3">
      <c r="A2190" s="14">
        <v>44201</v>
      </c>
      <c r="B2190" s="15">
        <v>44201</v>
      </c>
      <c r="C2190" s="16">
        <v>2619285</v>
      </c>
      <c r="D2190" s="10">
        <f>PrincipalesVariables[[#This Row],[Base monetaria]]/1000000</f>
        <v>2.6192850000000001</v>
      </c>
      <c r="E2190" s="10">
        <v>84.8</v>
      </c>
      <c r="F2190" s="11">
        <v>39540</v>
      </c>
      <c r="H2190" s="12">
        <f>(PrincipalesVariables[[#This Row],[Base monetaria]]-C2189)/C2189</f>
        <v>-2.841535297053506E-3</v>
      </c>
      <c r="I2190" s="12">
        <f>(PrincipalesVariables[[#This Row],[Dólar  mayorista]]-E2189)/E2189</f>
        <v>1.1806375442738408E-3</v>
      </c>
      <c r="J2190" s="12">
        <f>(PrincipalesVariables[[#This Row],[Reservas internacionales]]-F2189)/F2189</f>
        <v>9.8731677679046097E-4</v>
      </c>
    </row>
    <row r="2191" spans="1:10" ht="15.75" thickBot="1" x14ac:dyDescent="0.3">
      <c r="A2191" s="14">
        <v>44202</v>
      </c>
      <c r="B2191" s="15">
        <v>44202</v>
      </c>
      <c r="C2191" s="16">
        <v>2659023</v>
      </c>
      <c r="D2191" s="10">
        <f>PrincipalesVariables[[#This Row],[Base monetaria]]/1000000</f>
        <v>2.6590229999999999</v>
      </c>
      <c r="E2191" s="10">
        <v>84.9</v>
      </c>
      <c r="F2191" s="11">
        <v>39546</v>
      </c>
      <c r="H2191" s="12">
        <f>(PrincipalesVariables[[#This Row],[Base monetaria]]-C2190)/C2190</f>
        <v>1.5171315836191938E-2</v>
      </c>
      <c r="I2191" s="12">
        <f>(PrincipalesVariables[[#This Row],[Dólar  mayorista]]-E2190)/E2190</f>
        <v>1.1792452830189685E-3</v>
      </c>
      <c r="J2191" s="12">
        <f>(PrincipalesVariables[[#This Row],[Reservas internacionales]]-F2190)/F2190</f>
        <v>1.5174506828528073E-4</v>
      </c>
    </row>
    <row r="2192" spans="1:10" ht="15.75" thickBot="1" x14ac:dyDescent="0.3">
      <c r="A2192" s="14">
        <v>44203</v>
      </c>
      <c r="B2192" s="15">
        <v>44203</v>
      </c>
      <c r="C2192" s="16">
        <v>2683991</v>
      </c>
      <c r="D2192" s="10">
        <f>PrincipalesVariables[[#This Row],[Base monetaria]]/1000000</f>
        <v>2.6839909999999998</v>
      </c>
      <c r="E2192" s="10">
        <v>85</v>
      </c>
      <c r="F2192" s="11">
        <v>39556</v>
      </c>
      <c r="H2192" s="12">
        <f>(PrincipalesVariables[[#This Row],[Base monetaria]]-C2191)/C2191</f>
        <v>9.3899150176587412E-3</v>
      </c>
      <c r="I2192" s="12">
        <f>(PrincipalesVariables[[#This Row],[Dólar  mayorista]]-E2191)/E2191</f>
        <v>1.1778563015311461E-3</v>
      </c>
      <c r="J2192" s="12">
        <f>(PrincipalesVariables[[#This Row],[Reservas internacionales]]-F2191)/F2191</f>
        <v>2.5287007535528244E-4</v>
      </c>
    </row>
    <row r="2193" spans="1:10" ht="15.75" thickBot="1" x14ac:dyDescent="0.3">
      <c r="A2193" s="14">
        <v>44204</v>
      </c>
      <c r="B2193" s="15">
        <v>44204</v>
      </c>
      <c r="C2193" s="16">
        <v>2573812</v>
      </c>
      <c r="D2193" s="10">
        <f>PrincipalesVariables[[#This Row],[Base monetaria]]/1000000</f>
        <v>2.5738120000000002</v>
      </c>
      <c r="E2193" s="10">
        <v>85.11</v>
      </c>
      <c r="F2193" s="11">
        <v>39462</v>
      </c>
      <c r="H2193" s="12">
        <f>(PrincipalesVariables[[#This Row],[Base monetaria]]-C2192)/C2192</f>
        <v>-4.1050435713085476E-2</v>
      </c>
      <c r="I2193" s="12">
        <f>(PrincipalesVariables[[#This Row],[Dólar  mayorista]]-E2192)/E2192</f>
        <v>1.2941176470588169E-3</v>
      </c>
      <c r="J2193" s="12">
        <f>(PrincipalesVariables[[#This Row],[Reservas internacionales]]-F2192)/F2192</f>
        <v>-2.376377793507938E-3</v>
      </c>
    </row>
    <row r="2194" spans="1:10" ht="15.75" thickBot="1" x14ac:dyDescent="0.3">
      <c r="A2194" s="14">
        <v>44207</v>
      </c>
      <c r="B2194" s="15">
        <v>44207</v>
      </c>
      <c r="C2194" s="16">
        <v>2594939</v>
      </c>
      <c r="D2194" s="10">
        <f>PrincipalesVariables[[#This Row],[Base monetaria]]/1000000</f>
        <v>2.5949390000000001</v>
      </c>
      <c r="E2194" s="10">
        <v>85.38</v>
      </c>
      <c r="F2194" s="11">
        <v>39605</v>
      </c>
      <c r="H2194" s="12">
        <f>(PrincipalesVariables[[#This Row],[Base monetaria]]-C2193)/C2193</f>
        <v>8.2084472370165338E-3</v>
      </c>
      <c r="I2194" s="12">
        <f>(PrincipalesVariables[[#This Row],[Dólar  mayorista]]-E2193)/E2193</f>
        <v>3.172365174480038E-3</v>
      </c>
      <c r="J2194" s="12">
        <f>(PrincipalesVariables[[#This Row],[Reservas internacionales]]-F2193)/F2193</f>
        <v>3.6237392934975418E-3</v>
      </c>
    </row>
    <row r="2195" spans="1:10" ht="15.75" thickBot="1" x14ac:dyDescent="0.3">
      <c r="A2195" s="14">
        <v>44208</v>
      </c>
      <c r="B2195" s="15">
        <v>44208</v>
      </c>
      <c r="C2195" s="16">
        <v>2600714</v>
      </c>
      <c r="D2195" s="10">
        <f>PrincipalesVariables[[#This Row],[Base monetaria]]/1000000</f>
        <v>2.600714</v>
      </c>
      <c r="E2195" s="10">
        <v>85.47</v>
      </c>
      <c r="F2195" s="11">
        <v>39708</v>
      </c>
      <c r="H2195" s="12">
        <f>(PrincipalesVariables[[#This Row],[Base monetaria]]-C2194)/C2194</f>
        <v>2.2254858399368927E-3</v>
      </c>
      <c r="I2195" s="12">
        <f>(PrincipalesVariables[[#This Row],[Dólar  mayorista]]-E2194)/E2194</f>
        <v>1.0541110330288524E-3</v>
      </c>
      <c r="J2195" s="12">
        <f>(PrincipalesVariables[[#This Row],[Reservas internacionales]]-F2194)/F2194</f>
        <v>2.6006817321045325E-3</v>
      </c>
    </row>
    <row r="2196" spans="1:10" ht="15.75" thickBot="1" x14ac:dyDescent="0.3">
      <c r="A2196" s="14">
        <v>44209</v>
      </c>
      <c r="B2196" s="15">
        <v>44209</v>
      </c>
      <c r="C2196" s="16">
        <v>2658564</v>
      </c>
      <c r="D2196" s="10">
        <f>PrincipalesVariables[[#This Row],[Base monetaria]]/1000000</f>
        <v>2.6585640000000001</v>
      </c>
      <c r="E2196" s="10">
        <v>85.56</v>
      </c>
      <c r="F2196" s="11">
        <v>39765</v>
      </c>
      <c r="H2196" s="12">
        <f>(PrincipalesVariables[[#This Row],[Base monetaria]]-C2195)/C2195</f>
        <v>2.2243891485184453E-2</v>
      </c>
      <c r="I2196" s="12">
        <f>(PrincipalesVariables[[#This Row],[Dólar  mayorista]]-E2195)/E2195</f>
        <v>1.0530010530010929E-3</v>
      </c>
      <c r="J2196" s="12">
        <f>(PrincipalesVariables[[#This Row],[Reservas internacionales]]-F2195)/F2195</f>
        <v>1.4354789966757328E-3</v>
      </c>
    </row>
    <row r="2197" spans="1:10" ht="15.75" thickBot="1" x14ac:dyDescent="0.3">
      <c r="A2197" s="14">
        <v>44210</v>
      </c>
      <c r="B2197" s="15">
        <v>44210</v>
      </c>
      <c r="C2197" s="16">
        <v>2631199</v>
      </c>
      <c r="D2197" s="10">
        <f>PrincipalesVariables[[#This Row],[Base monetaria]]/1000000</f>
        <v>2.6311990000000001</v>
      </c>
      <c r="E2197" s="10">
        <v>85.65</v>
      </c>
      <c r="F2197" s="11">
        <v>39791</v>
      </c>
      <c r="H2197" s="12">
        <f>(PrincipalesVariables[[#This Row],[Base monetaria]]-C2196)/C2196</f>
        <v>-1.029315073851899E-2</v>
      </c>
      <c r="I2197" s="12">
        <f>(PrincipalesVariables[[#This Row],[Dólar  mayorista]]-E2196)/E2196</f>
        <v>1.0518934081346822E-3</v>
      </c>
      <c r="J2197" s="12">
        <f>(PrincipalesVariables[[#This Row],[Reservas internacionales]]-F2196)/F2196</f>
        <v>6.5384131774173272E-4</v>
      </c>
    </row>
    <row r="2198" spans="1:10" ht="15.75" thickBot="1" x14ac:dyDescent="0.3">
      <c r="A2198" s="14">
        <v>44211</v>
      </c>
      <c r="B2198" s="15">
        <v>44211</v>
      </c>
      <c r="C2198" s="16">
        <v>2599580</v>
      </c>
      <c r="D2198" s="10">
        <f>PrincipalesVariables[[#This Row],[Base monetaria]]/1000000</f>
        <v>2.59958</v>
      </c>
      <c r="E2198" s="10">
        <v>85.74</v>
      </c>
      <c r="F2198" s="11">
        <v>39808</v>
      </c>
      <c r="H2198" s="12">
        <f>(PrincipalesVariables[[#This Row],[Base monetaria]]-C2197)/C2197</f>
        <v>-1.2016955007964051E-2</v>
      </c>
      <c r="I2198" s="12">
        <f>(PrincipalesVariables[[#This Row],[Dólar  mayorista]]-E2197)/E2197</f>
        <v>1.0507880910681751E-3</v>
      </c>
      <c r="J2198" s="12">
        <f>(PrincipalesVariables[[#This Row],[Reservas internacionales]]-F2197)/F2197</f>
        <v>4.2723228870850192E-4</v>
      </c>
    </row>
    <row r="2199" spans="1:10" ht="15.75" thickBot="1" x14ac:dyDescent="0.3">
      <c r="A2199" s="14">
        <v>44214</v>
      </c>
      <c r="B2199" s="15">
        <v>44214</v>
      </c>
      <c r="C2199" s="16">
        <v>2565029</v>
      </c>
      <c r="D2199" s="10">
        <f>PrincipalesVariables[[#This Row],[Base monetaria]]/1000000</f>
        <v>2.565029</v>
      </c>
      <c r="E2199" s="10">
        <v>86.07</v>
      </c>
      <c r="F2199" s="11">
        <v>39812</v>
      </c>
      <c r="H2199" s="12">
        <f>(PrincipalesVariables[[#This Row],[Base monetaria]]-C2198)/C2198</f>
        <v>-1.3290993160433608E-2</v>
      </c>
      <c r="I2199" s="12">
        <f>(PrincipalesVariables[[#This Row],[Dólar  mayorista]]-E2198)/E2198</f>
        <v>3.8488453463960616E-3</v>
      </c>
      <c r="J2199" s="12">
        <f>(PrincipalesVariables[[#This Row],[Reservas internacionales]]-F2198)/F2198</f>
        <v>1.0048231511254019E-4</v>
      </c>
    </row>
    <row r="2200" spans="1:10" ht="15.75" thickBot="1" x14ac:dyDescent="0.3">
      <c r="A2200" s="14">
        <v>44215</v>
      </c>
      <c r="B2200" s="15">
        <v>44215</v>
      </c>
      <c r="C2200" s="16">
        <v>2570533</v>
      </c>
      <c r="D2200" s="10">
        <f>PrincipalesVariables[[#This Row],[Base monetaria]]/1000000</f>
        <v>2.5705330000000002</v>
      </c>
      <c r="E2200" s="10">
        <v>86.2</v>
      </c>
      <c r="F2200" s="11">
        <v>39779</v>
      </c>
      <c r="H2200" s="12">
        <f>(PrincipalesVariables[[#This Row],[Base monetaria]]-C2199)/C2199</f>
        <v>2.1457847065276844E-3</v>
      </c>
      <c r="I2200" s="12">
        <f>(PrincipalesVariables[[#This Row],[Dólar  mayorista]]-E2199)/E2199</f>
        <v>1.5103985128384998E-3</v>
      </c>
      <c r="J2200" s="12">
        <f>(PrincipalesVariables[[#This Row],[Reservas internacionales]]-F2199)/F2199</f>
        <v>-8.2889581030844975E-4</v>
      </c>
    </row>
    <row r="2201" spans="1:10" ht="15.75" thickBot="1" x14ac:dyDescent="0.3">
      <c r="A2201" s="14">
        <v>44216</v>
      </c>
      <c r="B2201" s="15">
        <v>44216</v>
      </c>
      <c r="C2201" s="16">
        <v>2602345</v>
      </c>
      <c r="D2201" s="10">
        <f>PrincipalesVariables[[#This Row],[Base monetaria]]/1000000</f>
        <v>2.6023450000000001</v>
      </c>
      <c r="E2201" s="10">
        <v>86.32</v>
      </c>
      <c r="F2201" s="11">
        <v>39741</v>
      </c>
      <c r="H2201" s="12">
        <f>(PrincipalesVariables[[#This Row],[Base monetaria]]-C2200)/C2200</f>
        <v>1.2375643494948324E-2</v>
      </c>
      <c r="I2201" s="12">
        <f>(PrincipalesVariables[[#This Row],[Dólar  mayorista]]-E2200)/E2200</f>
        <v>1.3921113689094006E-3</v>
      </c>
      <c r="J2201" s="12">
        <f>(PrincipalesVariables[[#This Row],[Reservas internacionales]]-F2200)/F2200</f>
        <v>-9.5527791045526536E-4</v>
      </c>
    </row>
    <row r="2202" spans="1:10" ht="15.75" thickBot="1" x14ac:dyDescent="0.3">
      <c r="A2202" s="14">
        <v>44217</v>
      </c>
      <c r="B2202" s="15">
        <v>44217</v>
      </c>
      <c r="C2202" s="16">
        <v>2606416</v>
      </c>
      <c r="D2202" s="10">
        <f>PrincipalesVariables[[#This Row],[Base monetaria]]/1000000</f>
        <v>2.6064159999999998</v>
      </c>
      <c r="E2202" s="10">
        <v>86.43</v>
      </c>
      <c r="F2202" s="11">
        <v>39757</v>
      </c>
      <c r="H2202" s="12">
        <f>(PrincipalesVariables[[#This Row],[Base monetaria]]-C2201)/C2201</f>
        <v>1.5643582999179586E-3</v>
      </c>
      <c r="I2202" s="12">
        <f>(PrincipalesVariables[[#This Row],[Dólar  mayorista]]-E2201)/E2201</f>
        <v>1.2743280815571553E-3</v>
      </c>
      <c r="J2202" s="12">
        <f>(PrincipalesVariables[[#This Row],[Reservas internacionales]]-F2201)/F2201</f>
        <v>4.0260687954505421E-4</v>
      </c>
    </row>
    <row r="2203" spans="1:10" ht="15.75" thickBot="1" x14ac:dyDescent="0.3">
      <c r="A2203" s="14">
        <v>44218</v>
      </c>
      <c r="B2203" s="15">
        <v>44218</v>
      </c>
      <c r="C2203" s="16">
        <v>2617990</v>
      </c>
      <c r="D2203" s="10">
        <f>PrincipalesVariables[[#This Row],[Base monetaria]]/1000000</f>
        <v>2.6179899999999998</v>
      </c>
      <c r="E2203" s="10">
        <v>86.55</v>
      </c>
      <c r="F2203" s="11">
        <v>39687</v>
      </c>
      <c r="H2203" s="12">
        <f>(PrincipalesVariables[[#This Row],[Base monetaria]]-C2202)/C2202</f>
        <v>4.4405804752579792E-3</v>
      </c>
      <c r="I2203" s="12">
        <f>(PrincipalesVariables[[#This Row],[Dólar  mayorista]]-E2202)/E2202</f>
        <v>1.3884068031932238E-3</v>
      </c>
      <c r="J2203" s="12">
        <f>(PrincipalesVariables[[#This Row],[Reservas internacionales]]-F2202)/F2202</f>
        <v>-1.7606962295947882E-3</v>
      </c>
    </row>
    <row r="2204" spans="1:10" ht="15.75" thickBot="1" x14ac:dyDescent="0.3">
      <c r="A2204" s="14">
        <v>44221</v>
      </c>
      <c r="B2204" s="15">
        <v>44221</v>
      </c>
      <c r="C2204" s="16">
        <v>2622777</v>
      </c>
      <c r="D2204" s="10">
        <f>PrincipalesVariables[[#This Row],[Base monetaria]]/1000000</f>
        <v>2.6227770000000001</v>
      </c>
      <c r="E2204" s="10">
        <v>86.91</v>
      </c>
      <c r="F2204" s="11">
        <v>39690</v>
      </c>
      <c r="H2204" s="12">
        <f>(PrincipalesVariables[[#This Row],[Base monetaria]]-C2203)/C2203</f>
        <v>1.8285020187242885E-3</v>
      </c>
      <c r="I2204" s="12">
        <f>(PrincipalesVariables[[#This Row],[Dólar  mayorista]]-E2203)/E2203</f>
        <v>4.1594454072790233E-3</v>
      </c>
      <c r="J2204" s="12">
        <f>(PrincipalesVariables[[#This Row],[Reservas internacionales]]-F2203)/F2203</f>
        <v>7.559150351500492E-5</v>
      </c>
    </row>
    <row r="2205" spans="1:10" ht="15.75" thickBot="1" x14ac:dyDescent="0.3">
      <c r="A2205" s="14">
        <v>44222</v>
      </c>
      <c r="B2205" s="15">
        <v>44222</v>
      </c>
      <c r="C2205" s="16">
        <v>2600284</v>
      </c>
      <c r="D2205" s="10">
        <f>PrincipalesVariables[[#This Row],[Base monetaria]]/1000000</f>
        <v>2.6002839999999998</v>
      </c>
      <c r="E2205" s="10">
        <v>87.02</v>
      </c>
      <c r="F2205" s="11">
        <v>39627</v>
      </c>
      <c r="H2205" s="12">
        <f>(PrincipalesVariables[[#This Row],[Base monetaria]]-C2204)/C2204</f>
        <v>-8.576024572428384E-3</v>
      </c>
      <c r="I2205" s="12">
        <f>(PrincipalesVariables[[#This Row],[Dólar  mayorista]]-E2204)/E2204</f>
        <v>1.2656771372684321E-3</v>
      </c>
      <c r="J2205" s="12">
        <f>(PrincipalesVariables[[#This Row],[Reservas internacionales]]-F2204)/F2204</f>
        <v>-1.5873015873015873E-3</v>
      </c>
    </row>
    <row r="2206" spans="1:10" ht="15.75" thickBot="1" x14ac:dyDescent="0.3">
      <c r="A2206" s="14">
        <v>44223</v>
      </c>
      <c r="B2206" s="15">
        <v>44223</v>
      </c>
      <c r="C2206" s="16">
        <v>2563543</v>
      </c>
      <c r="D2206" s="10">
        <f>PrincipalesVariables[[#This Row],[Base monetaria]]/1000000</f>
        <v>2.5635430000000001</v>
      </c>
      <c r="E2206" s="10">
        <v>87.12</v>
      </c>
      <c r="F2206" s="11">
        <v>39450</v>
      </c>
      <c r="H2206" s="12">
        <f>(PrincipalesVariables[[#This Row],[Base monetaria]]-C2205)/C2205</f>
        <v>-1.4129610457934596E-2</v>
      </c>
      <c r="I2206" s="12">
        <f>(PrincipalesVariables[[#This Row],[Dólar  mayorista]]-E2205)/E2205</f>
        <v>1.1491611123880549E-3</v>
      </c>
      <c r="J2206" s="12">
        <f>(PrincipalesVariables[[#This Row],[Reservas internacionales]]-F2205)/F2205</f>
        <v>-4.4666515254750553E-3</v>
      </c>
    </row>
    <row r="2207" spans="1:10" ht="15.75" thickBot="1" x14ac:dyDescent="0.3">
      <c r="A2207" s="14">
        <v>44224</v>
      </c>
      <c r="B2207" s="15">
        <v>44224</v>
      </c>
      <c r="C2207" s="16">
        <v>2592948</v>
      </c>
      <c r="D2207" s="10">
        <f>PrincipalesVariables[[#This Row],[Base monetaria]]/1000000</f>
        <v>2.5929479999999998</v>
      </c>
      <c r="E2207" s="10">
        <v>87.22</v>
      </c>
      <c r="F2207" s="11">
        <v>39482</v>
      </c>
      <c r="H2207" s="12">
        <f>(PrincipalesVariables[[#This Row],[Base monetaria]]-C2206)/C2206</f>
        <v>1.1470453197001181E-2</v>
      </c>
      <c r="I2207" s="12">
        <f>(PrincipalesVariables[[#This Row],[Dólar  mayorista]]-E2206)/E2206</f>
        <v>1.1478420569329007E-3</v>
      </c>
      <c r="J2207" s="12">
        <f>(PrincipalesVariables[[#This Row],[Reservas internacionales]]-F2206)/F2206</f>
        <v>8.1115335868187576E-4</v>
      </c>
    </row>
    <row r="2208" spans="1:10" ht="15.75" thickBot="1" x14ac:dyDescent="0.3">
      <c r="A2208" s="14">
        <v>44225</v>
      </c>
      <c r="B2208" s="15">
        <v>44225</v>
      </c>
      <c r="C2208" s="16">
        <v>2481310</v>
      </c>
      <c r="D2208" s="10">
        <f>PrincipalesVariables[[#This Row],[Base monetaria]]/1000000</f>
        <v>2.4813100000000001</v>
      </c>
      <c r="E2208" s="10">
        <v>87.3</v>
      </c>
      <c r="F2208" s="11">
        <v>39515</v>
      </c>
      <c r="H2208" s="12">
        <f>(PrincipalesVariables[[#This Row],[Base monetaria]]-C2207)/C2207</f>
        <v>-4.3054469275897553E-2</v>
      </c>
      <c r="I2208" s="12">
        <f>(PrincipalesVariables[[#This Row],[Dólar  mayorista]]-E2207)/E2207</f>
        <v>9.1722082091261518E-4</v>
      </c>
      <c r="J2208" s="12">
        <f>(PrincipalesVariables[[#This Row],[Reservas internacionales]]-F2207)/F2207</f>
        <v>8.3582391976090369E-4</v>
      </c>
    </row>
    <row r="2209" spans="1:10" ht="15.75" thickBot="1" x14ac:dyDescent="0.3">
      <c r="A2209" s="14">
        <v>44228</v>
      </c>
      <c r="B2209" s="15">
        <v>44228</v>
      </c>
      <c r="C2209" s="16">
        <v>2604378</v>
      </c>
      <c r="D2209" s="10">
        <f>PrincipalesVariables[[#This Row],[Base monetaria]]/1000000</f>
        <v>2.6043780000000001</v>
      </c>
      <c r="E2209" s="10">
        <v>87.61</v>
      </c>
      <c r="F2209" s="11">
        <v>39460</v>
      </c>
      <c r="H2209" s="12">
        <f>(PrincipalesVariables[[#This Row],[Base monetaria]]-C2208)/C2208</f>
        <v>4.9597994607687067E-2</v>
      </c>
      <c r="I2209" s="12">
        <f>(PrincipalesVariables[[#This Row],[Dólar  mayorista]]-E2208)/E2208</f>
        <v>3.5509736540664636E-3</v>
      </c>
      <c r="J2209" s="12">
        <f>(PrincipalesVariables[[#This Row],[Reservas internacionales]]-F2208)/F2208</f>
        <v>-1.3918765025939517E-3</v>
      </c>
    </row>
    <row r="2210" spans="1:10" ht="15.75" thickBot="1" x14ac:dyDescent="0.3">
      <c r="A2210" s="14">
        <v>44229</v>
      </c>
      <c r="B2210" s="15">
        <v>44229</v>
      </c>
      <c r="C2210" s="16">
        <v>2606204</v>
      </c>
      <c r="D2210" s="10">
        <f>PrincipalesVariables[[#This Row],[Base monetaria]]/1000000</f>
        <v>2.606204</v>
      </c>
      <c r="E2210" s="10">
        <v>87.7</v>
      </c>
      <c r="F2210" s="11">
        <v>39453</v>
      </c>
      <c r="H2210" s="12">
        <f>(PrincipalesVariables[[#This Row],[Base monetaria]]-C2209)/C2209</f>
        <v>7.011271021334077E-4</v>
      </c>
      <c r="I2210" s="12">
        <f>(PrincipalesVariables[[#This Row],[Dólar  mayorista]]-E2209)/E2209</f>
        <v>1.0272799908686613E-3</v>
      </c>
      <c r="J2210" s="12">
        <f>(PrincipalesVariables[[#This Row],[Reservas internacionales]]-F2209)/F2209</f>
        <v>-1.7739483020780538E-4</v>
      </c>
    </row>
    <row r="2211" spans="1:10" ht="15.75" thickBot="1" x14ac:dyDescent="0.3">
      <c r="A2211" s="14">
        <v>44230</v>
      </c>
      <c r="B2211" s="15">
        <v>44230</v>
      </c>
      <c r="C2211" s="16">
        <v>2610745</v>
      </c>
      <c r="D2211" s="10">
        <f>PrincipalesVariables[[#This Row],[Base monetaria]]/1000000</f>
        <v>2.6107450000000001</v>
      </c>
      <c r="E2211" s="10">
        <v>87.81</v>
      </c>
      <c r="F2211" s="11">
        <v>39473</v>
      </c>
      <c r="H2211" s="12">
        <f>(PrincipalesVariables[[#This Row],[Base monetaria]]-C2210)/C2210</f>
        <v>1.7423808727175616E-3</v>
      </c>
      <c r="I2211" s="12">
        <f>(PrincipalesVariables[[#This Row],[Dólar  mayorista]]-E2210)/E2210</f>
        <v>1.254275940706949E-3</v>
      </c>
      <c r="J2211" s="12">
        <f>(PrincipalesVariables[[#This Row],[Reservas internacionales]]-F2210)/F2210</f>
        <v>5.0693229919144297E-4</v>
      </c>
    </row>
    <row r="2212" spans="1:10" ht="15.75" thickBot="1" x14ac:dyDescent="0.3">
      <c r="A2212" s="14">
        <v>44231</v>
      </c>
      <c r="B2212" s="15">
        <v>44231</v>
      </c>
      <c r="C2212" s="16">
        <v>2599444</v>
      </c>
      <c r="D2212" s="10">
        <f>PrincipalesVariables[[#This Row],[Base monetaria]]/1000000</f>
        <v>2.5994440000000001</v>
      </c>
      <c r="E2212" s="10">
        <v>87.91</v>
      </c>
      <c r="F2212" s="11">
        <v>39134</v>
      </c>
      <c r="H2212" s="12">
        <f>(PrincipalesVariables[[#This Row],[Base monetaria]]-C2211)/C2211</f>
        <v>-4.3286494851086568E-3</v>
      </c>
      <c r="I2212" s="12">
        <f>(PrincipalesVariables[[#This Row],[Dólar  mayorista]]-E2211)/E2211</f>
        <v>1.1388224575787987E-3</v>
      </c>
      <c r="J2212" s="12">
        <f>(PrincipalesVariables[[#This Row],[Reservas internacionales]]-F2211)/F2211</f>
        <v>-8.5881488612469283E-3</v>
      </c>
    </row>
    <row r="2213" spans="1:10" ht="15.75" thickBot="1" x14ac:dyDescent="0.3">
      <c r="A2213" s="14">
        <v>44232</v>
      </c>
      <c r="B2213" s="15">
        <v>44232</v>
      </c>
      <c r="C2213" s="16">
        <v>2586380</v>
      </c>
      <c r="D2213" s="10">
        <f>PrincipalesVariables[[#This Row],[Base monetaria]]/1000000</f>
        <v>2.5863800000000001</v>
      </c>
      <c r="E2213" s="10">
        <v>88.01</v>
      </c>
      <c r="F2213" s="11">
        <v>39174</v>
      </c>
      <c r="H2213" s="12">
        <f>(PrincipalesVariables[[#This Row],[Base monetaria]]-C2212)/C2212</f>
        <v>-5.0256901091156421E-3</v>
      </c>
      <c r="I2213" s="12">
        <f>(PrincipalesVariables[[#This Row],[Dólar  mayorista]]-E2212)/E2212</f>
        <v>1.1375270162667333E-3</v>
      </c>
      <c r="J2213" s="12">
        <f>(PrincipalesVariables[[#This Row],[Reservas internacionales]]-F2212)/F2212</f>
        <v>1.0221290949046864E-3</v>
      </c>
    </row>
    <row r="2214" spans="1:10" ht="15.75" thickBot="1" x14ac:dyDescent="0.3">
      <c r="A2214" s="14">
        <v>44235</v>
      </c>
      <c r="B2214" s="15">
        <v>44235</v>
      </c>
      <c r="C2214" s="16">
        <v>2634436</v>
      </c>
      <c r="D2214" s="10">
        <f>PrincipalesVariables[[#This Row],[Base monetaria]]/1000000</f>
        <v>2.634436</v>
      </c>
      <c r="E2214" s="10">
        <v>88.17</v>
      </c>
      <c r="F2214" s="11">
        <v>39233</v>
      </c>
      <c r="H2214" s="12">
        <f>(PrincipalesVariables[[#This Row],[Base monetaria]]-C2213)/C2213</f>
        <v>1.8580409684578445E-2</v>
      </c>
      <c r="I2214" s="12">
        <f>(PrincipalesVariables[[#This Row],[Dólar  mayorista]]-E2213)/E2213</f>
        <v>1.8179752300874511E-3</v>
      </c>
      <c r="J2214" s="12">
        <f>(PrincipalesVariables[[#This Row],[Reservas internacionales]]-F2213)/F2213</f>
        <v>1.5061009853474243E-3</v>
      </c>
    </row>
    <row r="2215" spans="1:10" ht="15.75" thickBot="1" x14ac:dyDescent="0.3">
      <c r="A2215" s="14">
        <v>44236</v>
      </c>
      <c r="B2215" s="15">
        <v>44236</v>
      </c>
      <c r="C2215" s="16">
        <v>2588417</v>
      </c>
      <c r="D2215" s="10">
        <f>PrincipalesVariables[[#This Row],[Base monetaria]]/1000000</f>
        <v>2.5884170000000002</v>
      </c>
      <c r="E2215" s="10">
        <v>88.28</v>
      </c>
      <c r="F2215" s="11">
        <v>39270</v>
      </c>
      <c r="H2215" s="12">
        <f>(PrincipalesVariables[[#This Row],[Base monetaria]]-C2214)/C2214</f>
        <v>-1.7468255064841204E-2</v>
      </c>
      <c r="I2215" s="12">
        <f>(PrincipalesVariables[[#This Row],[Dólar  mayorista]]-E2214)/E2214</f>
        <v>1.2475898831802135E-3</v>
      </c>
      <c r="J2215" s="12">
        <f>(PrincipalesVariables[[#This Row],[Reservas internacionales]]-F2214)/F2214</f>
        <v>9.4308362857798279E-4</v>
      </c>
    </row>
    <row r="2216" spans="1:10" ht="15.75" thickBot="1" x14ac:dyDescent="0.3">
      <c r="A2216" s="14">
        <v>44237</v>
      </c>
      <c r="B2216" s="15">
        <v>44237</v>
      </c>
      <c r="C2216" s="16">
        <v>2591009</v>
      </c>
      <c r="D2216" s="10">
        <f>PrincipalesVariables[[#This Row],[Base monetaria]]/1000000</f>
        <v>2.5910090000000001</v>
      </c>
      <c r="E2216" s="10">
        <v>88.36</v>
      </c>
      <c r="F2216" s="11">
        <v>39278</v>
      </c>
      <c r="H2216" s="12">
        <f>(PrincipalesVariables[[#This Row],[Base monetaria]]-C2215)/C2215</f>
        <v>1.0013842437288892E-3</v>
      </c>
      <c r="I2216" s="12">
        <f>(PrincipalesVariables[[#This Row],[Dólar  mayorista]]-E2215)/E2215</f>
        <v>9.0620752152240926E-4</v>
      </c>
      <c r="J2216" s="12">
        <f>(PrincipalesVariables[[#This Row],[Reservas internacionales]]-F2215)/F2215</f>
        <v>2.037178507766743E-4</v>
      </c>
    </row>
    <row r="2217" spans="1:10" ht="15.75" thickBot="1" x14ac:dyDescent="0.3">
      <c r="A2217" s="14">
        <v>44238</v>
      </c>
      <c r="B2217" s="15">
        <v>44238</v>
      </c>
      <c r="C2217" s="16">
        <v>2542903</v>
      </c>
      <c r="D2217" s="10">
        <f>PrincipalesVariables[[#This Row],[Base monetaria]]/1000000</f>
        <v>2.5429029999999999</v>
      </c>
      <c r="E2217" s="10">
        <v>88.45</v>
      </c>
      <c r="F2217" s="11">
        <v>39359</v>
      </c>
      <c r="H2217" s="12">
        <f>(PrincipalesVariables[[#This Row],[Base monetaria]]-C2216)/C2216</f>
        <v>-1.856651211940985E-2</v>
      </c>
      <c r="I2217" s="12">
        <f>(PrincipalesVariables[[#This Row],[Dólar  mayorista]]-E2216)/E2216</f>
        <v>1.0185604345858241E-3</v>
      </c>
      <c r="J2217" s="12">
        <f>(PrincipalesVariables[[#This Row],[Reservas internacionales]]-F2216)/F2216</f>
        <v>2.0622231274504813E-3</v>
      </c>
    </row>
    <row r="2218" spans="1:10" ht="15.75" thickBot="1" x14ac:dyDescent="0.3">
      <c r="A2218" s="14">
        <v>44239</v>
      </c>
      <c r="B2218" s="15">
        <v>44239</v>
      </c>
      <c r="C2218" s="16">
        <v>2515279</v>
      </c>
      <c r="D2218" s="10">
        <f>PrincipalesVariables[[#This Row],[Base monetaria]]/1000000</f>
        <v>2.515279</v>
      </c>
      <c r="E2218" s="10">
        <v>88.54</v>
      </c>
      <c r="F2218" s="11">
        <v>39369</v>
      </c>
      <c r="H2218" s="12">
        <f>(PrincipalesVariables[[#This Row],[Base monetaria]]-C2217)/C2217</f>
        <v>-1.0863174883194522E-2</v>
      </c>
      <c r="I2218" s="12">
        <f>(PrincipalesVariables[[#This Row],[Dólar  mayorista]]-E2217)/E2217</f>
        <v>1.017524024872848E-3</v>
      </c>
      <c r="J2218" s="12">
        <f>(PrincipalesVariables[[#This Row],[Reservas internacionales]]-F2217)/F2217</f>
        <v>2.5407149571889532E-4</v>
      </c>
    </row>
    <row r="2219" spans="1:10" ht="15.75" thickBot="1" x14ac:dyDescent="0.3">
      <c r="A2219" s="14">
        <v>44244</v>
      </c>
      <c r="B2219" s="15">
        <v>44244</v>
      </c>
      <c r="C2219" s="16">
        <v>2754618</v>
      </c>
      <c r="D2219" s="10">
        <f>PrincipalesVariables[[#This Row],[Base monetaria]]/1000000</f>
        <v>2.7546179999999998</v>
      </c>
      <c r="E2219" s="10">
        <v>88.95</v>
      </c>
      <c r="F2219" s="11">
        <v>39399</v>
      </c>
      <c r="H2219" s="12">
        <f>(PrincipalesVariables[[#This Row],[Base monetaria]]-C2218)/C2218</f>
        <v>9.5154056468487194E-2</v>
      </c>
      <c r="I2219" s="12">
        <f>(PrincipalesVariables[[#This Row],[Dólar  mayorista]]-E2218)/E2218</f>
        <v>4.6306754009486847E-3</v>
      </c>
      <c r="J2219" s="12">
        <f>(PrincipalesVariables[[#This Row],[Reservas internacionales]]-F2218)/F2218</f>
        <v>7.6202087937209475E-4</v>
      </c>
    </row>
    <row r="2220" spans="1:10" ht="15.75" thickBot="1" x14ac:dyDescent="0.3">
      <c r="A2220" s="14">
        <v>44245</v>
      </c>
      <c r="B2220" s="15">
        <v>44245</v>
      </c>
      <c r="C2220" s="16">
        <v>2699549</v>
      </c>
      <c r="D2220" s="10">
        <f>PrincipalesVariables[[#This Row],[Base monetaria]]/1000000</f>
        <v>2.6995490000000002</v>
      </c>
      <c r="E2220" s="10">
        <v>89.05</v>
      </c>
      <c r="F2220" s="11">
        <v>39310</v>
      </c>
      <c r="H2220" s="12">
        <f>(PrincipalesVariables[[#This Row],[Base monetaria]]-C2219)/C2219</f>
        <v>-1.9991519695289874E-2</v>
      </c>
      <c r="I2220" s="12">
        <f>(PrincipalesVariables[[#This Row],[Dólar  mayorista]]-E2219)/E2219</f>
        <v>1.1242270938728984E-3</v>
      </c>
      <c r="J2220" s="12">
        <f>(PrincipalesVariables[[#This Row],[Reservas internacionales]]-F2219)/F2219</f>
        <v>-2.2589405822482805E-3</v>
      </c>
    </row>
    <row r="2221" spans="1:10" ht="15.75" thickBot="1" x14ac:dyDescent="0.3">
      <c r="A2221" s="14">
        <v>44246</v>
      </c>
      <c r="B2221" s="15">
        <v>44246</v>
      </c>
      <c r="C2221" s="16">
        <v>2710428</v>
      </c>
      <c r="D2221" s="10">
        <f>PrincipalesVariables[[#This Row],[Base monetaria]]/1000000</f>
        <v>2.7104279999999998</v>
      </c>
      <c r="E2221" s="10">
        <v>89.16</v>
      </c>
      <c r="F2221" s="11">
        <v>39425</v>
      </c>
      <c r="H2221" s="12">
        <f>(PrincipalesVariables[[#This Row],[Base monetaria]]-C2220)/C2220</f>
        <v>4.0299324072280221E-3</v>
      </c>
      <c r="I2221" s="12">
        <f>(PrincipalesVariables[[#This Row],[Dólar  mayorista]]-E2220)/E2220</f>
        <v>1.2352610892756816E-3</v>
      </c>
      <c r="J2221" s="12">
        <f>(PrincipalesVariables[[#This Row],[Reservas internacionales]]-F2220)/F2220</f>
        <v>2.9254642584584075E-3</v>
      </c>
    </row>
    <row r="2222" spans="1:10" ht="15.75" thickBot="1" x14ac:dyDescent="0.3">
      <c r="A2222" s="14">
        <v>44249</v>
      </c>
      <c r="B2222" s="15">
        <v>44249</v>
      </c>
      <c r="C2222" s="16">
        <v>2653841</v>
      </c>
      <c r="D2222" s="10">
        <f>PrincipalesVariables[[#This Row],[Base monetaria]]/1000000</f>
        <v>2.6538409999999999</v>
      </c>
      <c r="E2222" s="10">
        <v>89.44</v>
      </c>
      <c r="F2222" s="11">
        <v>39476</v>
      </c>
      <c r="H2222" s="12">
        <f>(PrincipalesVariables[[#This Row],[Base monetaria]]-C2221)/C2221</f>
        <v>-2.0877514547517958E-2</v>
      </c>
      <c r="I2222" s="12">
        <f>(PrincipalesVariables[[#This Row],[Dólar  mayorista]]-E2221)/E2221</f>
        <v>3.1404217137730051E-3</v>
      </c>
      <c r="J2222" s="12">
        <f>(PrincipalesVariables[[#This Row],[Reservas internacionales]]-F2221)/F2221</f>
        <v>1.2935954343690551E-3</v>
      </c>
    </row>
    <row r="2223" spans="1:10" ht="15.75" thickBot="1" x14ac:dyDescent="0.3">
      <c r="A2223" s="14">
        <v>44250</v>
      </c>
      <c r="B2223" s="15">
        <v>44250</v>
      </c>
      <c r="C2223" s="16">
        <v>2556455</v>
      </c>
      <c r="D2223" s="10">
        <f>PrincipalesVariables[[#This Row],[Base monetaria]]/1000000</f>
        <v>2.5564550000000001</v>
      </c>
      <c r="E2223" s="10">
        <v>89.54</v>
      </c>
      <c r="F2223" s="11">
        <v>39498</v>
      </c>
      <c r="H2223" s="12">
        <f>(PrincipalesVariables[[#This Row],[Base monetaria]]-C2222)/C2222</f>
        <v>-3.6696245178215271E-2</v>
      </c>
      <c r="I2223" s="12">
        <f>(PrincipalesVariables[[#This Row],[Dólar  mayorista]]-E2222)/E2222</f>
        <v>1.1180679785331902E-3</v>
      </c>
      <c r="J2223" s="12">
        <f>(PrincipalesVariables[[#This Row],[Reservas internacionales]]-F2222)/F2222</f>
        <v>5.5730063836254939E-4</v>
      </c>
    </row>
    <row r="2224" spans="1:10" ht="15.75" thickBot="1" x14ac:dyDescent="0.3">
      <c r="A2224" s="14">
        <v>44251</v>
      </c>
      <c r="B2224" s="15">
        <v>44251</v>
      </c>
      <c r="C2224" s="16">
        <v>2523208</v>
      </c>
      <c r="D2224" s="10">
        <f>PrincipalesVariables[[#This Row],[Base monetaria]]/1000000</f>
        <v>2.5232079999999999</v>
      </c>
      <c r="E2224" s="10">
        <v>89.64</v>
      </c>
      <c r="F2224" s="11">
        <v>39506</v>
      </c>
      <c r="H2224" s="12">
        <f>(PrincipalesVariables[[#This Row],[Base monetaria]]-C2223)/C2223</f>
        <v>-1.3005118415931436E-2</v>
      </c>
      <c r="I2224" s="12">
        <f>(PrincipalesVariables[[#This Row],[Dólar  mayorista]]-E2223)/E2223</f>
        <v>1.1168192986374169E-3</v>
      </c>
      <c r="J2224" s="12">
        <f>(PrincipalesVariables[[#This Row],[Reservas internacionales]]-F2223)/F2223</f>
        <v>2.0254190085573954E-4</v>
      </c>
    </row>
    <row r="2225" spans="1:10" ht="15.75" thickBot="1" x14ac:dyDescent="0.3">
      <c r="A2225" s="14">
        <v>44252</v>
      </c>
      <c r="B2225" s="15">
        <v>44252</v>
      </c>
      <c r="C2225" s="16">
        <v>2485827</v>
      </c>
      <c r="D2225" s="10">
        <f>PrincipalesVariables[[#This Row],[Base monetaria]]/1000000</f>
        <v>2.485827</v>
      </c>
      <c r="E2225" s="10">
        <v>89.75</v>
      </c>
      <c r="F2225" s="11">
        <v>39517</v>
      </c>
      <c r="H2225" s="12">
        <f>(PrincipalesVariables[[#This Row],[Base monetaria]]-C2224)/C2224</f>
        <v>-1.4814870593308202E-2</v>
      </c>
      <c r="I2225" s="12">
        <f>(PrincipalesVariables[[#This Row],[Dólar  mayorista]]-E2224)/E2224</f>
        <v>1.2271307452030281E-3</v>
      </c>
      <c r="J2225" s="12">
        <f>(PrincipalesVariables[[#This Row],[Reservas internacionales]]-F2224)/F2224</f>
        <v>2.78438718169392E-4</v>
      </c>
    </row>
    <row r="2226" spans="1:10" ht="15.75" thickBot="1" x14ac:dyDescent="0.3">
      <c r="A2226" s="14">
        <v>44253</v>
      </c>
      <c r="B2226" s="15">
        <v>44253</v>
      </c>
      <c r="C2226" s="16">
        <v>2408886</v>
      </c>
      <c r="D2226" s="10">
        <f>PrincipalesVariables[[#This Row],[Base monetaria]]/1000000</f>
        <v>2.4088859999999999</v>
      </c>
      <c r="E2226" s="10">
        <v>89.83</v>
      </c>
      <c r="F2226" s="11">
        <v>39518</v>
      </c>
      <c r="H2226" s="12">
        <f>(PrincipalesVariables[[#This Row],[Base monetaria]]-C2225)/C2225</f>
        <v>-3.0951872354753569E-2</v>
      </c>
      <c r="I2226" s="12">
        <f>(PrincipalesVariables[[#This Row],[Dólar  mayorista]]-E2225)/E2225</f>
        <v>8.9136490250694479E-4</v>
      </c>
      <c r="J2226" s="12">
        <f>(PrincipalesVariables[[#This Row],[Reservas internacionales]]-F2225)/F2225</f>
        <v>2.530556469367614E-5</v>
      </c>
    </row>
    <row r="2227" spans="1:10" ht="15.75" thickBot="1" x14ac:dyDescent="0.3">
      <c r="A2227" s="14">
        <v>44256</v>
      </c>
      <c r="B2227" s="15">
        <v>44256</v>
      </c>
      <c r="C2227" s="16">
        <v>2512473</v>
      </c>
      <c r="D2227" s="10">
        <f>PrincipalesVariables[[#This Row],[Base monetaria]]/1000000</f>
        <v>2.512473</v>
      </c>
      <c r="E2227" s="10">
        <v>90.09</v>
      </c>
      <c r="F2227" s="11">
        <v>39617</v>
      </c>
      <c r="H2227" s="12">
        <f>(PrincipalesVariables[[#This Row],[Base monetaria]]-C2226)/C2226</f>
        <v>4.3002034965540087E-2</v>
      </c>
      <c r="I2227" s="12">
        <f>(PrincipalesVariables[[#This Row],[Dólar  mayorista]]-E2226)/E2226</f>
        <v>2.894356005788769E-3</v>
      </c>
      <c r="J2227" s="12">
        <f>(PrincipalesVariables[[#This Row],[Reservas internacionales]]-F2226)/F2226</f>
        <v>2.5051875094893464E-3</v>
      </c>
    </row>
    <row r="2228" spans="1:10" ht="15.75" thickBot="1" x14ac:dyDescent="0.3">
      <c r="A2228" s="14">
        <v>44257</v>
      </c>
      <c r="B2228" s="15">
        <v>44257</v>
      </c>
      <c r="C2228" s="16">
        <v>2508545</v>
      </c>
      <c r="D2228" s="10">
        <f>PrincipalesVariables[[#This Row],[Base monetaria]]/1000000</f>
        <v>2.5085449999999998</v>
      </c>
      <c r="E2228" s="10">
        <v>90.16</v>
      </c>
      <c r="F2228" s="11">
        <v>39654</v>
      </c>
      <c r="H2228" s="12">
        <f>(PrincipalesVariables[[#This Row],[Base monetaria]]-C2227)/C2227</f>
        <v>-1.5633998852922996E-3</v>
      </c>
      <c r="I2228" s="12">
        <f>(PrincipalesVariables[[#This Row],[Dólar  mayorista]]-E2227)/E2227</f>
        <v>7.7700077700070121E-4</v>
      </c>
      <c r="J2228" s="12">
        <f>(PrincipalesVariables[[#This Row],[Reservas internacionales]]-F2227)/F2227</f>
        <v>9.33942499432062E-4</v>
      </c>
    </row>
    <row r="2229" spans="1:10" ht="15.75" thickBot="1" x14ac:dyDescent="0.3">
      <c r="A2229" s="14">
        <v>44258</v>
      </c>
      <c r="B2229" s="15">
        <v>44258</v>
      </c>
      <c r="C2229" s="16">
        <v>2630133</v>
      </c>
      <c r="D2229" s="10">
        <f>PrincipalesVariables[[#This Row],[Base monetaria]]/1000000</f>
        <v>2.6301329999999998</v>
      </c>
      <c r="E2229" s="10">
        <v>90.22</v>
      </c>
      <c r="F2229" s="11">
        <v>39718</v>
      </c>
      <c r="H2229" s="12">
        <f>(PrincipalesVariables[[#This Row],[Base monetaria]]-C2228)/C2228</f>
        <v>4.8469531142554749E-2</v>
      </c>
      <c r="I2229" s="12">
        <f>(PrincipalesVariables[[#This Row],[Dólar  mayorista]]-E2228)/E2228</f>
        <v>6.6548358473826836E-4</v>
      </c>
      <c r="J2229" s="12">
        <f>(PrincipalesVariables[[#This Row],[Reservas internacionales]]-F2228)/F2228</f>
        <v>1.6139607605790084E-3</v>
      </c>
    </row>
    <row r="2230" spans="1:10" ht="15.75" thickBot="1" x14ac:dyDescent="0.3">
      <c r="A2230" s="14">
        <v>44259</v>
      </c>
      <c r="B2230" s="15">
        <v>44259</v>
      </c>
      <c r="C2230" s="16">
        <v>2638495</v>
      </c>
      <c r="D2230" s="10">
        <f>PrincipalesVariables[[#This Row],[Base monetaria]]/1000000</f>
        <v>2.6384949999999998</v>
      </c>
      <c r="E2230" s="10">
        <v>90.3</v>
      </c>
      <c r="F2230" s="11">
        <v>39784</v>
      </c>
      <c r="H2230" s="12">
        <f>(PrincipalesVariables[[#This Row],[Base monetaria]]-C2229)/C2229</f>
        <v>3.1793069019703567E-3</v>
      </c>
      <c r="I2230" s="12">
        <f>(PrincipalesVariables[[#This Row],[Dólar  mayorista]]-E2229)/E2229</f>
        <v>8.8672134781642977E-4</v>
      </c>
      <c r="J2230" s="12">
        <f>(PrincipalesVariables[[#This Row],[Reservas internacionales]]-F2229)/F2229</f>
        <v>1.6617150913943301E-3</v>
      </c>
    </row>
    <row r="2231" spans="1:10" ht="15.75" thickBot="1" x14ac:dyDescent="0.3">
      <c r="A2231" s="14">
        <v>44260</v>
      </c>
      <c r="B2231" s="15">
        <v>44260</v>
      </c>
      <c r="C2231" s="16">
        <v>2641427</v>
      </c>
      <c r="D2231" s="10">
        <f>PrincipalesVariables[[#This Row],[Base monetaria]]/1000000</f>
        <v>2.6414270000000002</v>
      </c>
      <c r="E2231" s="10">
        <v>90.37</v>
      </c>
      <c r="F2231" s="11">
        <v>39799</v>
      </c>
      <c r="H2231" s="12">
        <f>(PrincipalesVariables[[#This Row],[Base monetaria]]-C2230)/C2230</f>
        <v>1.1112395513351362E-3</v>
      </c>
      <c r="I2231" s="12">
        <f>(PrincipalesVariables[[#This Row],[Dólar  mayorista]]-E2230)/E2230</f>
        <v>7.7519379844969425E-4</v>
      </c>
      <c r="J2231" s="12">
        <f>(PrincipalesVariables[[#This Row],[Reservas internacionales]]-F2230)/F2230</f>
        <v>3.7703599436959584E-4</v>
      </c>
    </row>
    <row r="2232" spans="1:10" ht="15.75" thickBot="1" x14ac:dyDescent="0.3">
      <c r="A2232" s="14">
        <v>44263</v>
      </c>
      <c r="B2232" s="15">
        <v>44263</v>
      </c>
      <c r="C2232" s="16">
        <v>2596872</v>
      </c>
      <c r="D2232" s="10">
        <f>PrincipalesVariables[[#This Row],[Base monetaria]]/1000000</f>
        <v>2.5968719999999998</v>
      </c>
      <c r="E2232" s="10">
        <v>90.58</v>
      </c>
      <c r="F2232" s="11">
        <v>39729</v>
      </c>
      <c r="H2232" s="12">
        <f>(PrincipalesVariables[[#This Row],[Base monetaria]]-C2231)/C2231</f>
        <v>-1.6867776395107646E-2</v>
      </c>
      <c r="I2232" s="12">
        <f>(PrincipalesVariables[[#This Row],[Dólar  mayorista]]-E2231)/E2231</f>
        <v>2.3237800154917976E-3</v>
      </c>
      <c r="J2232" s="12">
        <f>(PrincipalesVariables[[#This Row],[Reservas internacionales]]-F2231)/F2231</f>
        <v>-1.7588381617628583E-3</v>
      </c>
    </row>
    <row r="2233" spans="1:10" ht="15.75" thickBot="1" x14ac:dyDescent="0.3">
      <c r="A2233" s="14">
        <v>44264</v>
      </c>
      <c r="B2233" s="15">
        <v>44264</v>
      </c>
      <c r="C2233" s="16">
        <v>2574614</v>
      </c>
      <c r="D2233" s="10">
        <f>PrincipalesVariables[[#This Row],[Base monetaria]]/1000000</f>
        <v>2.574614</v>
      </c>
      <c r="E2233" s="10">
        <v>90.65</v>
      </c>
      <c r="F2233" s="11">
        <v>39747</v>
      </c>
      <c r="H2233" s="12">
        <f>(PrincipalesVariables[[#This Row],[Base monetaria]]-C2232)/C2232</f>
        <v>-8.5710809004063346E-3</v>
      </c>
      <c r="I2233" s="12">
        <f>(PrincipalesVariables[[#This Row],[Dólar  mayorista]]-E2232)/E2232</f>
        <v>7.7279752704799507E-4</v>
      </c>
      <c r="J2233" s="12">
        <f>(PrincipalesVariables[[#This Row],[Reservas internacionales]]-F2232)/F2232</f>
        <v>4.5306954617533793E-4</v>
      </c>
    </row>
    <row r="2234" spans="1:10" ht="15.75" thickBot="1" x14ac:dyDescent="0.3">
      <c r="A2234" s="14">
        <v>44265</v>
      </c>
      <c r="B2234" s="15">
        <v>44265</v>
      </c>
      <c r="C2234" s="16">
        <v>2634796</v>
      </c>
      <c r="D2234" s="10">
        <f>PrincipalesVariables[[#This Row],[Base monetaria]]/1000000</f>
        <v>2.6347960000000001</v>
      </c>
      <c r="E2234" s="10">
        <v>90.72</v>
      </c>
      <c r="F2234" s="11">
        <v>39750</v>
      </c>
      <c r="H2234" s="12">
        <f>(PrincipalesVariables[[#This Row],[Base monetaria]]-C2233)/C2233</f>
        <v>2.3375154489177794E-2</v>
      </c>
      <c r="I2234" s="12">
        <f>(PrincipalesVariables[[#This Row],[Dólar  mayorista]]-E2233)/E2233</f>
        <v>7.7220077220069695E-4</v>
      </c>
      <c r="J2234" s="12">
        <f>(PrincipalesVariables[[#This Row],[Reservas internacionales]]-F2233)/F2233</f>
        <v>7.5477394520341156E-5</v>
      </c>
    </row>
    <row r="2235" spans="1:10" ht="15.75" thickBot="1" x14ac:dyDescent="0.3">
      <c r="A2235" s="14">
        <v>44266</v>
      </c>
      <c r="B2235" s="15">
        <v>44266</v>
      </c>
      <c r="C2235" s="16">
        <v>2577342</v>
      </c>
      <c r="D2235" s="10">
        <f>PrincipalesVariables[[#This Row],[Base monetaria]]/1000000</f>
        <v>2.5773419999999998</v>
      </c>
      <c r="E2235" s="10">
        <v>90.79</v>
      </c>
      <c r="F2235" s="11">
        <v>39807</v>
      </c>
      <c r="H2235" s="12">
        <f>(PrincipalesVariables[[#This Row],[Base monetaria]]-C2234)/C2234</f>
        <v>-2.1805862768882297E-2</v>
      </c>
      <c r="I2235" s="12">
        <f>(PrincipalesVariables[[#This Row],[Dólar  mayorista]]-E2234)/E2234</f>
        <v>7.7160493827168643E-4</v>
      </c>
      <c r="J2235" s="12">
        <f>(PrincipalesVariables[[#This Row],[Reservas internacionales]]-F2234)/F2234</f>
        <v>1.4339622641509433E-3</v>
      </c>
    </row>
    <row r="2236" spans="1:10" ht="15.75" thickBot="1" x14ac:dyDescent="0.3">
      <c r="A2236" s="14">
        <v>44267</v>
      </c>
      <c r="B2236" s="15">
        <v>44267</v>
      </c>
      <c r="C2236" s="16">
        <v>2549929</v>
      </c>
      <c r="D2236" s="10">
        <f>PrincipalesVariables[[#This Row],[Base monetaria]]/1000000</f>
        <v>2.5499290000000001</v>
      </c>
      <c r="E2236" s="10">
        <v>90.86</v>
      </c>
      <c r="F2236" s="11">
        <v>39823</v>
      </c>
      <c r="H2236" s="12">
        <f>(PrincipalesVariables[[#This Row],[Base monetaria]]-C2235)/C2235</f>
        <v>-1.0636151508026485E-2</v>
      </c>
      <c r="I2236" s="12">
        <f>(PrincipalesVariables[[#This Row],[Dólar  mayorista]]-E2235)/E2235</f>
        <v>7.7101002313022552E-4</v>
      </c>
      <c r="J2236" s="12">
        <f>(PrincipalesVariables[[#This Row],[Reservas internacionales]]-F2235)/F2235</f>
        <v>4.0193935739945235E-4</v>
      </c>
    </row>
    <row r="2237" spans="1:10" ht="15.75" thickBot="1" x14ac:dyDescent="0.3">
      <c r="A2237" s="14">
        <v>44270</v>
      </c>
      <c r="B2237" s="15">
        <v>44270</v>
      </c>
      <c r="C2237" s="16">
        <v>2543815</v>
      </c>
      <c r="D2237" s="10">
        <f>PrincipalesVariables[[#This Row],[Base monetaria]]/1000000</f>
        <v>2.5438149999999999</v>
      </c>
      <c r="E2237" s="10">
        <v>91.07</v>
      </c>
      <c r="F2237" s="11">
        <v>39865</v>
      </c>
      <c r="H2237" s="12">
        <f>(PrincipalesVariables[[#This Row],[Base monetaria]]-C2236)/C2236</f>
        <v>-2.3977138186984815E-3</v>
      </c>
      <c r="I2237" s="12">
        <f>(PrincipalesVariables[[#This Row],[Dólar  mayorista]]-E2236)/E2236</f>
        <v>2.3112480739598696E-3</v>
      </c>
      <c r="J2237" s="12">
        <f>(PrincipalesVariables[[#This Row],[Reservas internacionales]]-F2236)/F2236</f>
        <v>1.054666901037089E-3</v>
      </c>
    </row>
    <row r="2238" spans="1:10" ht="15.75" thickBot="1" x14ac:dyDescent="0.3">
      <c r="A2238" s="14">
        <v>44271</v>
      </c>
      <c r="B2238" s="15">
        <v>44271</v>
      </c>
      <c r="C2238" s="16">
        <v>2459756</v>
      </c>
      <c r="D2238" s="10">
        <f>PrincipalesVariables[[#This Row],[Base monetaria]]/1000000</f>
        <v>2.4597560000000001</v>
      </c>
      <c r="E2238" s="10">
        <v>91.14</v>
      </c>
      <c r="F2238" s="11">
        <v>39881</v>
      </c>
      <c r="H2238" s="12">
        <f>(PrincipalesVariables[[#This Row],[Base monetaria]]-C2237)/C2237</f>
        <v>-3.304446274591509E-2</v>
      </c>
      <c r="I2238" s="12">
        <f>(PrincipalesVariables[[#This Row],[Dólar  mayorista]]-E2237)/E2237</f>
        <v>7.6863950807079604E-4</v>
      </c>
      <c r="J2238" s="12">
        <f>(PrincipalesVariables[[#This Row],[Reservas internacionales]]-F2237)/F2237</f>
        <v>4.0135457167941803E-4</v>
      </c>
    </row>
    <row r="2239" spans="1:10" ht="15.75" thickBot="1" x14ac:dyDescent="0.3">
      <c r="A2239" s="14">
        <v>44272</v>
      </c>
      <c r="B2239" s="15">
        <v>44272</v>
      </c>
      <c r="C2239" s="16">
        <v>2443498</v>
      </c>
      <c r="D2239" s="10">
        <f>PrincipalesVariables[[#This Row],[Base monetaria]]/1000000</f>
        <v>2.4434979999999999</v>
      </c>
      <c r="E2239" s="10">
        <v>91.21</v>
      </c>
      <c r="F2239" s="11">
        <v>39834</v>
      </c>
      <c r="H2239" s="12">
        <f>(PrincipalesVariables[[#This Row],[Base monetaria]]-C2238)/C2238</f>
        <v>-6.6095986756409984E-3</v>
      </c>
      <c r="I2239" s="12">
        <f>(PrincipalesVariables[[#This Row],[Dólar  mayorista]]-E2238)/E2238</f>
        <v>7.6804915514585453E-4</v>
      </c>
      <c r="J2239" s="12">
        <f>(PrincipalesVariables[[#This Row],[Reservas internacionales]]-F2238)/F2238</f>
        <v>-1.1785060555151575E-3</v>
      </c>
    </row>
    <row r="2240" spans="1:10" ht="15.75" thickBot="1" x14ac:dyDescent="0.3">
      <c r="A2240" s="14">
        <v>44273</v>
      </c>
      <c r="B2240" s="15">
        <v>44273</v>
      </c>
      <c r="C2240" s="16">
        <v>2427307</v>
      </c>
      <c r="D2240" s="10">
        <f>PrincipalesVariables[[#This Row],[Base monetaria]]/1000000</f>
        <v>2.4273069999999999</v>
      </c>
      <c r="E2240" s="10">
        <v>91.28</v>
      </c>
      <c r="F2240" s="11">
        <v>39774</v>
      </c>
      <c r="H2240" s="12">
        <f>(PrincipalesVariables[[#This Row],[Base monetaria]]-C2239)/C2239</f>
        <v>-6.6261564363875071E-3</v>
      </c>
      <c r="I2240" s="12">
        <f>(PrincipalesVariables[[#This Row],[Dólar  mayorista]]-E2239)/E2239</f>
        <v>7.6745970836539191E-4</v>
      </c>
      <c r="J2240" s="12">
        <f>(PrincipalesVariables[[#This Row],[Reservas internacionales]]-F2239)/F2239</f>
        <v>-1.5062509414068383E-3</v>
      </c>
    </row>
    <row r="2241" spans="1:10" ht="15.75" thickBot="1" x14ac:dyDescent="0.3">
      <c r="A2241" s="14">
        <v>44274</v>
      </c>
      <c r="B2241" s="15">
        <v>44274</v>
      </c>
      <c r="C2241" s="16">
        <v>2454568</v>
      </c>
      <c r="D2241" s="10">
        <f>PrincipalesVariables[[#This Row],[Base monetaria]]/1000000</f>
        <v>2.4545680000000001</v>
      </c>
      <c r="E2241" s="10">
        <v>91.36</v>
      </c>
      <c r="F2241" s="11">
        <v>39728</v>
      </c>
      <c r="H2241" s="12">
        <f>(PrincipalesVariables[[#This Row],[Base monetaria]]-C2240)/C2240</f>
        <v>1.1230965015962133E-2</v>
      </c>
      <c r="I2241" s="12">
        <f>(PrincipalesVariables[[#This Row],[Dólar  mayorista]]-E2240)/E2240</f>
        <v>8.7642418930760615E-4</v>
      </c>
      <c r="J2241" s="12">
        <f>(PrincipalesVariables[[#This Row],[Reservas internacionales]]-F2240)/F2240</f>
        <v>-1.1565344194700055E-3</v>
      </c>
    </row>
    <row r="2242" spans="1:10" ht="15.75" thickBot="1" x14ac:dyDescent="0.3">
      <c r="A2242" s="14">
        <v>44277</v>
      </c>
      <c r="B2242" s="15">
        <v>44277</v>
      </c>
      <c r="C2242" s="16">
        <v>2466375</v>
      </c>
      <c r="D2242" s="10">
        <f>PrincipalesVariables[[#This Row],[Base monetaria]]/1000000</f>
        <v>2.4663750000000002</v>
      </c>
      <c r="E2242" s="10">
        <v>91.57</v>
      </c>
      <c r="F2242" s="11">
        <v>39651</v>
      </c>
      <c r="H2242" s="12">
        <f>(PrincipalesVariables[[#This Row],[Base monetaria]]-C2241)/C2241</f>
        <v>4.8102150765430007E-3</v>
      </c>
      <c r="I2242" s="12">
        <f>(PrincipalesVariables[[#This Row],[Dólar  mayorista]]-E2241)/E2241</f>
        <v>2.2985989492118404E-3</v>
      </c>
      <c r="J2242" s="12">
        <f>(PrincipalesVariables[[#This Row],[Reservas internacionales]]-F2241)/F2241</f>
        <v>-1.9381796214256947E-3</v>
      </c>
    </row>
    <row r="2243" spans="1:10" ht="15.75" thickBot="1" x14ac:dyDescent="0.3">
      <c r="A2243" s="14">
        <v>44278</v>
      </c>
      <c r="B2243" s="15">
        <v>44278</v>
      </c>
      <c r="C2243" s="16">
        <v>2447033</v>
      </c>
      <c r="D2243" s="10">
        <f>PrincipalesVariables[[#This Row],[Base monetaria]]/1000000</f>
        <v>2.4470329999999998</v>
      </c>
      <c r="E2243" s="10">
        <v>91.64</v>
      </c>
      <c r="F2243" s="11">
        <v>39679</v>
      </c>
      <c r="H2243" s="12">
        <f>(PrincipalesVariables[[#This Row],[Base monetaria]]-C2242)/C2242</f>
        <v>-7.8422786478130856E-3</v>
      </c>
      <c r="I2243" s="12">
        <f>(PrincipalesVariables[[#This Row],[Dólar  mayorista]]-E2242)/E2242</f>
        <v>7.6444250300324772E-4</v>
      </c>
      <c r="J2243" s="12">
        <f>(PrincipalesVariables[[#This Row],[Reservas internacionales]]-F2242)/F2242</f>
        <v>7.0616125696703735E-4</v>
      </c>
    </row>
    <row r="2244" spans="1:10" ht="15.75" thickBot="1" x14ac:dyDescent="0.3">
      <c r="A2244" s="14">
        <v>44280</v>
      </c>
      <c r="B2244" s="15">
        <v>44280</v>
      </c>
      <c r="C2244" s="16">
        <v>2494198</v>
      </c>
      <c r="D2244" s="10">
        <f>PrincipalesVariables[[#This Row],[Base monetaria]]/1000000</f>
        <v>2.4941979999999999</v>
      </c>
      <c r="E2244" s="10">
        <v>91.78</v>
      </c>
      <c r="F2244" s="11">
        <v>39610</v>
      </c>
      <c r="H2244" s="12">
        <f>(PrincipalesVariables[[#This Row],[Base monetaria]]-C2243)/C2243</f>
        <v>1.9274362053964943E-2</v>
      </c>
      <c r="I2244" s="12">
        <f>(PrincipalesVariables[[#This Row],[Dólar  mayorista]]-E2243)/E2243</f>
        <v>1.5277171540811934E-3</v>
      </c>
      <c r="J2244" s="12">
        <f>(PrincipalesVariables[[#This Row],[Reservas internacionales]]-F2243)/F2243</f>
        <v>-1.7389551147962397E-3</v>
      </c>
    </row>
    <row r="2245" spans="1:10" ht="15.75" thickBot="1" x14ac:dyDescent="0.3">
      <c r="A2245" s="14">
        <v>44281</v>
      </c>
      <c r="B2245" s="15">
        <v>44281</v>
      </c>
      <c r="C2245" s="16">
        <v>2461103</v>
      </c>
      <c r="D2245" s="10">
        <f>PrincipalesVariables[[#This Row],[Base monetaria]]/1000000</f>
        <v>2.461103</v>
      </c>
      <c r="E2245" s="10">
        <v>91.85</v>
      </c>
      <c r="F2245" s="11">
        <v>39539</v>
      </c>
      <c r="H2245" s="12">
        <f>(PrincipalesVariables[[#This Row],[Base monetaria]]-C2244)/C2244</f>
        <v>-1.3268794217620254E-2</v>
      </c>
      <c r="I2245" s="12">
        <f>(PrincipalesVariables[[#This Row],[Dólar  mayorista]]-E2244)/E2244</f>
        <v>7.6269339725422945E-4</v>
      </c>
      <c r="J2245" s="12">
        <f>(PrincipalesVariables[[#This Row],[Reservas internacionales]]-F2244)/F2244</f>
        <v>-1.792476647311285E-3</v>
      </c>
    </row>
    <row r="2246" spans="1:10" ht="15.75" thickBot="1" x14ac:dyDescent="0.3">
      <c r="A2246" s="14">
        <v>44284</v>
      </c>
      <c r="B2246" s="15">
        <v>44284</v>
      </c>
      <c r="C2246" s="16">
        <v>2501939</v>
      </c>
      <c r="D2246" s="10">
        <f>PrincipalesVariables[[#This Row],[Base monetaria]]/1000000</f>
        <v>2.5019390000000001</v>
      </c>
      <c r="E2246" s="10">
        <v>91.92</v>
      </c>
      <c r="F2246" s="11">
        <v>39471</v>
      </c>
      <c r="H2246" s="12">
        <f>(PrincipalesVariables[[#This Row],[Base monetaria]]-C2245)/C2245</f>
        <v>1.6592560327625457E-2</v>
      </c>
      <c r="I2246" s="12">
        <f>(PrincipalesVariables[[#This Row],[Dólar  mayorista]]-E2245)/E2245</f>
        <v>7.6211213935772882E-4</v>
      </c>
      <c r="J2246" s="12">
        <f>(PrincipalesVariables[[#This Row],[Reservas internacionales]]-F2245)/F2245</f>
        <v>-1.7198209362907508E-3</v>
      </c>
    </row>
    <row r="2247" spans="1:10" ht="15.75" thickBot="1" x14ac:dyDescent="0.3">
      <c r="A2247" s="14">
        <v>44285</v>
      </c>
      <c r="B2247" s="15">
        <v>44285</v>
      </c>
      <c r="C2247" s="16">
        <v>2521952</v>
      </c>
      <c r="D2247" s="10">
        <f>PrincipalesVariables[[#This Row],[Base monetaria]]/1000000</f>
        <v>2.5219520000000002</v>
      </c>
      <c r="E2247" s="10">
        <v>91.96</v>
      </c>
      <c r="F2247" s="11">
        <v>39520</v>
      </c>
      <c r="H2247" s="12">
        <f>(PrincipalesVariables[[#This Row],[Base monetaria]]-C2246)/C2246</f>
        <v>7.9989959787189063E-3</v>
      </c>
      <c r="I2247" s="12">
        <f>(PrincipalesVariables[[#This Row],[Dólar  mayorista]]-E2246)/E2246</f>
        <v>4.3516100957345562E-4</v>
      </c>
      <c r="J2247" s="12">
        <f>(PrincipalesVariables[[#This Row],[Reservas internacionales]]-F2246)/F2246</f>
        <v>1.2414177497403157E-3</v>
      </c>
    </row>
    <row r="2248" spans="1:10" ht="15.75" thickBot="1" x14ac:dyDescent="0.3">
      <c r="A2248" s="14">
        <v>44286</v>
      </c>
      <c r="B2248" s="15">
        <v>44286</v>
      </c>
      <c r="C2248" s="16">
        <v>2432295</v>
      </c>
      <c r="D2248" s="10">
        <f>PrincipalesVariables[[#This Row],[Base monetaria]]/1000000</f>
        <v>2.4322949999999999</v>
      </c>
      <c r="E2248" s="10">
        <v>91.99</v>
      </c>
      <c r="F2248" s="11">
        <v>39593</v>
      </c>
      <c r="H2248" s="12">
        <f>(PrincipalesVariables[[#This Row],[Base monetaria]]-C2247)/C2247</f>
        <v>-3.5550636966920859E-2</v>
      </c>
      <c r="I2248" s="12">
        <f>(PrincipalesVariables[[#This Row],[Dólar  mayorista]]-E2247)/E2247</f>
        <v>3.2622879512832903E-4</v>
      </c>
      <c r="J2248" s="12">
        <f>(PrincipalesVariables[[#This Row],[Reservas internacionales]]-F2247)/F2247</f>
        <v>1.847165991902834E-3</v>
      </c>
    </row>
    <row r="2249" spans="1:10" ht="15.75" thickBot="1" x14ac:dyDescent="0.3">
      <c r="A2249" s="14">
        <v>44291</v>
      </c>
      <c r="B2249" s="15">
        <v>44291</v>
      </c>
      <c r="C2249" s="16">
        <v>2862387</v>
      </c>
      <c r="D2249" s="10">
        <f>PrincipalesVariables[[#This Row],[Base monetaria]]/1000000</f>
        <v>2.862387</v>
      </c>
      <c r="E2249" s="10">
        <v>92.24</v>
      </c>
      <c r="F2249" s="11">
        <v>39645</v>
      </c>
      <c r="H2249" s="12">
        <f>(PrincipalesVariables[[#This Row],[Base monetaria]]-C2248)/C2248</f>
        <v>0.1768255906458715</v>
      </c>
      <c r="I2249" s="12">
        <f>(PrincipalesVariables[[#This Row],[Dólar  mayorista]]-E2248)/E2248</f>
        <v>2.717686705076639E-3</v>
      </c>
      <c r="J2249" s="12">
        <f>(PrincipalesVariables[[#This Row],[Reservas internacionales]]-F2248)/F2248</f>
        <v>1.3133634733412472E-3</v>
      </c>
    </row>
    <row r="2250" spans="1:10" ht="15.75" thickBot="1" x14ac:dyDescent="0.3">
      <c r="A2250" s="14">
        <v>44292</v>
      </c>
      <c r="B2250" s="15">
        <v>44292</v>
      </c>
      <c r="C2250" s="16">
        <v>2801453</v>
      </c>
      <c r="D2250" s="10">
        <f>PrincipalesVariables[[#This Row],[Base monetaria]]/1000000</f>
        <v>2.801453</v>
      </c>
      <c r="E2250" s="10">
        <v>92.29</v>
      </c>
      <c r="F2250" s="11">
        <v>39709</v>
      </c>
      <c r="H2250" s="12">
        <f>(PrincipalesVariables[[#This Row],[Base monetaria]]-C2249)/C2249</f>
        <v>-2.1287827257460295E-2</v>
      </c>
      <c r="I2250" s="12">
        <f>(PrincipalesVariables[[#This Row],[Dólar  mayorista]]-E2249)/E2249</f>
        <v>5.4206418039908248E-4</v>
      </c>
      <c r="J2250" s="12">
        <f>(PrincipalesVariables[[#This Row],[Reservas internacionales]]-F2249)/F2249</f>
        <v>1.6143271534871989E-3</v>
      </c>
    </row>
    <row r="2251" spans="1:10" ht="15.75" thickBot="1" x14ac:dyDescent="0.3">
      <c r="A2251" s="14">
        <v>44293</v>
      </c>
      <c r="B2251" s="15">
        <v>44293</v>
      </c>
      <c r="C2251" s="16">
        <v>2795604</v>
      </c>
      <c r="D2251" s="10">
        <f>PrincipalesVariables[[#This Row],[Base monetaria]]/1000000</f>
        <v>2.795604</v>
      </c>
      <c r="E2251" s="10">
        <v>92.34</v>
      </c>
      <c r="F2251" s="11">
        <v>39751</v>
      </c>
      <c r="H2251" s="12">
        <f>(PrincipalesVariables[[#This Row],[Base monetaria]]-C2250)/C2250</f>
        <v>-2.0878451289384472E-3</v>
      </c>
      <c r="I2251" s="12">
        <f>(PrincipalesVariables[[#This Row],[Dólar  mayorista]]-E2250)/E2250</f>
        <v>5.4177050601362175E-4</v>
      </c>
      <c r="J2251" s="12">
        <f>(PrincipalesVariables[[#This Row],[Reservas internacionales]]-F2250)/F2250</f>
        <v>1.0576947291545996E-3</v>
      </c>
    </row>
    <row r="2252" spans="1:10" ht="15.75" thickBot="1" x14ac:dyDescent="0.3">
      <c r="A2252" s="14">
        <v>44294</v>
      </c>
      <c r="B2252" s="15">
        <v>44294</v>
      </c>
      <c r="C2252" s="16">
        <v>2640843</v>
      </c>
      <c r="D2252" s="10">
        <f>PrincipalesVariables[[#This Row],[Base monetaria]]/1000000</f>
        <v>2.6408429999999998</v>
      </c>
      <c r="E2252" s="10">
        <v>92.39</v>
      </c>
      <c r="F2252" s="11">
        <v>39801</v>
      </c>
      <c r="H2252" s="12">
        <f>(PrincipalesVariables[[#This Row],[Base monetaria]]-C2251)/C2251</f>
        <v>-5.5358698871513991E-2</v>
      </c>
      <c r="I2252" s="12">
        <f>(PrincipalesVariables[[#This Row],[Dólar  mayorista]]-E2251)/E2251</f>
        <v>5.4147714966425338E-4</v>
      </c>
      <c r="J2252" s="12">
        <f>(PrincipalesVariables[[#This Row],[Reservas internacionales]]-F2251)/F2251</f>
        <v>1.257829991698322E-3</v>
      </c>
    </row>
    <row r="2253" spans="1:10" ht="15.75" thickBot="1" x14ac:dyDescent="0.3">
      <c r="A2253" s="14">
        <v>44295</v>
      </c>
      <c r="B2253" s="15">
        <v>44295</v>
      </c>
      <c r="C2253" s="16">
        <v>2530229</v>
      </c>
      <c r="D2253" s="10">
        <f>PrincipalesVariables[[#This Row],[Base monetaria]]/1000000</f>
        <v>2.5302289999999998</v>
      </c>
      <c r="E2253" s="10">
        <v>92.44</v>
      </c>
      <c r="F2253" s="11">
        <v>39850</v>
      </c>
      <c r="H2253" s="12">
        <f>(PrincipalesVariables[[#This Row],[Base monetaria]]-C2252)/C2252</f>
        <v>-4.1885867505186788E-2</v>
      </c>
      <c r="I2253" s="12">
        <f>(PrincipalesVariables[[#This Row],[Dólar  mayorista]]-E2252)/E2252</f>
        <v>5.4118411083447517E-4</v>
      </c>
      <c r="J2253" s="12">
        <f>(PrincipalesVariables[[#This Row],[Reservas internacionales]]-F2252)/F2252</f>
        <v>1.2311248461093942E-3</v>
      </c>
    </row>
    <row r="2254" spans="1:10" ht="15.75" thickBot="1" x14ac:dyDescent="0.3">
      <c r="A2254" s="14">
        <v>44298</v>
      </c>
      <c r="B2254" s="15">
        <v>44298</v>
      </c>
      <c r="C2254" s="16">
        <v>2585056</v>
      </c>
      <c r="D2254" s="10">
        <f>PrincipalesVariables[[#This Row],[Base monetaria]]/1000000</f>
        <v>2.5850559999999998</v>
      </c>
      <c r="E2254" s="10">
        <v>92.58</v>
      </c>
      <c r="F2254" s="11">
        <v>39922</v>
      </c>
      <c r="H2254" s="12">
        <f>(PrincipalesVariables[[#This Row],[Base monetaria]]-C2253)/C2253</f>
        <v>2.1668789662911934E-2</v>
      </c>
      <c r="I2254" s="12">
        <f>(PrincipalesVariables[[#This Row],[Dólar  mayorista]]-E2253)/E2253</f>
        <v>1.5144958892254498E-3</v>
      </c>
      <c r="J2254" s="12">
        <f>(PrincipalesVariables[[#This Row],[Reservas internacionales]]-F2253)/F2253</f>
        <v>1.8067754077791718E-3</v>
      </c>
    </row>
    <row r="2255" spans="1:10" ht="15.75" thickBot="1" x14ac:dyDescent="0.3">
      <c r="A2255" s="14">
        <v>44299</v>
      </c>
      <c r="B2255" s="15">
        <v>44299</v>
      </c>
      <c r="C2255" s="16">
        <v>2570189</v>
      </c>
      <c r="D2255" s="10">
        <f>PrincipalesVariables[[#This Row],[Base monetaria]]/1000000</f>
        <v>2.5701890000000001</v>
      </c>
      <c r="E2255" s="10">
        <v>92.63</v>
      </c>
      <c r="F2255" s="11">
        <v>39998</v>
      </c>
      <c r="H2255" s="12">
        <f>(PrincipalesVariables[[#This Row],[Base monetaria]]-C2254)/C2254</f>
        <v>-5.7511326640506044E-3</v>
      </c>
      <c r="I2255" s="12">
        <f>(PrincipalesVariables[[#This Row],[Dólar  mayorista]]-E2254)/E2254</f>
        <v>5.4007344998916785E-4</v>
      </c>
      <c r="J2255" s="12">
        <f>(PrincipalesVariables[[#This Row],[Reservas internacionales]]-F2254)/F2254</f>
        <v>1.9037122388657884E-3</v>
      </c>
    </row>
    <row r="2256" spans="1:10" ht="15.75" thickBot="1" x14ac:dyDescent="0.3">
      <c r="A2256" s="14">
        <v>44300</v>
      </c>
      <c r="B2256" s="15">
        <v>44300</v>
      </c>
      <c r="C2256" s="16">
        <v>2530671</v>
      </c>
      <c r="D2256" s="10">
        <f>PrincipalesVariables[[#This Row],[Base monetaria]]/1000000</f>
        <v>2.5306709999999999</v>
      </c>
      <c r="E2256" s="10">
        <v>92.68</v>
      </c>
      <c r="F2256" s="11">
        <v>40020</v>
      </c>
      <c r="H2256" s="12">
        <f>(PrincipalesVariables[[#This Row],[Base monetaria]]-C2255)/C2255</f>
        <v>-1.5375522967377108E-2</v>
      </c>
      <c r="I2256" s="12">
        <f>(PrincipalesVariables[[#This Row],[Dólar  mayorista]]-E2255)/E2255</f>
        <v>5.3978192810116995E-4</v>
      </c>
      <c r="J2256" s="12">
        <f>(PrincipalesVariables[[#This Row],[Reservas internacionales]]-F2255)/F2255</f>
        <v>5.5002750137506877E-4</v>
      </c>
    </row>
    <row r="2257" spans="1:10" ht="15.75" thickBot="1" x14ac:dyDescent="0.3">
      <c r="A2257" s="14">
        <v>44301</v>
      </c>
      <c r="B2257" s="15">
        <v>44301</v>
      </c>
      <c r="C2257" s="16">
        <v>2511459</v>
      </c>
      <c r="D2257" s="10">
        <f>PrincipalesVariables[[#This Row],[Base monetaria]]/1000000</f>
        <v>2.5114589999999999</v>
      </c>
      <c r="E2257" s="10">
        <v>92.73</v>
      </c>
      <c r="F2257" s="11">
        <v>40070</v>
      </c>
      <c r="H2257" s="12">
        <f>(PrincipalesVariables[[#This Row],[Base monetaria]]-C2256)/C2256</f>
        <v>-7.5916624484178305E-3</v>
      </c>
      <c r="I2257" s="12">
        <f>(PrincipalesVariables[[#This Row],[Dólar  mayorista]]-E2256)/E2256</f>
        <v>5.3949072075957225E-4</v>
      </c>
      <c r="J2257" s="12">
        <f>(PrincipalesVariables[[#This Row],[Reservas internacionales]]-F2256)/F2256</f>
        <v>1.2493753123438282E-3</v>
      </c>
    </row>
    <row r="2258" spans="1:10" ht="15.75" thickBot="1" x14ac:dyDescent="0.3">
      <c r="A2258" s="14">
        <v>44302</v>
      </c>
      <c r="B2258" s="15">
        <v>44302</v>
      </c>
      <c r="C2258" s="16">
        <v>2404354</v>
      </c>
      <c r="D2258" s="10">
        <f>PrincipalesVariables[[#This Row],[Base monetaria]]/1000000</f>
        <v>2.4043540000000001</v>
      </c>
      <c r="E2258" s="10">
        <v>92.78</v>
      </c>
      <c r="F2258" s="11">
        <v>40078</v>
      </c>
      <c r="H2258" s="12">
        <f>(PrincipalesVariables[[#This Row],[Base monetaria]]-C2257)/C2257</f>
        <v>-4.2646525386239635E-2</v>
      </c>
      <c r="I2258" s="12">
        <f>(PrincipalesVariables[[#This Row],[Dólar  mayorista]]-E2257)/E2257</f>
        <v>5.3919982745602457E-4</v>
      </c>
      <c r="J2258" s="12">
        <f>(PrincipalesVariables[[#This Row],[Reservas internacionales]]-F2257)/F2257</f>
        <v>1.9965061142999751E-4</v>
      </c>
    </row>
    <row r="2259" spans="1:10" ht="15.75" thickBot="1" x14ac:dyDescent="0.3">
      <c r="A2259" s="14">
        <v>44305</v>
      </c>
      <c r="B2259" s="15">
        <v>44305</v>
      </c>
      <c r="C2259" s="16">
        <v>2493866</v>
      </c>
      <c r="D2259" s="10">
        <f>PrincipalesVariables[[#This Row],[Base monetaria]]/1000000</f>
        <v>2.4938660000000001</v>
      </c>
      <c r="E2259" s="10">
        <v>92.93</v>
      </c>
      <c r="F2259" s="11">
        <v>40146</v>
      </c>
      <c r="H2259" s="12">
        <f>(PrincipalesVariables[[#This Row],[Base monetaria]]-C2258)/C2258</f>
        <v>3.7229126825750282E-2</v>
      </c>
      <c r="I2259" s="12">
        <f>(PrincipalesVariables[[#This Row],[Dólar  mayorista]]-E2258)/E2258</f>
        <v>1.616727743048132E-3</v>
      </c>
      <c r="J2259" s="12">
        <f>(PrincipalesVariables[[#This Row],[Reservas internacionales]]-F2258)/F2258</f>
        <v>1.6966914516692449E-3</v>
      </c>
    </row>
    <row r="2260" spans="1:10" ht="15.75" thickBot="1" x14ac:dyDescent="0.3">
      <c r="A2260" s="14">
        <v>44306</v>
      </c>
      <c r="B2260" s="15">
        <v>44306</v>
      </c>
      <c r="C2260" s="16">
        <v>2490132</v>
      </c>
      <c r="D2260" s="10">
        <f>PrincipalesVariables[[#This Row],[Base monetaria]]/1000000</f>
        <v>2.490132</v>
      </c>
      <c r="E2260" s="10">
        <v>92.98</v>
      </c>
      <c r="F2260" s="11">
        <v>40187</v>
      </c>
      <c r="H2260" s="12">
        <f>(PrincipalesVariables[[#This Row],[Base monetaria]]-C2259)/C2259</f>
        <v>-1.4972737107767618E-3</v>
      </c>
      <c r="I2260" s="12">
        <f>(PrincipalesVariables[[#This Row],[Dólar  mayorista]]-E2259)/E2259</f>
        <v>5.3803938448291353E-4</v>
      </c>
      <c r="J2260" s="12">
        <f>(PrincipalesVariables[[#This Row],[Reservas internacionales]]-F2259)/F2259</f>
        <v>1.0212723559009614E-3</v>
      </c>
    </row>
    <row r="2261" spans="1:10" ht="15.75" thickBot="1" x14ac:dyDescent="0.3">
      <c r="A2261" s="14">
        <v>44307</v>
      </c>
      <c r="B2261" s="15">
        <v>44307</v>
      </c>
      <c r="C2261" s="16">
        <v>2492290</v>
      </c>
      <c r="D2261" s="10">
        <f>PrincipalesVariables[[#This Row],[Base monetaria]]/1000000</f>
        <v>2.4922900000000001</v>
      </c>
      <c r="E2261" s="10">
        <v>93.03</v>
      </c>
      <c r="F2261" s="11">
        <v>40208</v>
      </c>
      <c r="H2261" s="12">
        <f>(PrincipalesVariables[[#This Row],[Base monetaria]]-C2260)/C2260</f>
        <v>8.6662072532701082E-4</v>
      </c>
      <c r="I2261" s="12">
        <f>(PrincipalesVariables[[#This Row],[Dólar  mayorista]]-E2260)/E2260</f>
        <v>5.3775005377497474E-4</v>
      </c>
      <c r="J2261" s="12">
        <f>(PrincipalesVariables[[#This Row],[Reservas internacionales]]-F2260)/F2260</f>
        <v>5.2255704581083439E-4</v>
      </c>
    </row>
    <row r="2262" spans="1:10" ht="15.75" thickBot="1" x14ac:dyDescent="0.3">
      <c r="A2262" s="14">
        <v>44308</v>
      </c>
      <c r="B2262" s="15">
        <v>44308</v>
      </c>
      <c r="C2262" s="16">
        <v>2503100</v>
      </c>
      <c r="D2262" s="10">
        <f>PrincipalesVariables[[#This Row],[Base monetaria]]/1000000</f>
        <v>2.5030999999999999</v>
      </c>
      <c r="E2262" s="10">
        <v>93.08</v>
      </c>
      <c r="F2262" s="11">
        <v>40220</v>
      </c>
      <c r="H2262" s="12">
        <f>(PrincipalesVariables[[#This Row],[Base monetaria]]-C2261)/C2261</f>
        <v>4.3373764690304902E-3</v>
      </c>
      <c r="I2262" s="12">
        <f>(PrincipalesVariables[[#This Row],[Dólar  mayorista]]-E2261)/E2261</f>
        <v>5.3746103407499904E-4</v>
      </c>
      <c r="J2262" s="12">
        <f>(PrincipalesVariables[[#This Row],[Reservas internacionales]]-F2261)/F2261</f>
        <v>2.9844807003581378E-4</v>
      </c>
    </row>
    <row r="2263" spans="1:10" ht="15.75" thickBot="1" x14ac:dyDescent="0.3">
      <c r="A2263" s="14">
        <v>44309</v>
      </c>
      <c r="B2263" s="15">
        <v>44309</v>
      </c>
      <c r="C2263" s="16">
        <v>2468922</v>
      </c>
      <c r="D2263" s="10">
        <f>PrincipalesVariables[[#This Row],[Base monetaria]]/1000000</f>
        <v>2.4689220000000001</v>
      </c>
      <c r="E2263" s="10">
        <v>93.13</v>
      </c>
      <c r="F2263" s="11">
        <v>40257</v>
      </c>
      <c r="H2263" s="12">
        <f>(PrincipalesVariables[[#This Row],[Base monetaria]]-C2262)/C2262</f>
        <v>-1.3654268706803564E-2</v>
      </c>
      <c r="I2263" s="12">
        <f>(PrincipalesVariables[[#This Row],[Dólar  mayorista]]-E2262)/E2262</f>
        <v>5.3717232488179154E-4</v>
      </c>
      <c r="J2263" s="12">
        <f>(PrincipalesVariables[[#This Row],[Reservas internacionales]]-F2262)/F2262</f>
        <v>9.1994032819492789E-4</v>
      </c>
    </row>
    <row r="2264" spans="1:10" ht="15.75" thickBot="1" x14ac:dyDescent="0.3">
      <c r="A2264" s="14">
        <v>44312</v>
      </c>
      <c r="B2264" s="15">
        <v>44312</v>
      </c>
      <c r="C2264" s="16">
        <v>2487344</v>
      </c>
      <c r="D2264" s="10">
        <f>PrincipalesVariables[[#This Row],[Base monetaria]]/1000000</f>
        <v>2.4873440000000002</v>
      </c>
      <c r="E2264" s="10">
        <v>93.28</v>
      </c>
      <c r="F2264" s="11">
        <v>40271</v>
      </c>
      <c r="H2264" s="12">
        <f>(PrincipalesVariables[[#This Row],[Base monetaria]]-C2263)/C2263</f>
        <v>7.4615560961423652E-3</v>
      </c>
      <c r="I2264" s="12">
        <f>(PrincipalesVariables[[#This Row],[Dólar  mayorista]]-E2263)/E2263</f>
        <v>1.6106517770858551E-3</v>
      </c>
      <c r="J2264" s="12">
        <f>(PrincipalesVariables[[#This Row],[Reservas internacionales]]-F2263)/F2263</f>
        <v>3.4776560598156841E-4</v>
      </c>
    </row>
    <row r="2265" spans="1:10" ht="15.75" thickBot="1" x14ac:dyDescent="0.3">
      <c r="A2265" s="14">
        <v>44313</v>
      </c>
      <c r="B2265" s="15">
        <v>44313</v>
      </c>
      <c r="C2265" s="16">
        <v>2482754</v>
      </c>
      <c r="D2265" s="10">
        <f>PrincipalesVariables[[#This Row],[Base monetaria]]/1000000</f>
        <v>2.4827539999999999</v>
      </c>
      <c r="E2265" s="10">
        <v>93.34</v>
      </c>
      <c r="F2265" s="11">
        <v>40330</v>
      </c>
      <c r="H2265" s="12">
        <f>(PrincipalesVariables[[#This Row],[Base monetaria]]-C2264)/C2264</f>
        <v>-1.8453418586251037E-3</v>
      </c>
      <c r="I2265" s="12">
        <f>(PrincipalesVariables[[#This Row],[Dólar  mayorista]]-E2264)/E2264</f>
        <v>6.4322469982849774E-4</v>
      </c>
      <c r="J2265" s="12">
        <f>(PrincipalesVariables[[#This Row],[Reservas internacionales]]-F2264)/F2264</f>
        <v>1.4650741228179086E-3</v>
      </c>
    </row>
    <row r="2266" spans="1:10" ht="15.75" thickBot="1" x14ac:dyDescent="0.3">
      <c r="A2266" s="14">
        <v>44314</v>
      </c>
      <c r="B2266" s="15">
        <v>44314</v>
      </c>
      <c r="C2266" s="16">
        <v>2490201</v>
      </c>
      <c r="D2266" s="10">
        <f>PrincipalesVariables[[#This Row],[Base monetaria]]/1000000</f>
        <v>2.4902009999999999</v>
      </c>
      <c r="E2266" s="10">
        <v>93.42</v>
      </c>
      <c r="F2266" s="11">
        <v>40339</v>
      </c>
      <c r="H2266" s="12">
        <f>(PrincipalesVariables[[#This Row],[Base monetaria]]-C2265)/C2265</f>
        <v>2.9994916934984297E-3</v>
      </c>
      <c r="I2266" s="12">
        <f>(PrincipalesVariables[[#This Row],[Dólar  mayorista]]-E2265)/E2265</f>
        <v>8.5708163702590847E-4</v>
      </c>
      <c r="J2266" s="12">
        <f>(PrincipalesVariables[[#This Row],[Reservas internacionales]]-F2265)/F2265</f>
        <v>2.2315893875526904E-4</v>
      </c>
    </row>
    <row r="2267" spans="1:10" ht="15.75" thickBot="1" x14ac:dyDescent="0.3">
      <c r="A2267" s="14">
        <v>44315</v>
      </c>
      <c r="B2267" s="15">
        <v>44315</v>
      </c>
      <c r="C2267" s="16">
        <v>2406780</v>
      </c>
      <c r="D2267" s="10">
        <f>PrincipalesVariables[[#This Row],[Base monetaria]]/1000000</f>
        <v>2.4067799999999999</v>
      </c>
      <c r="E2267" s="10">
        <v>93.5</v>
      </c>
      <c r="F2267" s="11">
        <v>40357</v>
      </c>
      <c r="H2267" s="12">
        <f>(PrincipalesVariables[[#This Row],[Base monetaria]]-C2266)/C2266</f>
        <v>-3.3499705445464038E-2</v>
      </c>
      <c r="I2267" s="12">
        <f>(PrincipalesVariables[[#This Row],[Dólar  mayorista]]-E2266)/E2266</f>
        <v>8.563476771569074E-4</v>
      </c>
      <c r="J2267" s="12">
        <f>(PrincipalesVariables[[#This Row],[Reservas internacionales]]-F2266)/F2266</f>
        <v>4.4621829990827737E-4</v>
      </c>
    </row>
    <row r="2268" spans="1:10" ht="15.75" thickBot="1" x14ac:dyDescent="0.3">
      <c r="A2268" s="14">
        <v>44316</v>
      </c>
      <c r="B2268" s="15">
        <v>44316</v>
      </c>
      <c r="C2268" s="16">
        <v>2370115</v>
      </c>
      <c r="D2268" s="10">
        <f>PrincipalesVariables[[#This Row],[Base monetaria]]/1000000</f>
        <v>2.3701150000000002</v>
      </c>
      <c r="E2268" s="10">
        <v>93.56</v>
      </c>
      <c r="F2268" s="11">
        <v>40263</v>
      </c>
      <c r="H2268" s="12">
        <f>(PrincipalesVariables[[#This Row],[Base monetaria]]-C2267)/C2267</f>
        <v>-1.5234047150134204E-2</v>
      </c>
      <c r="I2268" s="12">
        <f>(PrincipalesVariables[[#This Row],[Dólar  mayorista]]-E2267)/E2267</f>
        <v>6.4171122994654834E-4</v>
      </c>
      <c r="J2268" s="12">
        <f>(PrincipalesVariables[[#This Row],[Reservas internacionales]]-F2267)/F2267</f>
        <v>-2.3292117848204771E-3</v>
      </c>
    </row>
    <row r="2269" spans="1:10" ht="15.75" thickBot="1" x14ac:dyDescent="0.3">
      <c r="A2269" s="14">
        <v>44319</v>
      </c>
      <c r="B2269" s="15">
        <v>44319</v>
      </c>
      <c r="C2269" s="16">
        <v>2493895</v>
      </c>
      <c r="D2269" s="10">
        <f>PrincipalesVariables[[#This Row],[Base monetaria]]/1000000</f>
        <v>2.4938950000000002</v>
      </c>
      <c r="E2269" s="10">
        <v>93.68</v>
      </c>
      <c r="F2269" s="11">
        <v>40360</v>
      </c>
      <c r="H2269" s="12">
        <f>(PrincipalesVariables[[#This Row],[Base monetaria]]-C2268)/C2268</f>
        <v>5.2225313961558828E-2</v>
      </c>
      <c r="I2269" s="12">
        <f>(PrincipalesVariables[[#This Row],[Dólar  mayorista]]-E2268)/E2268</f>
        <v>1.2825994014536613E-3</v>
      </c>
      <c r="J2269" s="12">
        <f>(PrincipalesVariables[[#This Row],[Reservas internacionales]]-F2268)/F2268</f>
        <v>2.4091597744827758E-3</v>
      </c>
    </row>
    <row r="2270" spans="1:10" ht="15.75" thickBot="1" x14ac:dyDescent="0.3">
      <c r="A2270" s="14">
        <v>44320</v>
      </c>
      <c r="B2270" s="15">
        <v>44320</v>
      </c>
      <c r="C2270" s="16">
        <v>2529073</v>
      </c>
      <c r="D2270" s="10">
        <f>PrincipalesVariables[[#This Row],[Base monetaria]]/1000000</f>
        <v>2.5290729999999999</v>
      </c>
      <c r="E2270" s="10">
        <v>93.72</v>
      </c>
      <c r="F2270" s="11">
        <v>40433</v>
      </c>
      <c r="H2270" s="12">
        <f>(PrincipalesVariables[[#This Row],[Base monetaria]]-C2269)/C2269</f>
        <v>1.4105645987501478E-2</v>
      </c>
      <c r="I2270" s="12">
        <f>(PrincipalesVariables[[#This Row],[Dólar  mayorista]]-E2269)/E2269</f>
        <v>4.2698548249351021E-4</v>
      </c>
      <c r="J2270" s="12">
        <f>(PrincipalesVariables[[#This Row],[Reservas internacionales]]-F2269)/F2269</f>
        <v>1.8087215064420219E-3</v>
      </c>
    </row>
    <row r="2271" spans="1:10" ht="15.75" thickBot="1" x14ac:dyDescent="0.3">
      <c r="A2271" s="14">
        <v>44321</v>
      </c>
      <c r="B2271" s="15">
        <v>44321</v>
      </c>
      <c r="C2271" s="16">
        <v>2530426</v>
      </c>
      <c r="D2271" s="10">
        <f>PrincipalesVariables[[#This Row],[Base monetaria]]/1000000</f>
        <v>2.5304259999999998</v>
      </c>
      <c r="E2271" s="10">
        <v>93.76</v>
      </c>
      <c r="F2271" s="11">
        <v>40493</v>
      </c>
      <c r="H2271" s="12">
        <f>(PrincipalesVariables[[#This Row],[Base monetaria]]-C2270)/C2270</f>
        <v>5.349786265560543E-4</v>
      </c>
      <c r="I2271" s="12">
        <f>(PrincipalesVariables[[#This Row],[Dólar  mayorista]]-E2270)/E2270</f>
        <v>4.2680324370471885E-4</v>
      </c>
      <c r="J2271" s="12">
        <f>(PrincipalesVariables[[#This Row],[Reservas internacionales]]-F2270)/F2270</f>
        <v>1.4839363885934757E-3</v>
      </c>
    </row>
    <row r="2272" spans="1:10" ht="15.75" thickBot="1" x14ac:dyDescent="0.3">
      <c r="A2272" s="14">
        <v>44322</v>
      </c>
      <c r="B2272" s="15">
        <v>44322</v>
      </c>
      <c r="C2272" s="16">
        <v>2535872</v>
      </c>
      <c r="D2272" s="10">
        <f>PrincipalesVariables[[#This Row],[Base monetaria]]/1000000</f>
        <v>2.5358719999999999</v>
      </c>
      <c r="E2272" s="10">
        <v>93.8</v>
      </c>
      <c r="F2272" s="11">
        <v>40300</v>
      </c>
      <c r="H2272" s="12">
        <f>(PrincipalesVariables[[#This Row],[Base monetaria]]-C2271)/C2271</f>
        <v>2.1522067825733692E-3</v>
      </c>
      <c r="I2272" s="12">
        <f>(PrincipalesVariables[[#This Row],[Dólar  mayorista]]-E2271)/E2271</f>
        <v>4.2662116040947143E-4</v>
      </c>
      <c r="J2272" s="12">
        <f>(PrincipalesVariables[[#This Row],[Reservas internacionales]]-F2271)/F2271</f>
        <v>-4.7662558960808038E-3</v>
      </c>
    </row>
    <row r="2273" spans="1:10" ht="15.75" thickBot="1" x14ac:dyDescent="0.3">
      <c r="A2273" s="14">
        <v>44323</v>
      </c>
      <c r="B2273" s="15">
        <v>44323</v>
      </c>
      <c r="C2273" s="16">
        <v>2489384</v>
      </c>
      <c r="D2273" s="10">
        <f>PrincipalesVariables[[#This Row],[Base monetaria]]/1000000</f>
        <v>2.4893839999999998</v>
      </c>
      <c r="E2273" s="10">
        <v>93.84</v>
      </c>
      <c r="F2273" s="11">
        <v>40454</v>
      </c>
      <c r="H2273" s="12">
        <f>(PrincipalesVariables[[#This Row],[Base monetaria]]-C2272)/C2272</f>
        <v>-1.8332155566211542E-2</v>
      </c>
      <c r="I2273" s="12">
        <f>(PrincipalesVariables[[#This Row],[Dólar  mayorista]]-E2272)/E2272</f>
        <v>4.2643923240944832E-4</v>
      </c>
      <c r="J2273" s="12">
        <f>(PrincipalesVariables[[#This Row],[Reservas internacionales]]-F2272)/F2272</f>
        <v>3.8213399503722084E-3</v>
      </c>
    </row>
    <row r="2274" spans="1:10" ht="15.75" thickBot="1" x14ac:dyDescent="0.3">
      <c r="A2274" s="14">
        <v>44326</v>
      </c>
      <c r="B2274" s="15">
        <v>44326</v>
      </c>
      <c r="C2274" s="16">
        <v>2502577</v>
      </c>
      <c r="D2274" s="10">
        <f>PrincipalesVariables[[#This Row],[Base monetaria]]/1000000</f>
        <v>2.5025770000000001</v>
      </c>
      <c r="E2274" s="10">
        <v>93.93</v>
      </c>
      <c r="F2274" s="11">
        <v>40616</v>
      </c>
      <c r="H2274" s="12">
        <f>(PrincipalesVariables[[#This Row],[Base monetaria]]-C2273)/C2273</f>
        <v>5.2997046658932491E-3</v>
      </c>
      <c r="I2274" s="12">
        <f>(PrincipalesVariables[[#This Row],[Dólar  mayorista]]-E2273)/E2273</f>
        <v>9.5907928388750438E-4</v>
      </c>
      <c r="J2274" s="12">
        <f>(PrincipalesVariables[[#This Row],[Reservas internacionales]]-F2273)/F2273</f>
        <v>4.0045483759331589E-3</v>
      </c>
    </row>
    <row r="2275" spans="1:10" ht="15.75" thickBot="1" x14ac:dyDescent="0.3">
      <c r="A2275" s="14">
        <v>44327</v>
      </c>
      <c r="B2275" s="15">
        <v>44327</v>
      </c>
      <c r="C2275" s="16">
        <v>2545019</v>
      </c>
      <c r="D2275" s="10">
        <f>PrincipalesVariables[[#This Row],[Base monetaria]]/1000000</f>
        <v>2.5450189999999999</v>
      </c>
      <c r="E2275" s="10">
        <v>93.96</v>
      </c>
      <c r="F2275" s="11">
        <v>40762</v>
      </c>
      <c r="H2275" s="12">
        <f>(PrincipalesVariables[[#This Row],[Base monetaria]]-C2274)/C2274</f>
        <v>1.6959318334660634E-2</v>
      </c>
      <c r="I2275" s="12">
        <f>(PrincipalesVariables[[#This Row],[Dólar  mayorista]]-E2274)/E2274</f>
        <v>3.1938677738727696E-4</v>
      </c>
      <c r="J2275" s="12">
        <f>(PrincipalesVariables[[#This Row],[Reservas internacionales]]-F2274)/F2274</f>
        <v>3.5946425054165848E-3</v>
      </c>
    </row>
    <row r="2276" spans="1:10" ht="15.75" thickBot="1" x14ac:dyDescent="0.3">
      <c r="A2276" s="14">
        <v>44328</v>
      </c>
      <c r="B2276" s="15">
        <v>44328</v>
      </c>
      <c r="C2276" s="16">
        <v>2538706</v>
      </c>
      <c r="D2276" s="10">
        <f>PrincipalesVariables[[#This Row],[Base monetaria]]/1000000</f>
        <v>2.5387059999999999</v>
      </c>
      <c r="E2276" s="10">
        <v>93.99</v>
      </c>
      <c r="F2276" s="11">
        <v>40880</v>
      </c>
      <c r="H2276" s="12">
        <f>(PrincipalesVariables[[#This Row],[Base monetaria]]-C2275)/C2275</f>
        <v>-2.4805315795284827E-3</v>
      </c>
      <c r="I2276" s="12">
        <f>(PrincipalesVariables[[#This Row],[Dólar  mayorista]]-E2275)/E2275</f>
        <v>3.1928480204343484E-4</v>
      </c>
      <c r="J2276" s="12">
        <f>(PrincipalesVariables[[#This Row],[Reservas internacionales]]-F2275)/F2275</f>
        <v>2.8948530494087629E-3</v>
      </c>
    </row>
    <row r="2277" spans="1:10" ht="15.75" thickBot="1" x14ac:dyDescent="0.3">
      <c r="A2277" s="14">
        <v>44329</v>
      </c>
      <c r="B2277" s="15">
        <v>44329</v>
      </c>
      <c r="C2277" s="16">
        <v>2546423</v>
      </c>
      <c r="D2277" s="10">
        <f>PrincipalesVariables[[#This Row],[Base monetaria]]/1000000</f>
        <v>2.5464229999999999</v>
      </c>
      <c r="E2277" s="10">
        <v>94.02</v>
      </c>
      <c r="F2277" s="11">
        <v>40947</v>
      </c>
      <c r="H2277" s="12">
        <f>(PrincipalesVariables[[#This Row],[Base monetaria]]-C2276)/C2276</f>
        <v>3.0397375670912661E-3</v>
      </c>
      <c r="I2277" s="12">
        <f>(PrincipalesVariables[[#This Row],[Dólar  mayorista]]-E2276)/E2276</f>
        <v>3.1918289179701177E-4</v>
      </c>
      <c r="J2277" s="12">
        <f>(PrincipalesVariables[[#This Row],[Reservas internacionales]]-F2276)/F2276</f>
        <v>1.6389432485322897E-3</v>
      </c>
    </row>
    <row r="2278" spans="1:10" ht="15.75" thickBot="1" x14ac:dyDescent="0.3">
      <c r="A2278" s="14">
        <v>44330</v>
      </c>
      <c r="B2278" s="15">
        <v>44330</v>
      </c>
      <c r="C2278" s="16">
        <v>2525604</v>
      </c>
      <c r="D2278" s="10">
        <f>PrincipalesVariables[[#This Row],[Base monetaria]]/1000000</f>
        <v>2.525604</v>
      </c>
      <c r="E2278" s="10">
        <v>94.05</v>
      </c>
      <c r="F2278" s="11">
        <v>41002</v>
      </c>
      <c r="H2278" s="12">
        <f>(PrincipalesVariables[[#This Row],[Base monetaria]]-C2277)/C2277</f>
        <v>-8.1757822639836348E-3</v>
      </c>
      <c r="I2278" s="12">
        <f>(PrincipalesVariables[[#This Row],[Dólar  mayorista]]-E2277)/E2277</f>
        <v>3.1908104658584491E-4</v>
      </c>
      <c r="J2278" s="12">
        <f>(PrincipalesVariables[[#This Row],[Reservas internacionales]]-F2277)/F2277</f>
        <v>1.3431997460131388E-3</v>
      </c>
    </row>
    <row r="2279" spans="1:10" ht="15.75" thickBot="1" x14ac:dyDescent="0.3">
      <c r="A2279" s="14">
        <v>44333</v>
      </c>
      <c r="B2279" s="15">
        <v>44333</v>
      </c>
      <c r="C2279" s="16">
        <v>2485543</v>
      </c>
      <c r="D2279" s="10">
        <f>PrincipalesVariables[[#This Row],[Base monetaria]]/1000000</f>
        <v>2.4855429999999998</v>
      </c>
      <c r="E2279" s="10">
        <v>94.14</v>
      </c>
      <c r="F2279" s="11">
        <v>41266</v>
      </c>
      <c r="H2279" s="12">
        <f>(PrincipalesVariables[[#This Row],[Base monetaria]]-C2278)/C2278</f>
        <v>-1.5861948270591907E-2</v>
      </c>
      <c r="I2279" s="12">
        <f>(PrincipalesVariables[[#This Row],[Dólar  mayorista]]-E2278)/E2278</f>
        <v>9.5693779904309844E-4</v>
      </c>
      <c r="J2279" s="12">
        <f>(PrincipalesVariables[[#This Row],[Reservas internacionales]]-F2278)/F2278</f>
        <v>6.4387103068143017E-3</v>
      </c>
    </row>
    <row r="2280" spans="1:10" ht="15.75" thickBot="1" x14ac:dyDescent="0.3">
      <c r="A2280" s="14">
        <v>44334</v>
      </c>
      <c r="B2280" s="15">
        <v>44334</v>
      </c>
      <c r="C2280" s="16">
        <v>2506456</v>
      </c>
      <c r="D2280" s="10">
        <f>PrincipalesVariables[[#This Row],[Base monetaria]]/1000000</f>
        <v>2.506456</v>
      </c>
      <c r="E2280" s="10">
        <v>94.17</v>
      </c>
      <c r="F2280" s="11">
        <v>41376</v>
      </c>
      <c r="H2280" s="12">
        <f>(PrincipalesVariables[[#This Row],[Base monetaria]]-C2279)/C2279</f>
        <v>8.4138556444205547E-3</v>
      </c>
      <c r="I2280" s="12">
        <f>(PrincipalesVariables[[#This Row],[Dólar  mayorista]]-E2279)/E2279</f>
        <v>3.1867431485023515E-4</v>
      </c>
      <c r="J2280" s="12">
        <f>(PrincipalesVariables[[#This Row],[Reservas internacionales]]-F2279)/F2279</f>
        <v>2.6656327242766441E-3</v>
      </c>
    </row>
    <row r="2281" spans="1:10" ht="15.75" thickBot="1" x14ac:dyDescent="0.3">
      <c r="A2281" s="14">
        <v>44335</v>
      </c>
      <c r="B2281" s="15">
        <v>44335</v>
      </c>
      <c r="C2281" s="16">
        <v>2525089</v>
      </c>
      <c r="D2281" s="10">
        <f>PrincipalesVariables[[#This Row],[Base monetaria]]/1000000</f>
        <v>2.5250889999999999</v>
      </c>
      <c r="E2281" s="10">
        <v>94.21</v>
      </c>
      <c r="F2281" s="11">
        <v>41483</v>
      </c>
      <c r="H2281" s="12">
        <f>(PrincipalesVariables[[#This Row],[Base monetaria]]-C2280)/C2280</f>
        <v>7.4340024321192955E-3</v>
      </c>
      <c r="I2281" s="12">
        <f>(PrincipalesVariables[[#This Row],[Dólar  mayorista]]-E2280)/E2280</f>
        <v>4.2476372517778532E-4</v>
      </c>
      <c r="J2281" s="12">
        <f>(PrincipalesVariables[[#This Row],[Reservas internacionales]]-F2280)/F2280</f>
        <v>2.5860402165506576E-3</v>
      </c>
    </row>
    <row r="2282" spans="1:10" ht="15.75" thickBot="1" x14ac:dyDescent="0.3">
      <c r="A2282" s="14">
        <v>44336</v>
      </c>
      <c r="B2282" s="15">
        <v>44336</v>
      </c>
      <c r="C2282" s="16">
        <v>2514377</v>
      </c>
      <c r="D2282" s="10">
        <f>PrincipalesVariables[[#This Row],[Base monetaria]]/1000000</f>
        <v>2.5143770000000001</v>
      </c>
      <c r="E2282" s="10">
        <v>94.25</v>
      </c>
      <c r="F2282" s="11">
        <v>41517</v>
      </c>
      <c r="H2282" s="12">
        <f>(PrincipalesVariables[[#This Row],[Base monetaria]]-C2281)/C2281</f>
        <v>-4.2422267096328091E-3</v>
      </c>
      <c r="I2282" s="12">
        <f>(PrincipalesVariables[[#This Row],[Dólar  mayorista]]-E2281)/E2281</f>
        <v>4.2458337756083489E-4</v>
      </c>
      <c r="J2282" s="12">
        <f>(PrincipalesVariables[[#This Row],[Reservas internacionales]]-F2281)/F2281</f>
        <v>8.1961285345804301E-4</v>
      </c>
    </row>
    <row r="2283" spans="1:10" ht="15.75" thickBot="1" x14ac:dyDescent="0.3">
      <c r="A2283" s="14">
        <v>44337</v>
      </c>
      <c r="B2283" s="15">
        <v>44337</v>
      </c>
      <c r="C2283" s="16">
        <v>2503830</v>
      </c>
      <c r="D2283" s="10">
        <f>PrincipalesVariables[[#This Row],[Base monetaria]]/1000000</f>
        <v>2.5038299999999998</v>
      </c>
      <c r="E2283" s="10">
        <v>94.28</v>
      </c>
      <c r="F2283" s="11">
        <v>41591</v>
      </c>
      <c r="H2283" s="12">
        <f>(PrincipalesVariables[[#This Row],[Base monetaria]]-C2282)/C2282</f>
        <v>-4.194677250070296E-3</v>
      </c>
      <c r="I2283" s="12">
        <f>(PrincipalesVariables[[#This Row],[Dólar  mayorista]]-E2282)/E2282</f>
        <v>3.1830238726791659E-4</v>
      </c>
      <c r="J2283" s="12">
        <f>(PrincipalesVariables[[#This Row],[Reservas internacionales]]-F2282)/F2282</f>
        <v>1.7824023893826626E-3</v>
      </c>
    </row>
    <row r="2284" spans="1:10" ht="15.75" thickBot="1" x14ac:dyDescent="0.3">
      <c r="A2284" s="14">
        <v>44342</v>
      </c>
      <c r="B2284" s="15">
        <v>44342</v>
      </c>
      <c r="C2284" s="16">
        <v>2677351</v>
      </c>
      <c r="D2284" s="10">
        <f>PrincipalesVariables[[#This Row],[Base monetaria]]/1000000</f>
        <v>2.6773509999999998</v>
      </c>
      <c r="E2284" s="10">
        <v>94.49</v>
      </c>
      <c r="F2284" s="11">
        <v>41715</v>
      </c>
      <c r="H2284" s="12">
        <f>(PrincipalesVariables[[#This Row],[Base monetaria]]-C2283)/C2283</f>
        <v>6.9302228985194683E-2</v>
      </c>
      <c r="I2284" s="12">
        <f>(PrincipalesVariables[[#This Row],[Dólar  mayorista]]-E2283)/E2283</f>
        <v>2.2274077216800354E-3</v>
      </c>
      <c r="J2284" s="12">
        <f>(PrincipalesVariables[[#This Row],[Reservas internacionales]]-F2283)/F2283</f>
        <v>2.9814142482748672E-3</v>
      </c>
    </row>
    <row r="2285" spans="1:10" ht="15.75" thickBot="1" x14ac:dyDescent="0.3">
      <c r="A2285" s="14">
        <v>44343</v>
      </c>
      <c r="B2285" s="15">
        <v>44343</v>
      </c>
      <c r="C2285" s="16">
        <v>2663919</v>
      </c>
      <c r="D2285" s="10">
        <f>PrincipalesVariables[[#This Row],[Base monetaria]]/1000000</f>
        <v>2.6639189999999999</v>
      </c>
      <c r="E2285" s="10">
        <v>94.53</v>
      </c>
      <c r="F2285" s="11">
        <v>41785</v>
      </c>
      <c r="H2285" s="12">
        <f>(PrincipalesVariables[[#This Row],[Base monetaria]]-C2284)/C2284</f>
        <v>-5.0168991663775125E-3</v>
      </c>
      <c r="I2285" s="12">
        <f>(PrincipalesVariables[[#This Row],[Dólar  mayorista]]-E2284)/E2284</f>
        <v>4.2332521960002388E-4</v>
      </c>
      <c r="J2285" s="12">
        <f>(PrincipalesVariables[[#This Row],[Reservas internacionales]]-F2284)/F2284</f>
        <v>1.678053457988733E-3</v>
      </c>
    </row>
    <row r="2286" spans="1:10" ht="15.75" thickBot="1" x14ac:dyDescent="0.3">
      <c r="A2286" s="14">
        <v>44344</v>
      </c>
      <c r="B2286" s="15">
        <v>44344</v>
      </c>
      <c r="C2286" s="16">
        <v>2635448</v>
      </c>
      <c r="D2286" s="10">
        <f>PrincipalesVariables[[#This Row],[Base monetaria]]/1000000</f>
        <v>2.6354479999999998</v>
      </c>
      <c r="E2286" s="10">
        <v>94.57</v>
      </c>
      <c r="F2286" s="11">
        <v>41888</v>
      </c>
      <c r="H2286" s="12">
        <f>(PrincipalesVariables[[#This Row],[Base monetaria]]-C2285)/C2285</f>
        <v>-1.0687637274256463E-2</v>
      </c>
      <c r="I2286" s="12">
        <f>(PrincipalesVariables[[#This Row],[Dólar  mayorista]]-E2285)/E2285</f>
        <v>4.2314609118789844E-4</v>
      </c>
      <c r="J2286" s="12">
        <f>(PrincipalesVariables[[#This Row],[Reservas internacionales]]-F2285)/F2285</f>
        <v>2.4649994016991742E-3</v>
      </c>
    </row>
    <row r="2287" spans="1:10" ht="15.75" thickBot="1" x14ac:dyDescent="0.3">
      <c r="A2287" s="14">
        <v>44347</v>
      </c>
      <c r="B2287" s="15">
        <v>44347</v>
      </c>
      <c r="C2287" s="16">
        <v>2517197</v>
      </c>
      <c r="D2287" s="10">
        <f>PrincipalesVariables[[#This Row],[Base monetaria]]/1000000</f>
        <v>2.5171969999999999</v>
      </c>
      <c r="E2287" s="10">
        <v>94.69</v>
      </c>
      <c r="F2287" s="11">
        <v>41872</v>
      </c>
      <c r="H2287" s="12">
        <f>(PrincipalesVariables[[#This Row],[Base monetaria]]-C2286)/C2286</f>
        <v>-4.4869411196881898E-2</v>
      </c>
      <c r="I2287" s="12">
        <f>(PrincipalesVariables[[#This Row],[Dólar  mayorista]]-E2286)/E2286</f>
        <v>1.2689013429206361E-3</v>
      </c>
      <c r="J2287" s="12">
        <f>(PrincipalesVariables[[#This Row],[Reservas internacionales]]-F2286)/F2286</f>
        <v>-3.8197097020626432E-4</v>
      </c>
    </row>
    <row r="2288" spans="1:10" ht="15.75" thickBot="1" x14ac:dyDescent="0.3">
      <c r="A2288" s="14">
        <v>44348</v>
      </c>
      <c r="B2288" s="15">
        <v>44348</v>
      </c>
      <c r="C2288" s="16">
        <v>2485353</v>
      </c>
      <c r="D2288" s="10">
        <f>PrincipalesVariables[[#This Row],[Base monetaria]]/1000000</f>
        <v>2.4853529999999999</v>
      </c>
      <c r="E2288" s="10">
        <v>94.74</v>
      </c>
      <c r="F2288" s="11">
        <v>41964</v>
      </c>
      <c r="H2288" s="12">
        <f>(PrincipalesVariables[[#This Row],[Base monetaria]]-C2287)/C2287</f>
        <v>-1.265057919582774E-2</v>
      </c>
      <c r="I2288" s="12">
        <f>(PrincipalesVariables[[#This Row],[Dólar  mayorista]]-E2287)/E2287</f>
        <v>5.280388636603354E-4</v>
      </c>
      <c r="J2288" s="12">
        <f>(PrincipalesVariables[[#This Row],[Reservas internacionales]]-F2287)/F2287</f>
        <v>2.1971723347344288E-3</v>
      </c>
    </row>
    <row r="2289" spans="1:10" ht="15.75" thickBot="1" x14ac:dyDescent="0.3">
      <c r="A2289" s="14">
        <v>44349</v>
      </c>
      <c r="B2289" s="15">
        <v>44349</v>
      </c>
      <c r="C2289" s="16">
        <v>2664607</v>
      </c>
      <c r="D2289" s="10">
        <f>PrincipalesVariables[[#This Row],[Base monetaria]]/1000000</f>
        <v>2.6646070000000002</v>
      </c>
      <c r="E2289" s="10">
        <v>94.78</v>
      </c>
      <c r="F2289" s="11">
        <v>42066</v>
      </c>
      <c r="H2289" s="12">
        <f>(PrincipalesVariables[[#This Row],[Base monetaria]]-C2288)/C2288</f>
        <v>7.2124161034669926E-2</v>
      </c>
      <c r="I2289" s="12">
        <f>(PrincipalesVariables[[#This Row],[Dólar  mayorista]]-E2288)/E2288</f>
        <v>4.2220814861733435E-4</v>
      </c>
      <c r="J2289" s="12">
        <f>(PrincipalesVariables[[#This Row],[Reservas internacionales]]-F2288)/F2288</f>
        <v>2.4306548470117242E-3</v>
      </c>
    </row>
    <row r="2290" spans="1:10" ht="15.75" thickBot="1" x14ac:dyDescent="0.3">
      <c r="A2290" s="14">
        <v>44350</v>
      </c>
      <c r="B2290" s="15">
        <v>44350</v>
      </c>
      <c r="C2290" s="16">
        <v>2635833</v>
      </c>
      <c r="D2290" s="10">
        <f>PrincipalesVariables[[#This Row],[Base monetaria]]/1000000</f>
        <v>2.6358329999999999</v>
      </c>
      <c r="E2290" s="10">
        <v>94.82</v>
      </c>
      <c r="F2290" s="11">
        <v>42122</v>
      </c>
      <c r="H2290" s="12">
        <f>(PrincipalesVariables[[#This Row],[Base monetaria]]-C2289)/C2289</f>
        <v>-1.079859056138485E-2</v>
      </c>
      <c r="I2290" s="12">
        <f>(PrincipalesVariables[[#This Row],[Dólar  mayorista]]-E2289)/E2289</f>
        <v>4.2202996412736907E-4</v>
      </c>
      <c r="J2290" s="12">
        <f>(PrincipalesVariables[[#This Row],[Reservas internacionales]]-F2289)/F2289</f>
        <v>1.3312413825892645E-3</v>
      </c>
    </row>
    <row r="2291" spans="1:10" ht="15.75" thickBot="1" x14ac:dyDescent="0.3">
      <c r="A2291" s="14">
        <v>44351</v>
      </c>
      <c r="B2291" s="15">
        <v>44351</v>
      </c>
      <c r="C2291" s="16">
        <v>2609325</v>
      </c>
      <c r="D2291" s="10">
        <f>PrincipalesVariables[[#This Row],[Base monetaria]]/1000000</f>
        <v>2.6093250000000001</v>
      </c>
      <c r="E2291" s="10">
        <v>94.86</v>
      </c>
      <c r="F2291" s="11">
        <v>42202</v>
      </c>
      <c r="H2291" s="12">
        <f>(PrincipalesVariables[[#This Row],[Base monetaria]]-C2290)/C2290</f>
        <v>-1.005678280831904E-2</v>
      </c>
      <c r="I2291" s="12">
        <f>(PrincipalesVariables[[#This Row],[Dólar  mayorista]]-E2290)/E2290</f>
        <v>4.218519299726456E-4</v>
      </c>
      <c r="J2291" s="12">
        <f>(PrincipalesVariables[[#This Row],[Reservas internacionales]]-F2290)/F2290</f>
        <v>1.8992450500925882E-3</v>
      </c>
    </row>
    <row r="2292" spans="1:10" ht="15.75" thickBot="1" x14ac:dyDescent="0.3">
      <c r="A2292" s="14">
        <v>44354</v>
      </c>
      <c r="B2292" s="15">
        <v>44354</v>
      </c>
      <c r="C2292" s="16">
        <v>2653858</v>
      </c>
      <c r="D2292" s="10">
        <f>PrincipalesVariables[[#This Row],[Base monetaria]]/1000000</f>
        <v>2.6538580000000001</v>
      </c>
      <c r="E2292" s="10">
        <v>94.98</v>
      </c>
      <c r="F2292" s="11">
        <v>42292</v>
      </c>
      <c r="H2292" s="12">
        <f>(PrincipalesVariables[[#This Row],[Base monetaria]]-C2291)/C2291</f>
        <v>1.7066865951922434E-2</v>
      </c>
      <c r="I2292" s="12">
        <f>(PrincipalesVariables[[#This Row],[Dólar  mayorista]]-E2291)/E2291</f>
        <v>1.265022137887461E-3</v>
      </c>
      <c r="J2292" s="12">
        <f>(PrincipalesVariables[[#This Row],[Reservas internacionales]]-F2291)/F2291</f>
        <v>2.1326003506942797E-3</v>
      </c>
    </row>
    <row r="2293" spans="1:10" ht="15.75" thickBot="1" x14ac:dyDescent="0.3">
      <c r="A2293" s="14">
        <v>44355</v>
      </c>
      <c r="B2293" s="15">
        <v>44355</v>
      </c>
      <c r="C2293" s="16">
        <v>2600624</v>
      </c>
      <c r="D2293" s="10">
        <f>PrincipalesVariables[[#This Row],[Base monetaria]]/1000000</f>
        <v>2.6006239999999998</v>
      </c>
      <c r="E2293" s="10">
        <v>95.02</v>
      </c>
      <c r="F2293" s="11">
        <v>42430</v>
      </c>
      <c r="H2293" s="12">
        <f>(PrincipalesVariables[[#This Row],[Base monetaria]]-C2292)/C2292</f>
        <v>-2.0059098866631146E-2</v>
      </c>
      <c r="I2293" s="12">
        <f>(PrincipalesVariables[[#This Row],[Dólar  mayorista]]-E2292)/E2292</f>
        <v>4.2114129290368539E-4</v>
      </c>
      <c r="J2293" s="12">
        <f>(PrincipalesVariables[[#This Row],[Reservas internacionales]]-F2292)/F2292</f>
        <v>3.263028468741133E-3</v>
      </c>
    </row>
    <row r="2294" spans="1:10" ht="15.75" thickBot="1" x14ac:dyDescent="0.3">
      <c r="A2294" s="14">
        <v>44356</v>
      </c>
      <c r="B2294" s="15">
        <v>44356</v>
      </c>
      <c r="C2294" s="16">
        <v>2645905</v>
      </c>
      <c r="D2294" s="10">
        <f>PrincipalesVariables[[#This Row],[Base monetaria]]/1000000</f>
        <v>2.645905</v>
      </c>
      <c r="E2294" s="10">
        <v>95.06</v>
      </c>
      <c r="F2294" s="11">
        <v>42618</v>
      </c>
      <c r="H2294" s="12">
        <f>(PrincipalesVariables[[#This Row],[Base monetaria]]-C2293)/C2293</f>
        <v>1.7411590449061456E-2</v>
      </c>
      <c r="I2294" s="12">
        <f>(PrincipalesVariables[[#This Row],[Dólar  mayorista]]-E2293)/E2293</f>
        <v>4.2096400757741799E-4</v>
      </c>
      <c r="J2294" s="12">
        <f>(PrincipalesVariables[[#This Row],[Reservas internacionales]]-F2293)/F2293</f>
        <v>4.4308272448739102E-3</v>
      </c>
    </row>
    <row r="2295" spans="1:10" ht="15.75" thickBot="1" x14ac:dyDescent="0.3">
      <c r="A2295" s="14">
        <v>44357</v>
      </c>
      <c r="B2295" s="15">
        <v>44357</v>
      </c>
      <c r="C2295" s="16">
        <v>2657276</v>
      </c>
      <c r="D2295" s="10">
        <f>PrincipalesVariables[[#This Row],[Base monetaria]]/1000000</f>
        <v>2.657276</v>
      </c>
      <c r="E2295" s="10">
        <v>95.1</v>
      </c>
      <c r="F2295" s="11">
        <v>42658</v>
      </c>
      <c r="H2295" s="12">
        <f>(PrincipalesVariables[[#This Row],[Base monetaria]]-C2294)/C2294</f>
        <v>4.2975843803915864E-3</v>
      </c>
      <c r="I2295" s="12">
        <f>(PrincipalesVariables[[#This Row],[Dólar  mayorista]]-E2294)/E2294</f>
        <v>4.2078687144952705E-4</v>
      </c>
      <c r="J2295" s="12">
        <f>(PrincipalesVariables[[#This Row],[Reservas internacionales]]-F2294)/F2294</f>
        <v>9.3857055704162562E-4</v>
      </c>
    </row>
    <row r="2296" spans="1:10" ht="15.75" thickBot="1" x14ac:dyDescent="0.3">
      <c r="A2296" s="14">
        <v>44358</v>
      </c>
      <c r="B2296" s="15">
        <v>44358</v>
      </c>
      <c r="C2296" s="16">
        <v>2615894</v>
      </c>
      <c r="D2296" s="10">
        <f>PrincipalesVariables[[#This Row],[Base monetaria]]/1000000</f>
        <v>2.6158939999999999</v>
      </c>
      <c r="E2296" s="10">
        <v>95.14</v>
      </c>
      <c r="F2296" s="11">
        <v>42697</v>
      </c>
      <c r="H2296" s="12">
        <f>(PrincipalesVariables[[#This Row],[Base monetaria]]-C2295)/C2295</f>
        <v>-1.5573090638684126E-2</v>
      </c>
      <c r="I2296" s="12">
        <f>(PrincipalesVariables[[#This Row],[Dólar  mayorista]]-E2295)/E2295</f>
        <v>4.206098843323476E-4</v>
      </c>
      <c r="J2296" s="12">
        <f>(PrincipalesVariables[[#This Row],[Reservas internacionales]]-F2295)/F2295</f>
        <v>9.142482066669792E-4</v>
      </c>
    </row>
    <row r="2297" spans="1:10" ht="15.75" thickBot="1" x14ac:dyDescent="0.3">
      <c r="A2297" s="14">
        <v>44361</v>
      </c>
      <c r="B2297" s="15">
        <v>44361</v>
      </c>
      <c r="C2297" s="16">
        <v>2673594</v>
      </c>
      <c r="D2297" s="10">
        <f>PrincipalesVariables[[#This Row],[Base monetaria]]/1000000</f>
        <v>2.673594</v>
      </c>
      <c r="E2297" s="10">
        <v>95.26</v>
      </c>
      <c r="F2297" s="11">
        <v>42720</v>
      </c>
      <c r="H2297" s="12">
        <f>(PrincipalesVariables[[#This Row],[Base monetaria]]-C2296)/C2296</f>
        <v>2.2057468689480535E-2</v>
      </c>
      <c r="I2297" s="12">
        <f>(PrincipalesVariables[[#This Row],[Dólar  mayorista]]-E2296)/E2296</f>
        <v>1.2612991381123035E-3</v>
      </c>
      <c r="J2297" s="12">
        <f>(PrincipalesVariables[[#This Row],[Reservas internacionales]]-F2296)/F2296</f>
        <v>5.386795325198492E-4</v>
      </c>
    </row>
    <row r="2298" spans="1:10" ht="15.75" thickBot="1" x14ac:dyDescent="0.3">
      <c r="A2298" s="14">
        <v>44362</v>
      </c>
      <c r="B2298" s="15">
        <v>44362</v>
      </c>
      <c r="C2298" s="16">
        <v>2716996</v>
      </c>
      <c r="D2298" s="10">
        <f>PrincipalesVariables[[#This Row],[Base monetaria]]/1000000</f>
        <v>2.716996</v>
      </c>
      <c r="E2298" s="10">
        <v>95.29</v>
      </c>
      <c r="F2298" s="11">
        <v>42665</v>
      </c>
      <c r="H2298" s="12">
        <f>(PrincipalesVariables[[#This Row],[Base monetaria]]-C2297)/C2297</f>
        <v>1.6233579219582329E-2</v>
      </c>
      <c r="I2298" s="12">
        <f>(PrincipalesVariables[[#This Row],[Dólar  mayorista]]-E2297)/E2297</f>
        <v>3.1492756665968017E-4</v>
      </c>
      <c r="J2298" s="12">
        <f>(PrincipalesVariables[[#This Row],[Reservas internacionales]]-F2297)/F2297</f>
        <v>-1.2874531835205991E-3</v>
      </c>
    </row>
    <row r="2299" spans="1:10" ht="15.75" thickBot="1" x14ac:dyDescent="0.3">
      <c r="A2299" s="14">
        <v>44363</v>
      </c>
      <c r="B2299" s="15">
        <v>44363</v>
      </c>
      <c r="C2299" s="16">
        <v>2709609</v>
      </c>
      <c r="D2299" s="10">
        <f>PrincipalesVariables[[#This Row],[Base monetaria]]/1000000</f>
        <v>2.7096089999999999</v>
      </c>
      <c r="E2299" s="10">
        <v>95.32</v>
      </c>
      <c r="F2299" s="11">
        <v>42692</v>
      </c>
      <c r="H2299" s="12">
        <f>(PrincipalesVariables[[#This Row],[Base monetaria]]-C2298)/C2298</f>
        <v>-2.7188115109481208E-3</v>
      </c>
      <c r="I2299" s="12">
        <f>(PrincipalesVariables[[#This Row],[Dólar  mayorista]]-E2298)/E2298</f>
        <v>3.1482841851177381E-4</v>
      </c>
      <c r="J2299" s="12">
        <f>(PrincipalesVariables[[#This Row],[Reservas internacionales]]-F2298)/F2298</f>
        <v>6.3283722020391427E-4</v>
      </c>
    </row>
    <row r="2300" spans="1:10" ht="15.75" thickBot="1" x14ac:dyDescent="0.3">
      <c r="A2300" s="14">
        <v>44364</v>
      </c>
      <c r="B2300" s="15">
        <v>44364</v>
      </c>
      <c r="C2300" s="16">
        <v>2720273</v>
      </c>
      <c r="D2300" s="10">
        <f>PrincipalesVariables[[#This Row],[Base monetaria]]/1000000</f>
        <v>2.7202730000000002</v>
      </c>
      <c r="E2300" s="10">
        <v>95.35</v>
      </c>
      <c r="F2300" s="11">
        <v>42397</v>
      </c>
      <c r="H2300" s="12">
        <f>(PrincipalesVariables[[#This Row],[Base monetaria]]-C2299)/C2299</f>
        <v>3.9356231840092055E-3</v>
      </c>
      <c r="I2300" s="12">
        <f>(PrincipalesVariables[[#This Row],[Dólar  mayorista]]-E2299)/E2299</f>
        <v>3.1472933277382648E-4</v>
      </c>
      <c r="J2300" s="12">
        <f>(PrincipalesVariables[[#This Row],[Reservas internacionales]]-F2299)/F2299</f>
        <v>-6.909959711421344E-3</v>
      </c>
    </row>
    <row r="2301" spans="1:10" ht="15.75" thickBot="1" x14ac:dyDescent="0.3">
      <c r="A2301" s="14">
        <v>44365</v>
      </c>
      <c r="B2301" s="15">
        <v>44365</v>
      </c>
      <c r="C2301" s="16">
        <v>2740996</v>
      </c>
      <c r="D2301" s="10">
        <f>PrincipalesVariables[[#This Row],[Base monetaria]]/1000000</f>
        <v>2.740996</v>
      </c>
      <c r="E2301" s="10">
        <v>95.38</v>
      </c>
      <c r="F2301" s="11">
        <v>42407</v>
      </c>
      <c r="H2301" s="12">
        <f>(PrincipalesVariables[[#This Row],[Base monetaria]]-C2300)/C2300</f>
        <v>7.6179854007300003E-3</v>
      </c>
      <c r="I2301" s="12">
        <f>(PrincipalesVariables[[#This Row],[Dólar  mayorista]]-E2300)/E2300</f>
        <v>3.1463030938648284E-4</v>
      </c>
      <c r="J2301" s="12">
        <f>(PrincipalesVariables[[#This Row],[Reservas internacionales]]-F2300)/F2300</f>
        <v>2.3586574521782203E-4</v>
      </c>
    </row>
    <row r="2302" spans="1:10" ht="15.75" thickBot="1" x14ac:dyDescent="0.3">
      <c r="A2302" s="14">
        <v>44369</v>
      </c>
      <c r="B2302" s="15">
        <v>44369</v>
      </c>
      <c r="C2302" s="16">
        <v>2892146</v>
      </c>
      <c r="D2302" s="10">
        <f>PrincipalesVariables[[#This Row],[Base monetaria]]/1000000</f>
        <v>2.8921459999999999</v>
      </c>
      <c r="E2302" s="10">
        <v>95.5</v>
      </c>
      <c r="F2302" s="11">
        <v>42376</v>
      </c>
      <c r="H2302" s="12">
        <f>(PrincipalesVariables[[#This Row],[Base monetaria]]-C2301)/C2301</f>
        <v>5.5144188462879919E-2</v>
      </c>
      <c r="I2302" s="12">
        <f>(PrincipalesVariables[[#This Row],[Dólar  mayorista]]-E2301)/E2301</f>
        <v>1.2581253931642331E-3</v>
      </c>
      <c r="J2302" s="12">
        <f>(PrincipalesVariables[[#This Row],[Reservas internacionales]]-F2301)/F2301</f>
        <v>-7.310113896290707E-4</v>
      </c>
    </row>
    <row r="2303" spans="1:10" ht="15.75" thickBot="1" x14ac:dyDescent="0.3">
      <c r="A2303" s="14">
        <v>44370</v>
      </c>
      <c r="B2303" s="15">
        <v>44370</v>
      </c>
      <c r="C2303" s="16">
        <v>2816300</v>
      </c>
      <c r="D2303" s="10">
        <f>PrincipalesVariables[[#This Row],[Base monetaria]]/1000000</f>
        <v>2.8163</v>
      </c>
      <c r="E2303" s="10">
        <v>95.53</v>
      </c>
      <c r="F2303" s="11">
        <v>42402</v>
      </c>
      <c r="H2303" s="12">
        <f>(PrincipalesVariables[[#This Row],[Base monetaria]]-C2302)/C2302</f>
        <v>-2.6224817142703031E-2</v>
      </c>
      <c r="I2303" s="12">
        <f>(PrincipalesVariables[[#This Row],[Dólar  mayorista]]-E2302)/E2302</f>
        <v>3.1413612565446217E-4</v>
      </c>
      <c r="J2303" s="12">
        <f>(PrincipalesVariables[[#This Row],[Reservas internacionales]]-F2302)/F2302</f>
        <v>6.1355484236360204E-4</v>
      </c>
    </row>
    <row r="2304" spans="1:10" ht="15.75" thickBot="1" x14ac:dyDescent="0.3">
      <c r="A2304" s="14">
        <v>44371</v>
      </c>
      <c r="B2304" s="15">
        <v>44371</v>
      </c>
      <c r="C2304" s="16">
        <v>2839299</v>
      </c>
      <c r="D2304" s="10">
        <f>PrincipalesVariables[[#This Row],[Base monetaria]]/1000000</f>
        <v>2.839299</v>
      </c>
      <c r="E2304" s="10">
        <v>95.56</v>
      </c>
      <c r="F2304" s="11">
        <v>42414</v>
      </c>
      <c r="H2304" s="12">
        <f>(PrincipalesVariables[[#This Row],[Base monetaria]]-C2303)/C2303</f>
        <v>8.1663885239498628E-3</v>
      </c>
      <c r="I2304" s="12">
        <f>(PrincipalesVariables[[#This Row],[Dólar  mayorista]]-E2303)/E2303</f>
        <v>3.1403747513871177E-4</v>
      </c>
      <c r="J2304" s="12">
        <f>(PrincipalesVariables[[#This Row],[Reservas internacionales]]-F2303)/F2303</f>
        <v>2.8300551860761287E-4</v>
      </c>
    </row>
    <row r="2305" spans="1:10" ht="15.75" thickBot="1" x14ac:dyDescent="0.3">
      <c r="A2305" s="14">
        <v>44372</v>
      </c>
      <c r="B2305" s="15">
        <v>44372</v>
      </c>
      <c r="C2305" s="16">
        <v>2869901</v>
      </c>
      <c r="D2305" s="10">
        <f>PrincipalesVariables[[#This Row],[Base monetaria]]/1000000</f>
        <v>2.869901</v>
      </c>
      <c r="E2305" s="10">
        <v>95.59</v>
      </c>
      <c r="F2305" s="11">
        <v>42420</v>
      </c>
      <c r="H2305" s="12">
        <f>(PrincipalesVariables[[#This Row],[Base monetaria]]-C2304)/C2304</f>
        <v>1.0778012460117796E-2</v>
      </c>
      <c r="I2305" s="12">
        <f>(PrincipalesVariables[[#This Row],[Dólar  mayorista]]-E2304)/E2304</f>
        <v>3.1393888656342753E-4</v>
      </c>
      <c r="J2305" s="12">
        <f>(PrincipalesVariables[[#This Row],[Reservas internacionales]]-F2304)/F2304</f>
        <v>1.4146272457207527E-4</v>
      </c>
    </row>
    <row r="2306" spans="1:10" ht="15.75" thickBot="1" x14ac:dyDescent="0.3">
      <c r="A2306" s="14">
        <v>44375</v>
      </c>
      <c r="B2306" s="15">
        <v>44375</v>
      </c>
      <c r="C2306" s="16">
        <v>2729348</v>
      </c>
      <c r="D2306" s="10">
        <f>PrincipalesVariables[[#This Row],[Base monetaria]]/1000000</f>
        <v>2.7293479999999999</v>
      </c>
      <c r="E2306" s="10">
        <v>95.68</v>
      </c>
      <c r="F2306" s="11">
        <v>42420</v>
      </c>
      <c r="H2306" s="12">
        <f>(PrincipalesVariables[[#This Row],[Base monetaria]]-C2305)/C2305</f>
        <v>-4.897486010841489E-2</v>
      </c>
      <c r="I2306" s="12">
        <f>(PrincipalesVariables[[#This Row],[Dólar  mayorista]]-E2305)/E2305</f>
        <v>9.4152107961087363E-4</v>
      </c>
      <c r="J2306" s="12">
        <f>(PrincipalesVariables[[#This Row],[Reservas internacionales]]-F2305)/F2305</f>
        <v>0</v>
      </c>
    </row>
    <row r="2307" spans="1:10" ht="15.75" thickBot="1" x14ac:dyDescent="0.3">
      <c r="A2307" s="14">
        <v>44376</v>
      </c>
      <c r="B2307" s="15">
        <v>44376</v>
      </c>
      <c r="C2307" s="16">
        <v>2728406</v>
      </c>
      <c r="D2307" s="10">
        <f>PrincipalesVariables[[#This Row],[Base monetaria]]/1000000</f>
        <v>2.7284060000000001</v>
      </c>
      <c r="E2307" s="10">
        <v>95.71</v>
      </c>
      <c r="F2307" s="11">
        <v>42366</v>
      </c>
      <c r="H2307" s="12">
        <f>(PrincipalesVariables[[#This Row],[Base monetaria]]-C2306)/C2306</f>
        <v>-3.4513737346794914E-4</v>
      </c>
      <c r="I2307" s="12">
        <f>(PrincipalesVariables[[#This Row],[Dólar  mayorista]]-E2306)/E2306</f>
        <v>3.1354515050153559E-4</v>
      </c>
      <c r="J2307" s="12">
        <f>(PrincipalesVariables[[#This Row],[Reservas internacionales]]-F2306)/F2306</f>
        <v>-1.2729844413012729E-3</v>
      </c>
    </row>
    <row r="2308" spans="1:10" ht="15.75" thickBot="1" x14ac:dyDescent="0.3">
      <c r="A2308" s="14">
        <v>44377</v>
      </c>
      <c r="B2308" s="15">
        <v>44377</v>
      </c>
      <c r="C2308" s="16">
        <v>2735557</v>
      </c>
      <c r="D2308" s="10">
        <f>PrincipalesVariables[[#This Row],[Base monetaria]]/1000000</f>
        <v>2.735557</v>
      </c>
      <c r="E2308" s="10">
        <v>95.73</v>
      </c>
      <c r="F2308" s="11">
        <v>42437</v>
      </c>
      <c r="H2308" s="12">
        <f>(PrincipalesVariables[[#This Row],[Base monetaria]]-C2307)/C2307</f>
        <v>2.6209442436352947E-3</v>
      </c>
      <c r="I2308" s="12">
        <f>(PrincipalesVariables[[#This Row],[Dólar  mayorista]]-E2307)/E2307</f>
        <v>2.0896458050371155E-4</v>
      </c>
      <c r="J2308" s="12">
        <f>(PrincipalesVariables[[#This Row],[Reservas internacionales]]-F2307)/F2307</f>
        <v>1.6758721616390501E-3</v>
      </c>
    </row>
    <row r="2309" spans="1:10" ht="15.75" thickBot="1" x14ac:dyDescent="0.3">
      <c r="A2309" s="14">
        <v>44378</v>
      </c>
      <c r="B2309" s="15">
        <v>44378</v>
      </c>
      <c r="C2309" s="16">
        <v>2816079</v>
      </c>
      <c r="D2309" s="10">
        <f>PrincipalesVariables[[#This Row],[Base monetaria]]/1000000</f>
        <v>2.8160790000000002</v>
      </c>
      <c r="E2309" s="10">
        <v>95.77</v>
      </c>
      <c r="F2309" s="11">
        <v>42494</v>
      </c>
      <c r="H2309" s="12">
        <f>(PrincipalesVariables[[#This Row],[Base monetaria]]-C2308)/C2308</f>
        <v>2.9435321581674227E-2</v>
      </c>
      <c r="I2309" s="12">
        <f>(PrincipalesVariables[[#This Row],[Dólar  mayorista]]-E2308)/E2308</f>
        <v>4.1784184686087999E-4</v>
      </c>
      <c r="J2309" s="12">
        <f>(PrincipalesVariables[[#This Row],[Reservas internacionales]]-F2308)/F2308</f>
        <v>1.3431675189103849E-3</v>
      </c>
    </row>
    <row r="2310" spans="1:10" ht="15.75" thickBot="1" x14ac:dyDescent="0.3">
      <c r="A2310" s="14">
        <v>44379</v>
      </c>
      <c r="B2310" s="15">
        <v>44379</v>
      </c>
      <c r="C2310" s="16">
        <v>2769891</v>
      </c>
      <c r="D2310" s="10">
        <f>PrincipalesVariables[[#This Row],[Base monetaria]]/1000000</f>
        <v>2.7698909999999999</v>
      </c>
      <c r="E2310" s="10">
        <v>95.8</v>
      </c>
      <c r="F2310" s="11">
        <v>42641</v>
      </c>
      <c r="H2310" s="12">
        <f>(PrincipalesVariables[[#This Row],[Base monetaria]]-C2309)/C2309</f>
        <v>-1.6401528508255627E-2</v>
      </c>
      <c r="I2310" s="12">
        <f>(PrincipalesVariables[[#This Row],[Dólar  mayorista]]-E2309)/E2309</f>
        <v>3.1325049597996386E-4</v>
      </c>
      <c r="J2310" s="12">
        <f>(PrincipalesVariables[[#This Row],[Reservas internacionales]]-F2309)/F2309</f>
        <v>3.459311902856874E-3</v>
      </c>
    </row>
    <row r="2311" spans="1:10" ht="15.75" thickBot="1" x14ac:dyDescent="0.3">
      <c r="A2311" s="14">
        <v>44382</v>
      </c>
      <c r="B2311" s="15">
        <v>44382</v>
      </c>
      <c r="C2311" s="16">
        <v>2762422</v>
      </c>
      <c r="D2311" s="10">
        <f>PrincipalesVariables[[#This Row],[Base monetaria]]/1000000</f>
        <v>2.7624219999999999</v>
      </c>
      <c r="E2311" s="10">
        <v>95.89</v>
      </c>
      <c r="F2311" s="11">
        <v>42678</v>
      </c>
      <c r="H2311" s="12">
        <f>(PrincipalesVariables[[#This Row],[Base monetaria]]-C2310)/C2310</f>
        <v>-2.6964959993010557E-3</v>
      </c>
      <c r="I2311" s="12">
        <f>(PrincipalesVariables[[#This Row],[Dólar  mayorista]]-E2310)/E2310</f>
        <v>9.3945720250525485E-4</v>
      </c>
      <c r="J2311" s="12">
        <f>(PrincipalesVariables[[#This Row],[Reservas internacionales]]-F2310)/F2310</f>
        <v>8.6770948148495578E-4</v>
      </c>
    </row>
    <row r="2312" spans="1:10" ht="15.75" thickBot="1" x14ac:dyDescent="0.3">
      <c r="A2312" s="14">
        <v>44383</v>
      </c>
      <c r="B2312" s="15">
        <v>44383</v>
      </c>
      <c r="C2312" s="16">
        <v>2810470</v>
      </c>
      <c r="D2312" s="10">
        <f>PrincipalesVariables[[#This Row],[Base monetaria]]/1000000</f>
        <v>2.81047</v>
      </c>
      <c r="E2312" s="10">
        <v>95.92</v>
      </c>
      <c r="F2312" s="11">
        <v>42727</v>
      </c>
      <c r="H2312" s="12">
        <f>(PrincipalesVariables[[#This Row],[Base monetaria]]-C2311)/C2311</f>
        <v>1.7393432285146875E-2</v>
      </c>
      <c r="I2312" s="12">
        <f>(PrincipalesVariables[[#This Row],[Dólar  mayorista]]-E2311)/E2311</f>
        <v>3.1285848367922764E-4</v>
      </c>
      <c r="J2312" s="12">
        <f>(PrincipalesVariables[[#This Row],[Reservas internacionales]]-F2311)/F2311</f>
        <v>1.1481325272974367E-3</v>
      </c>
    </row>
    <row r="2313" spans="1:10" ht="15.75" thickBot="1" x14ac:dyDescent="0.3">
      <c r="A2313" s="14">
        <v>44384</v>
      </c>
      <c r="B2313" s="15">
        <v>44384</v>
      </c>
      <c r="C2313" s="16">
        <v>2838177</v>
      </c>
      <c r="D2313" s="10">
        <f>PrincipalesVariables[[#This Row],[Base monetaria]]/1000000</f>
        <v>2.8381769999999999</v>
      </c>
      <c r="E2313" s="10">
        <v>95.95</v>
      </c>
      <c r="F2313" s="11">
        <v>42759</v>
      </c>
      <c r="H2313" s="12">
        <f>(PrincipalesVariables[[#This Row],[Base monetaria]]-C2312)/C2312</f>
        <v>9.8584934192501618E-3</v>
      </c>
      <c r="I2313" s="12">
        <f>(PrincipalesVariables[[#This Row],[Dólar  mayorista]]-E2312)/E2312</f>
        <v>3.1276063386156315E-4</v>
      </c>
      <c r="J2313" s="12">
        <f>(PrincipalesVariables[[#This Row],[Reservas internacionales]]-F2312)/F2312</f>
        <v>7.4894095068691929E-4</v>
      </c>
    </row>
    <row r="2314" spans="1:10" ht="15.75" thickBot="1" x14ac:dyDescent="0.3">
      <c r="A2314" s="14">
        <v>44385</v>
      </c>
      <c r="B2314" s="15">
        <v>44385</v>
      </c>
      <c r="C2314" s="16">
        <v>2770568</v>
      </c>
      <c r="D2314" s="10">
        <f>PrincipalesVariables[[#This Row],[Base monetaria]]/1000000</f>
        <v>2.7705679999999999</v>
      </c>
      <c r="E2314" s="10">
        <v>95.98</v>
      </c>
      <c r="F2314" s="11">
        <v>42750</v>
      </c>
      <c r="H2314" s="12">
        <f>(PrincipalesVariables[[#This Row],[Base monetaria]]-C2313)/C2313</f>
        <v>-2.3821276826639072E-2</v>
      </c>
      <c r="I2314" s="12">
        <f>(PrincipalesVariables[[#This Row],[Dólar  mayorista]]-E2313)/E2313</f>
        <v>3.1266284523190347E-4</v>
      </c>
      <c r="J2314" s="12">
        <f>(PrincipalesVariables[[#This Row],[Reservas internacionales]]-F2313)/F2313</f>
        <v>-2.1048200378867606E-4</v>
      </c>
    </row>
    <row r="2315" spans="1:10" ht="15.75" thickBot="1" x14ac:dyDescent="0.3">
      <c r="A2315" s="14">
        <v>44389</v>
      </c>
      <c r="B2315" s="15">
        <v>44389</v>
      </c>
      <c r="C2315" s="16">
        <v>2976047</v>
      </c>
      <c r="D2315" s="10">
        <f>PrincipalesVariables[[#This Row],[Base monetaria]]/1000000</f>
        <v>2.9760469999999999</v>
      </c>
      <c r="E2315" s="10">
        <v>96.1</v>
      </c>
      <c r="F2315" s="11">
        <v>42845</v>
      </c>
      <c r="H2315" s="12">
        <f>(PrincipalesVariables[[#This Row],[Base monetaria]]-C2314)/C2314</f>
        <v>7.4164936576182214E-2</v>
      </c>
      <c r="I2315" s="12">
        <f>(PrincipalesVariables[[#This Row],[Dólar  mayorista]]-E2314)/E2314</f>
        <v>1.2502604709313434E-3</v>
      </c>
      <c r="J2315" s="12">
        <f>(PrincipalesVariables[[#This Row],[Reservas internacionales]]-F2314)/F2314</f>
        <v>2.2222222222222222E-3</v>
      </c>
    </row>
    <row r="2316" spans="1:10" ht="15.75" thickBot="1" x14ac:dyDescent="0.3">
      <c r="A2316" s="14">
        <v>44390</v>
      </c>
      <c r="B2316" s="15">
        <v>44390</v>
      </c>
      <c r="C2316" s="16">
        <v>2942228</v>
      </c>
      <c r="D2316" s="10">
        <f>PrincipalesVariables[[#This Row],[Base monetaria]]/1000000</f>
        <v>2.9422280000000001</v>
      </c>
      <c r="E2316" s="10">
        <v>96.13</v>
      </c>
      <c r="F2316" s="11">
        <v>42925</v>
      </c>
      <c r="H2316" s="12">
        <f>(PrincipalesVariables[[#This Row],[Base monetaria]]-C2315)/C2315</f>
        <v>-1.1363731822783713E-2</v>
      </c>
      <c r="I2316" s="12">
        <f>(PrincipalesVariables[[#This Row],[Dólar  mayorista]]-E2315)/E2315</f>
        <v>3.1217481789803475E-4</v>
      </c>
      <c r="J2316" s="12">
        <f>(PrincipalesVariables[[#This Row],[Reservas internacionales]]-F2315)/F2315</f>
        <v>1.8671957054498774E-3</v>
      </c>
    </row>
    <row r="2317" spans="1:10" ht="15.75" thickBot="1" x14ac:dyDescent="0.3">
      <c r="A2317" s="14">
        <v>44391</v>
      </c>
      <c r="B2317" s="15">
        <v>44391</v>
      </c>
      <c r="C2317" s="16">
        <v>2980108</v>
      </c>
      <c r="D2317" s="10">
        <f>PrincipalesVariables[[#This Row],[Base monetaria]]/1000000</f>
        <v>2.980108</v>
      </c>
      <c r="E2317" s="10">
        <v>96.16</v>
      </c>
      <c r="F2317" s="11">
        <v>42964</v>
      </c>
      <c r="H2317" s="12">
        <f>(PrincipalesVariables[[#This Row],[Base monetaria]]-C2316)/C2316</f>
        <v>1.2874597074054084E-2</v>
      </c>
      <c r="I2317" s="12">
        <f>(PrincipalesVariables[[#This Row],[Dólar  mayorista]]-E2316)/E2316</f>
        <v>3.1207739519401994E-4</v>
      </c>
      <c r="J2317" s="12">
        <f>(PrincipalesVariables[[#This Row],[Reservas internacionales]]-F2316)/F2316</f>
        <v>9.0856144437973213E-4</v>
      </c>
    </row>
    <row r="2318" spans="1:10" ht="15.75" thickBot="1" x14ac:dyDescent="0.3">
      <c r="A2318" s="14">
        <v>44392</v>
      </c>
      <c r="B2318" s="15">
        <v>44392</v>
      </c>
      <c r="C2318" s="16">
        <v>3030974</v>
      </c>
      <c r="D2318" s="10">
        <f>PrincipalesVariables[[#This Row],[Base monetaria]]/1000000</f>
        <v>3.0309740000000001</v>
      </c>
      <c r="E2318" s="10">
        <v>96.19</v>
      </c>
      <c r="F2318" s="11">
        <v>42991</v>
      </c>
      <c r="H2318" s="12">
        <f>(PrincipalesVariables[[#This Row],[Base monetaria]]-C2317)/C2317</f>
        <v>1.7068508926522126E-2</v>
      </c>
      <c r="I2318" s="12">
        <f>(PrincipalesVariables[[#This Row],[Dólar  mayorista]]-E2317)/E2317</f>
        <v>3.1198003327788203E-4</v>
      </c>
      <c r="J2318" s="12">
        <f>(PrincipalesVariables[[#This Row],[Reservas internacionales]]-F2317)/F2317</f>
        <v>6.2843310678707752E-4</v>
      </c>
    </row>
    <row r="2319" spans="1:10" ht="15.75" thickBot="1" x14ac:dyDescent="0.3">
      <c r="A2319" s="14">
        <v>44393</v>
      </c>
      <c r="B2319" s="15">
        <v>44393</v>
      </c>
      <c r="C2319" s="16">
        <v>2848678</v>
      </c>
      <c r="D2319" s="10">
        <f>PrincipalesVariables[[#This Row],[Base monetaria]]/1000000</f>
        <v>2.848678</v>
      </c>
      <c r="E2319" s="10">
        <v>96.22</v>
      </c>
      <c r="F2319" s="11">
        <v>42931</v>
      </c>
      <c r="H2319" s="12">
        <f>(PrincipalesVariables[[#This Row],[Base monetaria]]-C2318)/C2318</f>
        <v>-6.0144362835181035E-2</v>
      </c>
      <c r="I2319" s="12">
        <f>(PrincipalesVariables[[#This Row],[Dólar  mayorista]]-E2318)/E2318</f>
        <v>3.1188273209274497E-4</v>
      </c>
      <c r="J2319" s="12">
        <f>(PrincipalesVariables[[#This Row],[Reservas internacionales]]-F2318)/F2318</f>
        <v>-1.3956409481054174E-3</v>
      </c>
    </row>
    <row r="2320" spans="1:10" ht="15.75" thickBot="1" x14ac:dyDescent="0.3">
      <c r="A2320" s="14">
        <v>44396</v>
      </c>
      <c r="B2320" s="15">
        <v>44396</v>
      </c>
      <c r="C2320" s="16">
        <v>2912908</v>
      </c>
      <c r="D2320" s="10">
        <f>PrincipalesVariables[[#This Row],[Base monetaria]]/1000000</f>
        <v>2.9129079999999998</v>
      </c>
      <c r="E2320" s="10">
        <v>96.31</v>
      </c>
      <c r="F2320" s="11">
        <v>42943</v>
      </c>
      <c r="H2320" s="12">
        <f>(PrincipalesVariables[[#This Row],[Base monetaria]]-C2319)/C2319</f>
        <v>2.2547300888341889E-2</v>
      </c>
      <c r="I2320" s="12">
        <f>(PrincipalesVariables[[#This Row],[Dólar  mayorista]]-E2319)/E2319</f>
        <v>9.3535647474541066E-4</v>
      </c>
      <c r="J2320" s="12">
        <f>(PrincipalesVariables[[#This Row],[Reservas internacionales]]-F2319)/F2319</f>
        <v>2.795182968018448E-4</v>
      </c>
    </row>
    <row r="2321" spans="1:10" ht="15.75" thickBot="1" x14ac:dyDescent="0.3">
      <c r="A2321" s="14">
        <v>44397</v>
      </c>
      <c r="B2321" s="15">
        <v>44397</v>
      </c>
      <c r="C2321" s="16">
        <v>2912980</v>
      </c>
      <c r="D2321" s="10">
        <f>PrincipalesVariables[[#This Row],[Base monetaria]]/1000000</f>
        <v>2.9129800000000001</v>
      </c>
      <c r="E2321" s="10">
        <v>96.34</v>
      </c>
      <c r="F2321" s="11">
        <v>43012</v>
      </c>
      <c r="H2321" s="12">
        <f>(PrincipalesVariables[[#This Row],[Base monetaria]]-C2320)/C2320</f>
        <v>2.4717567461794192E-5</v>
      </c>
      <c r="I2321" s="12">
        <f>(PrincipalesVariables[[#This Row],[Dólar  mayorista]]-E2320)/E2320</f>
        <v>3.1149413352716371E-4</v>
      </c>
      <c r="J2321" s="12">
        <f>(PrincipalesVariables[[#This Row],[Reservas internacionales]]-F2320)/F2320</f>
        <v>1.6067810818992617E-3</v>
      </c>
    </row>
    <row r="2322" spans="1:10" ht="15.75" thickBot="1" x14ac:dyDescent="0.3">
      <c r="A2322" s="14">
        <v>44398</v>
      </c>
      <c r="B2322" s="15">
        <v>44398</v>
      </c>
      <c r="C2322" s="16">
        <v>2891842</v>
      </c>
      <c r="D2322" s="10">
        <f>PrincipalesVariables[[#This Row],[Base monetaria]]/1000000</f>
        <v>2.891842</v>
      </c>
      <c r="E2322" s="10">
        <v>96.37</v>
      </c>
      <c r="F2322" s="11">
        <v>43075</v>
      </c>
      <c r="H2322" s="12">
        <f>(PrincipalesVariables[[#This Row],[Base monetaria]]-C2321)/C2321</f>
        <v>-7.2564864846308592E-3</v>
      </c>
      <c r="I2322" s="12">
        <f>(PrincipalesVariables[[#This Row],[Dólar  mayorista]]-E2321)/E2321</f>
        <v>3.1139713514636842E-4</v>
      </c>
      <c r="J2322" s="12">
        <f>(PrincipalesVariables[[#This Row],[Reservas internacionales]]-F2321)/F2321</f>
        <v>1.4647075234818191E-3</v>
      </c>
    </row>
    <row r="2323" spans="1:10" ht="15.75" thickBot="1" x14ac:dyDescent="0.3">
      <c r="A2323" s="14">
        <v>44399</v>
      </c>
      <c r="B2323" s="15">
        <v>44399</v>
      </c>
      <c r="C2323" s="16">
        <v>2957413</v>
      </c>
      <c r="D2323" s="10">
        <f>PrincipalesVariables[[#This Row],[Base monetaria]]/1000000</f>
        <v>2.9574129999999998</v>
      </c>
      <c r="E2323" s="10">
        <v>96.4</v>
      </c>
      <c r="F2323" s="11">
        <v>43091</v>
      </c>
      <c r="H2323" s="12">
        <f>(PrincipalesVariables[[#This Row],[Base monetaria]]-C2322)/C2322</f>
        <v>2.2674475299826202E-2</v>
      </c>
      <c r="I2323" s="12">
        <f>(PrincipalesVariables[[#This Row],[Dólar  mayorista]]-E2322)/E2322</f>
        <v>3.1130019715680334E-4</v>
      </c>
      <c r="J2323" s="12">
        <f>(PrincipalesVariables[[#This Row],[Reservas internacionales]]-F2322)/F2322</f>
        <v>3.71445153801509E-4</v>
      </c>
    </row>
    <row r="2324" spans="1:10" ht="15.75" thickBot="1" x14ac:dyDescent="0.3">
      <c r="A2324" s="14">
        <v>44400</v>
      </c>
      <c r="B2324" s="15">
        <v>44400</v>
      </c>
      <c r="C2324" s="16">
        <v>2901394</v>
      </c>
      <c r="D2324" s="10">
        <f>PrincipalesVariables[[#This Row],[Base monetaria]]/1000000</f>
        <v>2.9013939999999998</v>
      </c>
      <c r="E2324" s="10">
        <v>96.43</v>
      </c>
      <c r="F2324" s="11">
        <v>43108</v>
      </c>
      <c r="H2324" s="12">
        <f>(PrincipalesVariables[[#This Row],[Base monetaria]]-C2323)/C2323</f>
        <v>-1.8941892796170166E-2</v>
      </c>
      <c r="I2324" s="12">
        <f>(PrincipalesVariables[[#This Row],[Dólar  mayorista]]-E2323)/E2323</f>
        <v>3.1120331950208649E-4</v>
      </c>
      <c r="J2324" s="12">
        <f>(PrincipalesVariables[[#This Row],[Reservas internacionales]]-F2323)/F2323</f>
        <v>3.9451393562460837E-4</v>
      </c>
    </row>
    <row r="2325" spans="1:10" ht="15.75" thickBot="1" x14ac:dyDescent="0.3">
      <c r="A2325" s="14">
        <v>44403</v>
      </c>
      <c r="B2325" s="15">
        <v>44403</v>
      </c>
      <c r="C2325" s="16">
        <v>2867255</v>
      </c>
      <c r="D2325" s="10">
        <f>PrincipalesVariables[[#This Row],[Base monetaria]]/1000000</f>
        <v>2.8672550000000001</v>
      </c>
      <c r="E2325" s="10">
        <v>96.53</v>
      </c>
      <c r="F2325" s="11">
        <v>43025</v>
      </c>
      <c r="H2325" s="12">
        <f>(PrincipalesVariables[[#This Row],[Base monetaria]]-C2324)/C2324</f>
        <v>-1.1766412972522863E-2</v>
      </c>
      <c r="I2325" s="12">
        <f>(PrincipalesVariables[[#This Row],[Dólar  mayorista]]-E2324)/E2324</f>
        <v>1.0370216737529223E-3</v>
      </c>
      <c r="J2325" s="12">
        <f>(PrincipalesVariables[[#This Row],[Reservas internacionales]]-F2324)/F2324</f>
        <v>-1.9253966781107915E-3</v>
      </c>
    </row>
    <row r="2326" spans="1:10" ht="15.75" thickBot="1" x14ac:dyDescent="0.3">
      <c r="A2326" s="14">
        <v>44404</v>
      </c>
      <c r="B2326" s="15">
        <v>44404</v>
      </c>
      <c r="C2326" s="16">
        <v>2801581</v>
      </c>
      <c r="D2326" s="10">
        <f>PrincipalesVariables[[#This Row],[Base monetaria]]/1000000</f>
        <v>2.8015810000000001</v>
      </c>
      <c r="E2326" s="10">
        <v>96.58</v>
      </c>
      <c r="F2326" s="11">
        <v>42836</v>
      </c>
      <c r="H2326" s="12">
        <f>(PrincipalesVariables[[#This Row],[Base monetaria]]-C2325)/C2325</f>
        <v>-2.2904834066031797E-2</v>
      </c>
      <c r="I2326" s="12">
        <f>(PrincipalesVariables[[#This Row],[Dólar  mayorista]]-E2325)/E2325</f>
        <v>5.1797368693667412E-4</v>
      </c>
      <c r="J2326" s="12">
        <f>(PrincipalesVariables[[#This Row],[Reservas internacionales]]-F2325)/F2325</f>
        <v>-4.3927948866937828E-3</v>
      </c>
    </row>
    <row r="2327" spans="1:10" ht="15.75" thickBot="1" x14ac:dyDescent="0.3">
      <c r="A2327" s="14">
        <v>44405</v>
      </c>
      <c r="B2327" s="15">
        <v>44405</v>
      </c>
      <c r="C2327" s="16">
        <v>2764475</v>
      </c>
      <c r="D2327" s="10">
        <f>PrincipalesVariables[[#This Row],[Base monetaria]]/1000000</f>
        <v>2.764475</v>
      </c>
      <c r="E2327" s="10">
        <v>96.64</v>
      </c>
      <c r="F2327" s="11">
        <v>42654</v>
      </c>
      <c r="H2327" s="12">
        <f>(PrincipalesVariables[[#This Row],[Base monetaria]]-C2326)/C2326</f>
        <v>-1.3244664352021233E-2</v>
      </c>
      <c r="I2327" s="12">
        <f>(PrincipalesVariables[[#This Row],[Dólar  mayorista]]-E2326)/E2326</f>
        <v>6.2124663491408441E-4</v>
      </c>
      <c r="J2327" s="12">
        <f>(PrincipalesVariables[[#This Row],[Reservas internacionales]]-F2326)/F2326</f>
        <v>-4.2487627229433186E-3</v>
      </c>
    </row>
    <row r="2328" spans="1:10" ht="15.75" thickBot="1" x14ac:dyDescent="0.3">
      <c r="A2328" s="14">
        <v>44406</v>
      </c>
      <c r="B2328" s="15">
        <v>44406</v>
      </c>
      <c r="C2328" s="16">
        <v>2809734</v>
      </c>
      <c r="D2328" s="10">
        <f>PrincipalesVariables[[#This Row],[Base monetaria]]/1000000</f>
        <v>2.8097340000000002</v>
      </c>
      <c r="E2328" s="10">
        <v>96.67</v>
      </c>
      <c r="F2328" s="11">
        <v>42668</v>
      </c>
      <c r="H2328" s="12">
        <f>(PrincipalesVariables[[#This Row],[Base monetaria]]-C2327)/C2327</f>
        <v>1.6371643802168587E-2</v>
      </c>
      <c r="I2328" s="12">
        <f>(PrincipalesVariables[[#This Row],[Dólar  mayorista]]-E2327)/E2327</f>
        <v>3.1043046357617072E-4</v>
      </c>
      <c r="J2328" s="12">
        <f>(PrincipalesVariables[[#This Row],[Reservas internacionales]]-F2327)/F2327</f>
        <v>3.2822244103718293E-4</v>
      </c>
    </row>
    <row r="2329" spans="1:10" ht="15.75" thickBot="1" x14ac:dyDescent="0.3">
      <c r="A2329" s="14">
        <v>44407</v>
      </c>
      <c r="B2329" s="15">
        <v>44407</v>
      </c>
      <c r="C2329" s="16">
        <v>2783078</v>
      </c>
      <c r="D2329" s="10">
        <f>PrincipalesVariables[[#This Row],[Base monetaria]]/1000000</f>
        <v>2.7830780000000002</v>
      </c>
      <c r="E2329" s="10">
        <v>96.69</v>
      </c>
      <c r="F2329" s="11">
        <v>42582</v>
      </c>
      <c r="H2329" s="12">
        <f>(PrincipalesVariables[[#This Row],[Base monetaria]]-C2328)/C2328</f>
        <v>-9.4870190558963945E-3</v>
      </c>
      <c r="I2329" s="12">
        <f>(PrincipalesVariables[[#This Row],[Dólar  mayorista]]-E2328)/E2328</f>
        <v>2.0688941760624828E-4</v>
      </c>
      <c r="J2329" s="12">
        <f>(PrincipalesVariables[[#This Row],[Reservas internacionales]]-F2328)/F2328</f>
        <v>-2.0155620136870721E-3</v>
      </c>
    </row>
    <row r="2330" spans="1:10" ht="15.75" thickBot="1" x14ac:dyDescent="0.3">
      <c r="A2330" s="14">
        <v>44410</v>
      </c>
      <c r="B2330" s="15">
        <v>44410</v>
      </c>
      <c r="C2330" s="16">
        <v>2949040</v>
      </c>
      <c r="D2330" s="10">
        <f>PrincipalesVariables[[#This Row],[Base monetaria]]/1000000</f>
        <v>2.9490400000000001</v>
      </c>
      <c r="E2330" s="10">
        <v>96.78</v>
      </c>
      <c r="F2330" s="11">
        <v>42504</v>
      </c>
      <c r="H2330" s="12">
        <f>(PrincipalesVariables[[#This Row],[Base monetaria]]-C2329)/C2329</f>
        <v>5.9632536350041211E-2</v>
      </c>
      <c r="I2330" s="12">
        <f>(PrincipalesVariables[[#This Row],[Dólar  mayorista]]-E2329)/E2329</f>
        <v>9.3080980452997638E-4</v>
      </c>
      <c r="J2330" s="12">
        <f>(PrincipalesVariables[[#This Row],[Reservas internacionales]]-F2329)/F2329</f>
        <v>-1.8317598985486826E-3</v>
      </c>
    </row>
    <row r="2331" spans="1:10" ht="15.75" thickBot="1" x14ac:dyDescent="0.3">
      <c r="A2331" s="14">
        <v>44411</v>
      </c>
      <c r="B2331" s="15">
        <v>44411</v>
      </c>
      <c r="C2331" s="16">
        <v>3016463</v>
      </c>
      <c r="D2331" s="10">
        <f>PrincipalesVariables[[#This Row],[Base monetaria]]/1000000</f>
        <v>3.0164629999999999</v>
      </c>
      <c r="E2331" s="10">
        <v>96.81</v>
      </c>
      <c r="F2331" s="11">
        <v>42503</v>
      </c>
      <c r="H2331" s="12">
        <f>(PrincipalesVariables[[#This Row],[Base monetaria]]-C2330)/C2330</f>
        <v>2.2862694300518134E-2</v>
      </c>
      <c r="I2331" s="12">
        <f>(PrincipalesVariables[[#This Row],[Dólar  mayorista]]-E2330)/E2330</f>
        <v>3.0998140111594479E-4</v>
      </c>
      <c r="J2331" s="12">
        <f>(PrincipalesVariables[[#This Row],[Reservas internacionales]]-F2330)/F2330</f>
        <v>-2.3527197440240918E-5</v>
      </c>
    </row>
    <row r="2332" spans="1:10" ht="15.75" thickBot="1" x14ac:dyDescent="0.3">
      <c r="A2332" s="14">
        <v>44412</v>
      </c>
      <c r="B2332" s="15">
        <v>44412</v>
      </c>
      <c r="C2332" s="16">
        <v>3000129</v>
      </c>
      <c r="D2332" s="10">
        <f>PrincipalesVariables[[#This Row],[Base monetaria]]/1000000</f>
        <v>3.0001289999999998</v>
      </c>
      <c r="E2332" s="10">
        <v>96.84</v>
      </c>
      <c r="F2332" s="11">
        <v>42548</v>
      </c>
      <c r="H2332" s="12">
        <f>(PrincipalesVariables[[#This Row],[Base monetaria]]-C2331)/C2331</f>
        <v>-5.4149512193585663E-3</v>
      </c>
      <c r="I2332" s="12">
        <f>(PrincipalesVariables[[#This Row],[Dólar  mayorista]]-E2331)/E2331</f>
        <v>3.098853424233151E-4</v>
      </c>
      <c r="J2332" s="12">
        <f>(PrincipalesVariables[[#This Row],[Reservas internacionales]]-F2331)/F2331</f>
        <v>1.0587487942027621E-3</v>
      </c>
    </row>
    <row r="2333" spans="1:10" ht="15.75" thickBot="1" x14ac:dyDescent="0.3">
      <c r="A2333" s="14">
        <v>44413</v>
      </c>
      <c r="B2333" s="15">
        <v>44413</v>
      </c>
      <c r="C2333" s="16">
        <v>2972359</v>
      </c>
      <c r="D2333" s="10">
        <f>PrincipalesVariables[[#This Row],[Base monetaria]]/1000000</f>
        <v>2.972359</v>
      </c>
      <c r="E2333" s="10">
        <v>96.88</v>
      </c>
      <c r="F2333" s="11">
        <v>42207</v>
      </c>
      <c r="H2333" s="12">
        <f>(PrincipalesVariables[[#This Row],[Base monetaria]]-C2332)/C2332</f>
        <v>-9.2562686471148407E-3</v>
      </c>
      <c r="I2333" s="12">
        <f>(PrincipalesVariables[[#This Row],[Dólar  mayorista]]-E2332)/E2332</f>
        <v>4.1305245766204088E-4</v>
      </c>
      <c r="J2333" s="12">
        <f>(PrincipalesVariables[[#This Row],[Reservas internacionales]]-F2332)/F2332</f>
        <v>-8.0144777662874873E-3</v>
      </c>
    </row>
    <row r="2334" spans="1:10" ht="15.75" thickBot="1" x14ac:dyDescent="0.3">
      <c r="A2334" s="14">
        <v>44414</v>
      </c>
      <c r="B2334" s="15">
        <v>44414</v>
      </c>
      <c r="C2334" s="16">
        <v>2951370</v>
      </c>
      <c r="D2334" s="10">
        <f>PrincipalesVariables[[#This Row],[Base monetaria]]/1000000</f>
        <v>2.9513699999999998</v>
      </c>
      <c r="E2334" s="10">
        <v>96.91</v>
      </c>
      <c r="F2334" s="11">
        <v>42063</v>
      </c>
      <c r="H2334" s="12">
        <f>(PrincipalesVariables[[#This Row],[Base monetaria]]-C2333)/C2333</f>
        <v>-7.0613946700247175E-3</v>
      </c>
      <c r="I2334" s="12">
        <f>(PrincipalesVariables[[#This Row],[Dólar  mayorista]]-E2333)/E2333</f>
        <v>3.0966143682907864E-4</v>
      </c>
      <c r="J2334" s="12">
        <f>(PrincipalesVariables[[#This Row],[Reservas internacionales]]-F2333)/F2333</f>
        <v>-3.4117563437344517E-3</v>
      </c>
    </row>
    <row r="2335" spans="1:10" ht="15.75" thickBot="1" x14ac:dyDescent="0.3">
      <c r="A2335" s="14">
        <v>44417</v>
      </c>
      <c r="B2335" s="15">
        <v>44417</v>
      </c>
      <c r="C2335" s="16">
        <v>2941855</v>
      </c>
      <c r="D2335" s="10">
        <f>PrincipalesVariables[[#This Row],[Base monetaria]]/1000000</f>
        <v>2.9418549999999999</v>
      </c>
      <c r="E2335" s="10">
        <v>97</v>
      </c>
      <c r="F2335" s="11">
        <v>42002</v>
      </c>
      <c r="H2335" s="12">
        <f>(PrincipalesVariables[[#This Row],[Base monetaria]]-C2334)/C2334</f>
        <v>-3.2239265154826403E-3</v>
      </c>
      <c r="I2335" s="12">
        <f>(PrincipalesVariables[[#This Row],[Dólar  mayorista]]-E2334)/E2334</f>
        <v>9.2869672892377888E-4</v>
      </c>
      <c r="J2335" s="12">
        <f>(PrincipalesVariables[[#This Row],[Reservas internacionales]]-F2334)/F2334</f>
        <v>-1.4502056439150797E-3</v>
      </c>
    </row>
    <row r="2336" spans="1:10" ht="15.75" thickBot="1" x14ac:dyDescent="0.3">
      <c r="A2336" s="14">
        <v>44418</v>
      </c>
      <c r="B2336" s="15">
        <v>44418</v>
      </c>
      <c r="C2336" s="16">
        <v>2939852</v>
      </c>
      <c r="D2336" s="10">
        <f>PrincipalesVariables[[#This Row],[Base monetaria]]/1000000</f>
        <v>2.9398520000000001</v>
      </c>
      <c r="E2336" s="10">
        <v>97.03</v>
      </c>
      <c r="F2336" s="11">
        <v>41941</v>
      </c>
      <c r="H2336" s="12">
        <f>(PrincipalesVariables[[#This Row],[Base monetaria]]-C2335)/C2335</f>
        <v>-6.8086292492322022E-4</v>
      </c>
      <c r="I2336" s="12">
        <f>(PrincipalesVariables[[#This Row],[Dólar  mayorista]]-E2335)/E2335</f>
        <v>3.0927835051547566E-4</v>
      </c>
      <c r="J2336" s="12">
        <f>(PrincipalesVariables[[#This Row],[Reservas internacionales]]-F2335)/F2335</f>
        <v>-1.452311794676444E-3</v>
      </c>
    </row>
    <row r="2337" spans="1:10" ht="15.75" thickBot="1" x14ac:dyDescent="0.3">
      <c r="A2337" s="14">
        <v>44419</v>
      </c>
      <c r="B2337" s="15">
        <v>44419</v>
      </c>
      <c r="C2337" s="16">
        <v>2964236</v>
      </c>
      <c r="D2337" s="10">
        <f>PrincipalesVariables[[#This Row],[Base monetaria]]/1000000</f>
        <v>2.9642360000000001</v>
      </c>
      <c r="E2337" s="10">
        <v>97.05</v>
      </c>
      <c r="F2337" s="11">
        <v>41951</v>
      </c>
      <c r="H2337" s="12">
        <f>(PrincipalesVariables[[#This Row],[Base monetaria]]-C2336)/C2336</f>
        <v>8.2942950869635615E-3</v>
      </c>
      <c r="I2337" s="12">
        <f>(PrincipalesVariables[[#This Row],[Dólar  mayorista]]-E2336)/E2336</f>
        <v>2.0612181799439371E-4</v>
      </c>
      <c r="J2337" s="12">
        <f>(PrincipalesVariables[[#This Row],[Reservas internacionales]]-F2336)/F2336</f>
        <v>2.3843017572303951E-4</v>
      </c>
    </row>
    <row r="2338" spans="1:10" ht="15.75" thickBot="1" x14ac:dyDescent="0.3">
      <c r="A2338" s="14">
        <v>44420</v>
      </c>
      <c r="B2338" s="15">
        <v>44420</v>
      </c>
      <c r="C2338" s="16">
        <v>2942170</v>
      </c>
      <c r="D2338" s="10">
        <f>PrincipalesVariables[[#This Row],[Base monetaria]]/1000000</f>
        <v>2.94217</v>
      </c>
      <c r="E2338" s="10">
        <v>97.08</v>
      </c>
      <c r="F2338" s="11">
        <v>41973</v>
      </c>
      <c r="H2338" s="12">
        <f>(PrincipalesVariables[[#This Row],[Base monetaria]]-C2337)/C2337</f>
        <v>-7.4440766524662676E-3</v>
      </c>
      <c r="I2338" s="12">
        <f>(PrincipalesVariables[[#This Row],[Dólar  mayorista]]-E2337)/E2337</f>
        <v>3.091190108191771E-4</v>
      </c>
      <c r="J2338" s="12">
        <f>(PrincipalesVariables[[#This Row],[Reservas internacionales]]-F2337)/F2337</f>
        <v>5.2442134871635957E-4</v>
      </c>
    </row>
    <row r="2339" spans="1:10" ht="15.75" thickBot="1" x14ac:dyDescent="0.3">
      <c r="A2339" s="14">
        <v>44421</v>
      </c>
      <c r="B2339" s="15">
        <v>44421</v>
      </c>
      <c r="C2339" s="16">
        <v>2930003</v>
      </c>
      <c r="D2339" s="10">
        <f>PrincipalesVariables[[#This Row],[Base monetaria]]/1000000</f>
        <v>2.9300030000000001</v>
      </c>
      <c r="E2339" s="10">
        <v>97.11</v>
      </c>
      <c r="F2339" s="11">
        <v>41983</v>
      </c>
      <c r="H2339" s="12">
        <f>(PrincipalesVariables[[#This Row],[Base monetaria]]-C2338)/C2338</f>
        <v>-4.1353830675997646E-3</v>
      </c>
      <c r="I2339" s="12">
        <f>(PrincipalesVariables[[#This Row],[Dólar  mayorista]]-E2338)/E2338</f>
        <v>3.0902348578493139E-4</v>
      </c>
      <c r="J2339" s="12">
        <f>(PrincipalesVariables[[#This Row],[Reservas internacionales]]-F2338)/F2338</f>
        <v>2.3824839777952494E-4</v>
      </c>
    </row>
    <row r="2340" spans="1:10" ht="15.75" thickBot="1" x14ac:dyDescent="0.3">
      <c r="A2340" s="14">
        <v>44425</v>
      </c>
      <c r="B2340" s="15">
        <v>44425</v>
      </c>
      <c r="C2340" s="16">
        <v>2989911</v>
      </c>
      <c r="D2340" s="10">
        <f>PrincipalesVariables[[#This Row],[Base monetaria]]/1000000</f>
        <v>2.9899110000000002</v>
      </c>
      <c r="E2340" s="10">
        <v>97.23</v>
      </c>
      <c r="F2340" s="11">
        <v>41989</v>
      </c>
      <c r="H2340" s="12">
        <f>(PrincipalesVariables[[#This Row],[Base monetaria]]-C2339)/C2339</f>
        <v>2.0446395447376677E-2</v>
      </c>
      <c r="I2340" s="12">
        <f>(PrincipalesVariables[[#This Row],[Dólar  mayorista]]-E2339)/E2339</f>
        <v>1.2357120790856199E-3</v>
      </c>
      <c r="J2340" s="12">
        <f>(PrincipalesVariables[[#This Row],[Reservas internacionales]]-F2339)/F2339</f>
        <v>1.4291498940047161E-4</v>
      </c>
    </row>
    <row r="2341" spans="1:10" ht="15.75" thickBot="1" x14ac:dyDescent="0.3">
      <c r="A2341" s="14">
        <v>44426</v>
      </c>
      <c r="B2341" s="15">
        <v>44426</v>
      </c>
      <c r="C2341" s="16">
        <v>2993495</v>
      </c>
      <c r="D2341" s="10">
        <f>PrincipalesVariables[[#This Row],[Base monetaria]]/1000000</f>
        <v>2.9934949999999998</v>
      </c>
      <c r="E2341" s="10">
        <v>97.27</v>
      </c>
      <c r="F2341" s="11">
        <v>41998</v>
      </c>
      <c r="H2341" s="12">
        <f>(PrincipalesVariables[[#This Row],[Base monetaria]]-C2340)/C2340</f>
        <v>1.1986978876628769E-3</v>
      </c>
      <c r="I2341" s="12">
        <f>(PrincipalesVariables[[#This Row],[Dólar  mayorista]]-E2340)/E2340</f>
        <v>4.1139565977570748E-4</v>
      </c>
      <c r="J2341" s="12">
        <f>(PrincipalesVariables[[#This Row],[Reservas internacionales]]-F2340)/F2340</f>
        <v>2.1434185143728119E-4</v>
      </c>
    </row>
    <row r="2342" spans="1:10" ht="15.75" thickBot="1" x14ac:dyDescent="0.3">
      <c r="A2342" s="14">
        <v>44427</v>
      </c>
      <c r="B2342" s="15">
        <v>44427</v>
      </c>
      <c r="C2342" s="16">
        <v>2974679</v>
      </c>
      <c r="D2342" s="10">
        <f>PrincipalesVariables[[#This Row],[Base monetaria]]/1000000</f>
        <v>2.9746790000000001</v>
      </c>
      <c r="E2342" s="10">
        <v>97.29</v>
      </c>
      <c r="F2342" s="11">
        <v>42030</v>
      </c>
      <c r="H2342" s="12">
        <f>(PrincipalesVariables[[#This Row],[Base monetaria]]-C2341)/C2341</f>
        <v>-6.2856293396180716E-3</v>
      </c>
      <c r="I2342" s="12">
        <f>(PrincipalesVariables[[#This Row],[Dólar  mayorista]]-E2341)/E2341</f>
        <v>2.0561324149285734E-4</v>
      </c>
      <c r="J2342" s="12">
        <f>(PrincipalesVariables[[#This Row],[Reservas internacionales]]-F2341)/F2341</f>
        <v>7.6194104481165767E-4</v>
      </c>
    </row>
    <row r="2343" spans="1:10" ht="15.75" thickBot="1" x14ac:dyDescent="0.3">
      <c r="A2343" s="14">
        <v>44428</v>
      </c>
      <c r="B2343" s="15">
        <v>44428</v>
      </c>
      <c r="C2343" s="16">
        <v>2976902</v>
      </c>
      <c r="D2343" s="10">
        <f>PrincipalesVariables[[#This Row],[Base monetaria]]/1000000</f>
        <v>2.9769019999999999</v>
      </c>
      <c r="E2343" s="10">
        <v>97.32</v>
      </c>
      <c r="F2343" s="11">
        <v>42048</v>
      </c>
      <c r="H2343" s="12">
        <f>(PrincipalesVariables[[#This Row],[Base monetaria]]-C2342)/C2342</f>
        <v>7.4730752461021845E-4</v>
      </c>
      <c r="I2343" s="12">
        <f>(PrincipalesVariables[[#This Row],[Dólar  mayorista]]-E2342)/E2342</f>
        <v>3.0835646006770401E-4</v>
      </c>
      <c r="J2343" s="12">
        <f>(PrincipalesVariables[[#This Row],[Reservas internacionales]]-F2342)/F2342</f>
        <v>4.2826552462526765E-4</v>
      </c>
    </row>
    <row r="2344" spans="1:10" ht="15.75" thickBot="1" x14ac:dyDescent="0.3">
      <c r="A2344" s="14">
        <v>44431</v>
      </c>
      <c r="B2344" s="15">
        <v>44431</v>
      </c>
      <c r="C2344" s="16">
        <v>2796851</v>
      </c>
      <c r="D2344" s="10">
        <f>PrincipalesVariables[[#This Row],[Base monetaria]]/1000000</f>
        <v>2.7968510000000002</v>
      </c>
      <c r="E2344" s="10">
        <v>97.41</v>
      </c>
      <c r="F2344" s="11">
        <v>46306</v>
      </c>
      <c r="H2344" s="12">
        <f>(PrincipalesVariables[[#This Row],[Base monetaria]]-C2343)/C2343</f>
        <v>-6.0482676285615045E-2</v>
      </c>
      <c r="I2344" s="12">
        <f>(PrincipalesVariables[[#This Row],[Dólar  mayorista]]-E2343)/E2343</f>
        <v>9.2478421701606473E-4</v>
      </c>
      <c r="J2344" s="12">
        <f>(PrincipalesVariables[[#This Row],[Reservas internacionales]]-F2343)/F2343</f>
        <v>0.1012652207001522</v>
      </c>
    </row>
    <row r="2345" spans="1:10" ht="15.75" thickBot="1" x14ac:dyDescent="0.3">
      <c r="A2345" s="14">
        <v>44432</v>
      </c>
      <c r="B2345" s="15">
        <v>44432</v>
      </c>
      <c r="C2345" s="16">
        <v>2853456</v>
      </c>
      <c r="D2345" s="10">
        <f>PrincipalesVariables[[#This Row],[Base monetaria]]/1000000</f>
        <v>2.853456</v>
      </c>
      <c r="E2345" s="10">
        <v>97.44</v>
      </c>
      <c r="F2345" s="11">
        <v>46318</v>
      </c>
      <c r="H2345" s="12">
        <f>(PrincipalesVariables[[#This Row],[Base monetaria]]-C2344)/C2344</f>
        <v>2.0238832887415167E-2</v>
      </c>
      <c r="I2345" s="12">
        <f>(PrincipalesVariables[[#This Row],[Dólar  mayorista]]-E2344)/E2344</f>
        <v>3.0797659377888447E-4</v>
      </c>
      <c r="J2345" s="12">
        <f>(PrincipalesVariables[[#This Row],[Reservas internacionales]]-F2344)/F2344</f>
        <v>2.5914568306482959E-4</v>
      </c>
    </row>
    <row r="2346" spans="1:10" ht="15.75" thickBot="1" x14ac:dyDescent="0.3">
      <c r="A2346" s="14">
        <v>44433</v>
      </c>
      <c r="B2346" s="15">
        <v>44433</v>
      </c>
      <c r="C2346" s="16">
        <v>2853010</v>
      </c>
      <c r="D2346" s="10">
        <f>PrincipalesVariables[[#This Row],[Base monetaria]]/1000000</f>
        <v>2.8530099999999998</v>
      </c>
      <c r="E2346" s="10">
        <v>97.48</v>
      </c>
      <c r="F2346" s="11">
        <v>46278</v>
      </c>
      <c r="H2346" s="12">
        <f>(PrincipalesVariables[[#This Row],[Base monetaria]]-C2345)/C2345</f>
        <v>-1.5630169170297351E-4</v>
      </c>
      <c r="I2346" s="12">
        <f>(PrincipalesVariables[[#This Row],[Dólar  mayorista]]-E2345)/E2345</f>
        <v>4.1050903119875054E-4</v>
      </c>
      <c r="J2346" s="12">
        <f>(PrincipalesVariables[[#This Row],[Reservas internacionales]]-F2345)/F2345</f>
        <v>-8.6359514659527616E-4</v>
      </c>
    </row>
    <row r="2347" spans="1:10" ht="15.75" thickBot="1" x14ac:dyDescent="0.3">
      <c r="A2347" s="14">
        <v>44434</v>
      </c>
      <c r="B2347" s="15">
        <v>44434</v>
      </c>
      <c r="C2347" s="16">
        <v>2868546</v>
      </c>
      <c r="D2347" s="10">
        <f>PrincipalesVariables[[#This Row],[Base monetaria]]/1000000</f>
        <v>2.8685459999999998</v>
      </c>
      <c r="E2347" s="10">
        <v>97.55</v>
      </c>
      <c r="F2347" s="11">
        <v>46188</v>
      </c>
      <c r="H2347" s="12">
        <f>(PrincipalesVariables[[#This Row],[Base monetaria]]-C2346)/C2346</f>
        <v>5.4454768823102616E-3</v>
      </c>
      <c r="I2347" s="12">
        <f>(PrincipalesVariables[[#This Row],[Dólar  mayorista]]-E2346)/E2346</f>
        <v>7.1809601969627791E-4</v>
      </c>
      <c r="J2347" s="12">
        <f>(PrincipalesVariables[[#This Row],[Reservas internacionales]]-F2346)/F2346</f>
        <v>-1.9447685725398677E-3</v>
      </c>
    </row>
    <row r="2348" spans="1:10" ht="15.75" thickBot="1" x14ac:dyDescent="0.3">
      <c r="A2348" s="14">
        <v>44435</v>
      </c>
      <c r="B2348" s="15">
        <v>44435</v>
      </c>
      <c r="C2348" s="16">
        <v>2897670</v>
      </c>
      <c r="D2348" s="10">
        <f>PrincipalesVariables[[#This Row],[Base monetaria]]/1000000</f>
        <v>2.8976700000000002</v>
      </c>
      <c r="E2348" s="10">
        <v>97.57</v>
      </c>
      <c r="F2348" s="11">
        <v>46199</v>
      </c>
      <c r="H2348" s="12">
        <f>(PrincipalesVariables[[#This Row],[Base monetaria]]-C2347)/C2347</f>
        <v>1.015287884524076E-2</v>
      </c>
      <c r="I2348" s="12">
        <f>(PrincipalesVariables[[#This Row],[Dólar  mayorista]]-E2347)/E2347</f>
        <v>2.0502306509478238E-4</v>
      </c>
      <c r="J2348" s="12">
        <f>(PrincipalesVariables[[#This Row],[Reservas internacionales]]-F2347)/F2347</f>
        <v>2.3815709708149304E-4</v>
      </c>
    </row>
    <row r="2349" spans="1:10" ht="15.75" thickBot="1" x14ac:dyDescent="0.3">
      <c r="A2349" s="14">
        <v>44438</v>
      </c>
      <c r="B2349" s="15">
        <v>44438</v>
      </c>
      <c r="C2349" s="16">
        <v>2857516</v>
      </c>
      <c r="D2349" s="10">
        <f>PrincipalesVariables[[#This Row],[Base monetaria]]/1000000</f>
        <v>2.8575159999999999</v>
      </c>
      <c r="E2349" s="10">
        <v>97.72</v>
      </c>
      <c r="F2349" s="11">
        <v>46154</v>
      </c>
      <c r="H2349" s="12">
        <f>(PrincipalesVariables[[#This Row],[Base monetaria]]-C2348)/C2348</f>
        <v>-1.3857340552927007E-2</v>
      </c>
      <c r="I2349" s="12">
        <f>(PrincipalesVariables[[#This Row],[Dólar  mayorista]]-E2348)/E2348</f>
        <v>1.537357794404076E-3</v>
      </c>
      <c r="J2349" s="12">
        <f>(PrincipalesVariables[[#This Row],[Reservas internacionales]]-F2348)/F2348</f>
        <v>-9.740470572956125E-4</v>
      </c>
    </row>
    <row r="2350" spans="1:10" ht="15.75" thickBot="1" x14ac:dyDescent="0.3">
      <c r="A2350" s="14">
        <v>44439</v>
      </c>
      <c r="B2350" s="15">
        <v>44439</v>
      </c>
      <c r="C2350" s="16">
        <v>2866832</v>
      </c>
      <c r="D2350" s="10">
        <f>PrincipalesVariables[[#This Row],[Base monetaria]]/1000000</f>
        <v>2.866832</v>
      </c>
      <c r="E2350" s="10">
        <v>97.75</v>
      </c>
      <c r="F2350" s="11">
        <v>46180</v>
      </c>
      <c r="H2350" s="12">
        <f>(PrincipalesVariables[[#This Row],[Base monetaria]]-C2349)/C2349</f>
        <v>3.2601742212467052E-3</v>
      </c>
      <c r="I2350" s="12">
        <f>(PrincipalesVariables[[#This Row],[Dólar  mayorista]]-E2349)/E2349</f>
        <v>3.0699959066722408E-4</v>
      </c>
      <c r="J2350" s="12">
        <f>(PrincipalesVariables[[#This Row],[Reservas internacionales]]-F2349)/F2349</f>
        <v>5.6333145556181476E-4</v>
      </c>
    </row>
    <row r="2351" spans="1:10" ht="15.75" thickBot="1" x14ac:dyDescent="0.3">
      <c r="A2351" s="14">
        <v>44440</v>
      </c>
      <c r="B2351" s="15">
        <v>44440</v>
      </c>
      <c r="C2351" s="16">
        <v>2949957</v>
      </c>
      <c r="D2351" s="10">
        <f>PrincipalesVariables[[#This Row],[Base monetaria]]/1000000</f>
        <v>2.9499569999999999</v>
      </c>
      <c r="E2351" s="10">
        <v>97.78</v>
      </c>
      <c r="F2351" s="11">
        <v>46094</v>
      </c>
      <c r="H2351" s="12">
        <f>(PrincipalesVariables[[#This Row],[Base monetaria]]-C2350)/C2350</f>
        <v>2.8995420729223058E-2</v>
      </c>
      <c r="I2351" s="12">
        <f>(PrincipalesVariables[[#This Row],[Dólar  mayorista]]-E2350)/E2350</f>
        <v>3.069053708440014E-4</v>
      </c>
      <c r="J2351" s="12">
        <f>(PrincipalesVariables[[#This Row],[Reservas internacionales]]-F2350)/F2350</f>
        <v>-1.8622780424426158E-3</v>
      </c>
    </row>
    <row r="2352" spans="1:10" ht="15.75" thickBot="1" x14ac:dyDescent="0.3">
      <c r="A2352" s="14">
        <v>44441</v>
      </c>
      <c r="B2352" s="15">
        <v>44441</v>
      </c>
      <c r="C2352" s="16">
        <v>2979449</v>
      </c>
      <c r="D2352" s="10">
        <f>PrincipalesVariables[[#This Row],[Base monetaria]]/1000000</f>
        <v>2.9794489999999998</v>
      </c>
      <c r="E2352" s="10">
        <v>97.83</v>
      </c>
      <c r="F2352" s="11">
        <v>46024</v>
      </c>
      <c r="H2352" s="12">
        <f>(PrincipalesVariables[[#This Row],[Base monetaria]]-C2351)/C2351</f>
        <v>9.9974338609003458E-3</v>
      </c>
      <c r="I2352" s="12">
        <f>(PrincipalesVariables[[#This Row],[Dólar  mayorista]]-E2351)/E2351</f>
        <v>5.11352014726909E-4</v>
      </c>
      <c r="J2352" s="12">
        <f>(PrincipalesVariables[[#This Row],[Reservas internacionales]]-F2351)/F2351</f>
        <v>-1.5186358311276955E-3</v>
      </c>
    </row>
    <row r="2353" spans="1:10" ht="15.75" thickBot="1" x14ac:dyDescent="0.3">
      <c r="A2353" s="14">
        <v>44442</v>
      </c>
      <c r="B2353" s="15">
        <v>44442</v>
      </c>
      <c r="C2353" s="16">
        <v>2945304</v>
      </c>
      <c r="D2353" s="10">
        <f>PrincipalesVariables[[#This Row],[Base monetaria]]/1000000</f>
        <v>2.9453040000000001</v>
      </c>
      <c r="E2353" s="10">
        <v>97.87</v>
      </c>
      <c r="F2353" s="11">
        <v>46033</v>
      </c>
      <c r="H2353" s="12">
        <f>(PrincipalesVariables[[#This Row],[Base monetaria]]-C2352)/C2352</f>
        <v>-1.1460172669510368E-2</v>
      </c>
      <c r="I2353" s="12">
        <f>(PrincipalesVariables[[#This Row],[Dólar  mayorista]]-E2352)/E2352</f>
        <v>4.088725339875933E-4</v>
      </c>
      <c r="J2353" s="12">
        <f>(PrincipalesVariables[[#This Row],[Reservas internacionales]]-F2352)/F2352</f>
        <v>1.9555014774900052E-4</v>
      </c>
    </row>
    <row r="2354" spans="1:10" ht="15.75" thickBot="1" x14ac:dyDescent="0.3">
      <c r="A2354" s="14">
        <v>44445</v>
      </c>
      <c r="B2354" s="15">
        <v>44445</v>
      </c>
      <c r="C2354" s="16">
        <v>2905498</v>
      </c>
      <c r="D2354" s="10">
        <f>PrincipalesVariables[[#This Row],[Base monetaria]]/1000000</f>
        <v>2.9054980000000001</v>
      </c>
      <c r="E2354" s="10">
        <v>97.95</v>
      </c>
      <c r="F2354" s="11">
        <v>45985</v>
      </c>
      <c r="H2354" s="12">
        <f>(PrincipalesVariables[[#This Row],[Base monetaria]]-C2353)/C2353</f>
        <v>-1.3515073486472025E-2</v>
      </c>
      <c r="I2354" s="12">
        <f>(PrincipalesVariables[[#This Row],[Dólar  mayorista]]-E2353)/E2353</f>
        <v>8.1741085112903126E-4</v>
      </c>
      <c r="J2354" s="12">
        <f>(PrincipalesVariables[[#This Row],[Reservas internacionales]]-F2353)/F2353</f>
        <v>-1.0427302152803423E-3</v>
      </c>
    </row>
    <row r="2355" spans="1:10" ht="15.75" thickBot="1" x14ac:dyDescent="0.3">
      <c r="A2355" s="14">
        <v>44446</v>
      </c>
      <c r="B2355" s="15">
        <v>44446</v>
      </c>
      <c r="C2355" s="16">
        <v>2917656</v>
      </c>
      <c r="D2355" s="10">
        <f>PrincipalesVariables[[#This Row],[Base monetaria]]/1000000</f>
        <v>2.917656</v>
      </c>
      <c r="E2355" s="10">
        <v>97.99</v>
      </c>
      <c r="F2355" s="11">
        <v>45896</v>
      </c>
      <c r="H2355" s="12">
        <f>(PrincipalesVariables[[#This Row],[Base monetaria]]-C2354)/C2354</f>
        <v>4.1844805950649426E-3</v>
      </c>
      <c r="I2355" s="12">
        <f>(PrincipalesVariables[[#This Row],[Dólar  mayorista]]-E2354)/E2354</f>
        <v>4.0837161817245575E-4</v>
      </c>
      <c r="J2355" s="12">
        <f>(PrincipalesVariables[[#This Row],[Reservas internacionales]]-F2354)/F2354</f>
        <v>-1.9354137218658258E-3</v>
      </c>
    </row>
    <row r="2356" spans="1:10" ht="15.75" thickBot="1" x14ac:dyDescent="0.3">
      <c r="A2356" s="14">
        <v>44447</v>
      </c>
      <c r="B2356" s="15">
        <v>44447</v>
      </c>
      <c r="C2356" s="16">
        <v>2959929</v>
      </c>
      <c r="D2356" s="10">
        <f>PrincipalesVariables[[#This Row],[Base monetaria]]/1000000</f>
        <v>2.9599289999999998</v>
      </c>
      <c r="E2356" s="10">
        <v>98.02</v>
      </c>
      <c r="F2356" s="11">
        <v>45806</v>
      </c>
      <c r="H2356" s="12">
        <f>(PrincipalesVariables[[#This Row],[Base monetaria]]-C2355)/C2355</f>
        <v>1.4488685437899464E-2</v>
      </c>
      <c r="I2356" s="12">
        <f>(PrincipalesVariables[[#This Row],[Dólar  mayorista]]-E2355)/E2355</f>
        <v>3.0615368915196589E-4</v>
      </c>
      <c r="J2356" s="12">
        <f>(PrincipalesVariables[[#This Row],[Reservas internacionales]]-F2355)/F2355</f>
        <v>-1.9609552030678055E-3</v>
      </c>
    </row>
    <row r="2357" spans="1:10" ht="15.75" thickBot="1" x14ac:dyDescent="0.3">
      <c r="A2357" s="14">
        <v>44448</v>
      </c>
      <c r="B2357" s="15">
        <v>44448</v>
      </c>
      <c r="C2357" s="16">
        <v>2972617</v>
      </c>
      <c r="D2357" s="10">
        <f>PrincipalesVariables[[#This Row],[Base monetaria]]/1000000</f>
        <v>2.9726170000000001</v>
      </c>
      <c r="E2357" s="10">
        <v>98.05</v>
      </c>
      <c r="F2357" s="11">
        <v>45726</v>
      </c>
      <c r="H2357" s="12">
        <f>(PrincipalesVariables[[#This Row],[Base monetaria]]-C2356)/C2356</f>
        <v>4.2865893067029646E-3</v>
      </c>
      <c r="I2357" s="12">
        <f>(PrincipalesVariables[[#This Row],[Dólar  mayorista]]-E2356)/E2356</f>
        <v>3.060599877576121E-4</v>
      </c>
      <c r="J2357" s="12">
        <f>(PrincipalesVariables[[#This Row],[Reservas internacionales]]-F2356)/F2356</f>
        <v>-1.7464960922149936E-3</v>
      </c>
    </row>
    <row r="2358" spans="1:10" ht="15.75" thickBot="1" x14ac:dyDescent="0.3">
      <c r="A2358" s="14">
        <v>44449</v>
      </c>
      <c r="B2358" s="15">
        <v>44449</v>
      </c>
      <c r="C2358" s="16">
        <v>2971951</v>
      </c>
      <c r="D2358" s="10">
        <f>PrincipalesVariables[[#This Row],[Base monetaria]]/1000000</f>
        <v>2.9719509999999998</v>
      </c>
      <c r="E2358" s="10">
        <v>98.1</v>
      </c>
      <c r="F2358" s="11">
        <v>45762</v>
      </c>
      <c r="H2358" s="12">
        <f>(PrincipalesVariables[[#This Row],[Base monetaria]]-C2357)/C2357</f>
        <v>-2.240450081527489E-4</v>
      </c>
      <c r="I2358" s="12">
        <f>(PrincipalesVariables[[#This Row],[Dólar  mayorista]]-E2357)/E2357</f>
        <v>5.0994390617029224E-4</v>
      </c>
      <c r="J2358" s="12">
        <f>(PrincipalesVariables[[#This Row],[Reservas internacionales]]-F2357)/F2357</f>
        <v>7.8729825482220183E-4</v>
      </c>
    </row>
    <row r="2359" spans="1:10" ht="15.75" thickBot="1" x14ac:dyDescent="0.3">
      <c r="A2359" s="14">
        <v>44452</v>
      </c>
      <c r="B2359" s="15">
        <v>44452</v>
      </c>
      <c r="C2359" s="16">
        <v>2925868</v>
      </c>
      <c r="D2359" s="10">
        <f>PrincipalesVariables[[#This Row],[Base monetaria]]/1000000</f>
        <v>2.9258679999999999</v>
      </c>
      <c r="E2359" s="10">
        <v>98.21</v>
      </c>
      <c r="F2359" s="11">
        <v>45778</v>
      </c>
      <c r="H2359" s="12">
        <f>(PrincipalesVariables[[#This Row],[Base monetaria]]-C2358)/C2358</f>
        <v>-1.5505975704175473E-2</v>
      </c>
      <c r="I2359" s="12">
        <f>(PrincipalesVariables[[#This Row],[Dólar  mayorista]]-E2358)/E2358</f>
        <v>1.1213047910295559E-3</v>
      </c>
      <c r="J2359" s="12">
        <f>(PrincipalesVariables[[#This Row],[Reservas internacionales]]-F2358)/F2358</f>
        <v>3.4963506839736025E-4</v>
      </c>
    </row>
    <row r="2360" spans="1:10" ht="15.75" thickBot="1" x14ac:dyDescent="0.3">
      <c r="A2360" s="14">
        <v>44453</v>
      </c>
      <c r="B2360" s="15">
        <v>44453</v>
      </c>
      <c r="C2360" s="16">
        <v>2860544</v>
      </c>
      <c r="D2360" s="10">
        <f>PrincipalesVariables[[#This Row],[Base monetaria]]/1000000</f>
        <v>2.860544</v>
      </c>
      <c r="E2360" s="10">
        <v>98.22</v>
      </c>
      <c r="F2360" s="11">
        <v>45817</v>
      </c>
      <c r="H2360" s="12">
        <f>(PrincipalesVariables[[#This Row],[Base monetaria]]-C2359)/C2359</f>
        <v>-2.2326366056158377E-2</v>
      </c>
      <c r="I2360" s="12">
        <f>(PrincipalesVariables[[#This Row],[Dólar  mayorista]]-E2359)/E2359</f>
        <v>1.0182262498732427E-4</v>
      </c>
      <c r="J2360" s="12">
        <f>(PrincipalesVariables[[#This Row],[Reservas internacionales]]-F2359)/F2359</f>
        <v>8.5193761195333998E-4</v>
      </c>
    </row>
    <row r="2361" spans="1:10" ht="15.75" thickBot="1" x14ac:dyDescent="0.3">
      <c r="A2361" s="14">
        <v>44454</v>
      </c>
      <c r="B2361" s="15">
        <v>44454</v>
      </c>
      <c r="C2361" s="16">
        <v>2910577</v>
      </c>
      <c r="D2361" s="10">
        <f>PrincipalesVariables[[#This Row],[Base monetaria]]/1000000</f>
        <v>2.910577</v>
      </c>
      <c r="E2361" s="10">
        <v>98.25</v>
      </c>
      <c r="F2361" s="11">
        <v>45682</v>
      </c>
      <c r="H2361" s="12">
        <f>(PrincipalesVariables[[#This Row],[Base monetaria]]-C2360)/C2360</f>
        <v>1.749072903615536E-2</v>
      </c>
      <c r="I2361" s="12">
        <f>(PrincipalesVariables[[#This Row],[Dólar  mayorista]]-E2360)/E2360</f>
        <v>3.0543677458767191E-4</v>
      </c>
      <c r="J2361" s="12">
        <f>(PrincipalesVariables[[#This Row],[Reservas internacionales]]-F2360)/F2360</f>
        <v>-2.9465045725385773E-3</v>
      </c>
    </row>
    <row r="2362" spans="1:10" ht="15.75" thickBot="1" x14ac:dyDescent="0.3">
      <c r="A2362" s="14">
        <v>44455</v>
      </c>
      <c r="B2362" s="15">
        <v>44455</v>
      </c>
      <c r="C2362" s="16">
        <v>2888959</v>
      </c>
      <c r="D2362" s="10">
        <f>PrincipalesVariables[[#This Row],[Base monetaria]]/1000000</f>
        <v>2.8889589999999998</v>
      </c>
      <c r="E2362" s="10">
        <v>98.31</v>
      </c>
      <c r="F2362" s="11">
        <v>45525</v>
      </c>
      <c r="H2362" s="12">
        <f>(PrincipalesVariables[[#This Row],[Base monetaria]]-C2361)/C2361</f>
        <v>-7.4273932625730224E-3</v>
      </c>
      <c r="I2362" s="12">
        <f>(PrincipalesVariables[[#This Row],[Dólar  mayorista]]-E2361)/E2361</f>
        <v>6.1068702290078647E-4</v>
      </c>
      <c r="J2362" s="12">
        <f>(PrincipalesVariables[[#This Row],[Reservas internacionales]]-F2361)/F2361</f>
        <v>-3.4368022415831182E-3</v>
      </c>
    </row>
    <row r="2363" spans="1:10" ht="15.75" thickBot="1" x14ac:dyDescent="0.3">
      <c r="A2363" s="14">
        <v>44456</v>
      </c>
      <c r="B2363" s="15">
        <v>44456</v>
      </c>
      <c r="C2363" s="16">
        <v>2944141</v>
      </c>
      <c r="D2363" s="10">
        <f>PrincipalesVariables[[#This Row],[Base monetaria]]/1000000</f>
        <v>2.9441410000000001</v>
      </c>
      <c r="E2363" s="10">
        <v>98.35</v>
      </c>
      <c r="F2363" s="11">
        <v>45335</v>
      </c>
      <c r="H2363" s="12">
        <f>(PrincipalesVariables[[#This Row],[Base monetaria]]-C2362)/C2362</f>
        <v>1.9100997971933834E-2</v>
      </c>
      <c r="I2363" s="12">
        <f>(PrincipalesVariables[[#This Row],[Dólar  mayorista]]-E2362)/E2362</f>
        <v>4.068762079136613E-4</v>
      </c>
      <c r="J2363" s="12">
        <f>(PrincipalesVariables[[#This Row],[Reservas internacionales]]-F2362)/F2362</f>
        <v>-4.1735310269082919E-3</v>
      </c>
    </row>
    <row r="2364" spans="1:10" ht="15.75" thickBot="1" x14ac:dyDescent="0.3">
      <c r="A2364" s="14">
        <v>44459</v>
      </c>
      <c r="B2364" s="15">
        <v>44459</v>
      </c>
      <c r="C2364" s="16">
        <v>2875486</v>
      </c>
      <c r="D2364" s="10">
        <f>PrincipalesVariables[[#This Row],[Base monetaria]]/1000000</f>
        <v>2.875486</v>
      </c>
      <c r="E2364" s="10">
        <v>98.48</v>
      </c>
      <c r="F2364" s="11">
        <v>45230</v>
      </c>
      <c r="H2364" s="12">
        <f>(PrincipalesVariables[[#This Row],[Base monetaria]]-C2363)/C2363</f>
        <v>-2.3319195649936602E-2</v>
      </c>
      <c r="I2364" s="12">
        <f>(PrincipalesVariables[[#This Row],[Dólar  mayorista]]-E2363)/E2363</f>
        <v>1.3218098627352281E-3</v>
      </c>
      <c r="J2364" s="12">
        <f>(PrincipalesVariables[[#This Row],[Reservas internacionales]]-F2363)/F2363</f>
        <v>-2.3160913201720527E-3</v>
      </c>
    </row>
    <row r="2365" spans="1:10" ht="15.75" thickBot="1" x14ac:dyDescent="0.3">
      <c r="A2365" s="14">
        <v>44460</v>
      </c>
      <c r="B2365" s="15">
        <v>44460</v>
      </c>
      <c r="C2365" s="16">
        <v>2871841</v>
      </c>
      <c r="D2365" s="10">
        <f>PrincipalesVariables[[#This Row],[Base monetaria]]/1000000</f>
        <v>2.8718409999999999</v>
      </c>
      <c r="E2365" s="10">
        <v>98.49</v>
      </c>
      <c r="F2365" s="11">
        <v>45170</v>
      </c>
      <c r="H2365" s="12">
        <f>(PrincipalesVariables[[#This Row],[Base monetaria]]-C2364)/C2364</f>
        <v>-1.2676118054478444E-3</v>
      </c>
      <c r="I2365" s="12">
        <f>(PrincipalesVariables[[#This Row],[Dólar  mayorista]]-E2364)/E2364</f>
        <v>1.0154346060104494E-4</v>
      </c>
      <c r="J2365" s="12">
        <f>(PrincipalesVariables[[#This Row],[Reservas internacionales]]-F2364)/F2364</f>
        <v>-1.3265531726730046E-3</v>
      </c>
    </row>
    <row r="2366" spans="1:10" ht="15.75" thickBot="1" x14ac:dyDescent="0.3">
      <c r="A2366" s="14">
        <v>44461</v>
      </c>
      <c r="B2366" s="15">
        <v>44461</v>
      </c>
      <c r="C2366" s="16">
        <v>2890603</v>
      </c>
      <c r="D2366" s="10">
        <f>PrincipalesVariables[[#This Row],[Base monetaria]]/1000000</f>
        <v>2.890603</v>
      </c>
      <c r="E2366" s="10">
        <v>98.51</v>
      </c>
      <c r="F2366" s="11">
        <v>43178</v>
      </c>
      <c r="H2366" s="12">
        <f>(PrincipalesVariables[[#This Row],[Base monetaria]]-C2365)/C2365</f>
        <v>6.5330914907893575E-3</v>
      </c>
      <c r="I2366" s="12">
        <f>(PrincipalesVariables[[#This Row],[Dólar  mayorista]]-E2365)/E2365</f>
        <v>2.0306630114742851E-4</v>
      </c>
      <c r="J2366" s="12">
        <f>(PrincipalesVariables[[#This Row],[Reservas internacionales]]-F2365)/F2365</f>
        <v>-4.4100066415762675E-2</v>
      </c>
    </row>
    <row r="2367" spans="1:10" ht="15.75" thickBot="1" x14ac:dyDescent="0.3">
      <c r="A2367" s="14">
        <v>44462</v>
      </c>
      <c r="B2367" s="15">
        <v>44462</v>
      </c>
      <c r="C2367" s="16">
        <v>2947787</v>
      </c>
      <c r="D2367" s="10">
        <f>PrincipalesVariables[[#This Row],[Base monetaria]]/1000000</f>
        <v>2.9477869999999999</v>
      </c>
      <c r="E2367" s="10">
        <v>98.52</v>
      </c>
      <c r="F2367" s="11">
        <v>43134</v>
      </c>
      <c r="H2367" s="12">
        <f>(PrincipalesVariables[[#This Row],[Base monetaria]]-C2366)/C2366</f>
        <v>1.9782723535539126E-2</v>
      </c>
      <c r="I2367" s="12">
        <f>(PrincipalesVariables[[#This Row],[Dólar  mayorista]]-E2366)/E2366</f>
        <v>1.0151253679820226E-4</v>
      </c>
      <c r="J2367" s="12">
        <f>(PrincipalesVariables[[#This Row],[Reservas internacionales]]-F2366)/F2366</f>
        <v>-1.0190374727870675E-3</v>
      </c>
    </row>
    <row r="2368" spans="1:10" ht="15.75" thickBot="1" x14ac:dyDescent="0.3">
      <c r="A2368" s="14">
        <v>44463</v>
      </c>
      <c r="B2368" s="15">
        <v>44463</v>
      </c>
      <c r="C2368" s="16">
        <v>2961233</v>
      </c>
      <c r="D2368" s="10">
        <f>PrincipalesVariables[[#This Row],[Base monetaria]]/1000000</f>
        <v>2.961233</v>
      </c>
      <c r="E2368" s="10">
        <v>98.56</v>
      </c>
      <c r="F2368" s="11">
        <v>43132</v>
      </c>
      <c r="H2368" s="12">
        <f>(PrincipalesVariables[[#This Row],[Base monetaria]]-C2367)/C2367</f>
        <v>4.5613879157483227E-3</v>
      </c>
      <c r="I2368" s="12">
        <f>(PrincipalesVariables[[#This Row],[Dólar  mayorista]]-E2367)/E2367</f>
        <v>4.060089321965718E-4</v>
      </c>
      <c r="J2368" s="12">
        <f>(PrincipalesVariables[[#This Row],[Reservas internacionales]]-F2367)/F2367</f>
        <v>-4.6367134974729911E-5</v>
      </c>
    </row>
    <row r="2369" spans="1:10" ht="15.75" thickBot="1" x14ac:dyDescent="0.3">
      <c r="A2369" s="14">
        <v>44466</v>
      </c>
      <c r="B2369" s="15">
        <v>44466</v>
      </c>
      <c r="C2369" s="16">
        <v>2942982</v>
      </c>
      <c r="D2369" s="10">
        <f>PrincipalesVariables[[#This Row],[Base monetaria]]/1000000</f>
        <v>2.9429820000000002</v>
      </c>
      <c r="E2369" s="10">
        <v>98.67</v>
      </c>
      <c r="F2369" s="11">
        <v>43140</v>
      </c>
      <c r="H2369" s="12">
        <f>(PrincipalesVariables[[#This Row],[Base monetaria]]-C2368)/C2368</f>
        <v>-6.1633110261840257E-3</v>
      </c>
      <c r="I2369" s="12">
        <f>(PrincipalesVariables[[#This Row],[Dólar  mayorista]]-E2368)/E2368</f>
        <v>1.1160714285714229E-3</v>
      </c>
      <c r="J2369" s="12">
        <f>(PrincipalesVariables[[#This Row],[Reservas internacionales]]-F2368)/F2368</f>
        <v>1.8547713994250208E-4</v>
      </c>
    </row>
    <row r="2370" spans="1:10" ht="15.75" thickBot="1" x14ac:dyDescent="0.3">
      <c r="A2370" s="14">
        <v>44467</v>
      </c>
      <c r="B2370" s="15">
        <v>44467</v>
      </c>
      <c r="C2370" s="16">
        <v>2964515</v>
      </c>
      <c r="D2370" s="10">
        <f>PrincipalesVariables[[#This Row],[Base monetaria]]/1000000</f>
        <v>2.964515</v>
      </c>
      <c r="E2370" s="10">
        <v>98.68</v>
      </c>
      <c r="F2370" s="11">
        <v>43089</v>
      </c>
      <c r="H2370" s="12">
        <f>(PrincipalesVariables[[#This Row],[Base monetaria]]-C2369)/C2369</f>
        <v>7.3167284067656548E-3</v>
      </c>
      <c r="I2370" s="12">
        <f>(PrincipalesVariables[[#This Row],[Dólar  mayorista]]-E2369)/E2369</f>
        <v>1.0134792743493581E-4</v>
      </c>
      <c r="J2370" s="12">
        <f>(PrincipalesVariables[[#This Row],[Reservas internacionales]]-F2369)/F2369</f>
        <v>-1.1821974965229485E-3</v>
      </c>
    </row>
    <row r="2371" spans="1:10" ht="15.75" thickBot="1" x14ac:dyDescent="0.3">
      <c r="A2371" s="14">
        <v>44468</v>
      </c>
      <c r="B2371" s="15">
        <v>44468</v>
      </c>
      <c r="C2371" s="16">
        <v>2944371</v>
      </c>
      <c r="D2371" s="10">
        <f>PrincipalesVariables[[#This Row],[Base monetaria]]/1000000</f>
        <v>2.9443709999999998</v>
      </c>
      <c r="E2371" s="10">
        <v>98.71</v>
      </c>
      <c r="F2371" s="11">
        <v>42895</v>
      </c>
      <c r="H2371" s="12">
        <f>(PrincipalesVariables[[#This Row],[Base monetaria]]-C2370)/C2370</f>
        <v>-6.795040672757601E-3</v>
      </c>
      <c r="I2371" s="12">
        <f>(PrincipalesVariables[[#This Row],[Dólar  mayorista]]-E2370)/E2370</f>
        <v>3.0401297121997287E-4</v>
      </c>
      <c r="J2371" s="12">
        <f>(PrincipalesVariables[[#This Row],[Reservas internacionales]]-F2370)/F2370</f>
        <v>-4.5023091740351365E-3</v>
      </c>
    </row>
    <row r="2372" spans="1:10" ht="15.75" thickBot="1" x14ac:dyDescent="0.3">
      <c r="A2372" s="14">
        <v>44469</v>
      </c>
      <c r="B2372" s="15">
        <v>44469</v>
      </c>
      <c r="C2372" s="16">
        <v>2940337</v>
      </c>
      <c r="D2372" s="10">
        <f>PrincipalesVariables[[#This Row],[Base monetaria]]/1000000</f>
        <v>2.940337</v>
      </c>
      <c r="E2372" s="10">
        <v>98.74</v>
      </c>
      <c r="F2372" s="11">
        <v>42911</v>
      </c>
      <c r="H2372" s="12">
        <f>(PrincipalesVariables[[#This Row],[Base monetaria]]-C2371)/C2371</f>
        <v>-1.3700719100955688E-3</v>
      </c>
      <c r="I2372" s="12">
        <f>(PrincipalesVariables[[#This Row],[Dólar  mayorista]]-E2371)/E2371</f>
        <v>3.0392057542296769E-4</v>
      </c>
      <c r="J2372" s="12">
        <f>(PrincipalesVariables[[#This Row],[Reservas internacionales]]-F2371)/F2371</f>
        <v>3.730038466021681E-4</v>
      </c>
    </row>
    <row r="2373" spans="1:10" ht="15.75" thickBot="1" x14ac:dyDescent="0.3">
      <c r="A2373" s="14">
        <v>44470</v>
      </c>
      <c r="B2373" s="15">
        <v>44470</v>
      </c>
      <c r="C2373" s="16">
        <v>2943038</v>
      </c>
      <c r="D2373" s="10">
        <f>PrincipalesVariables[[#This Row],[Base monetaria]]/1000000</f>
        <v>2.943038</v>
      </c>
      <c r="E2373" s="10">
        <v>98.78</v>
      </c>
      <c r="F2373" s="11">
        <v>42850</v>
      </c>
      <c r="H2373" s="12">
        <f>(PrincipalesVariables[[#This Row],[Base monetaria]]-C2372)/C2372</f>
        <v>9.1860218743633807E-4</v>
      </c>
      <c r="I2373" s="12">
        <f>(PrincipalesVariables[[#This Row],[Dólar  mayorista]]-E2372)/E2372</f>
        <v>4.0510431436101128E-4</v>
      </c>
      <c r="J2373" s="12">
        <f>(PrincipalesVariables[[#This Row],[Reservas internacionales]]-F2372)/F2372</f>
        <v>-1.421546922700473E-3</v>
      </c>
    </row>
    <row r="2374" spans="1:10" ht="15.75" thickBot="1" x14ac:dyDescent="0.3">
      <c r="A2374" s="14">
        <v>44473</v>
      </c>
      <c r="B2374" s="15">
        <v>44473</v>
      </c>
      <c r="C2374" s="16">
        <v>3037057</v>
      </c>
      <c r="D2374" s="10">
        <f>PrincipalesVariables[[#This Row],[Base monetaria]]/1000000</f>
        <v>3.0370569999999999</v>
      </c>
      <c r="E2374" s="10">
        <v>98.89</v>
      </c>
      <c r="F2374" s="11">
        <v>42825</v>
      </c>
      <c r="H2374" s="12">
        <f>(PrincipalesVariables[[#This Row],[Base monetaria]]-C2373)/C2373</f>
        <v>3.1946240585408681E-2</v>
      </c>
      <c r="I2374" s="12">
        <f>(PrincipalesVariables[[#This Row],[Dólar  mayorista]]-E2373)/E2373</f>
        <v>1.1135857461024442E-3</v>
      </c>
      <c r="J2374" s="12">
        <f>(PrincipalesVariables[[#This Row],[Reservas internacionales]]-F2373)/F2373</f>
        <v>-5.8343057176196028E-4</v>
      </c>
    </row>
    <row r="2375" spans="1:10" ht="15.75" thickBot="1" x14ac:dyDescent="0.3">
      <c r="A2375" s="14">
        <v>44474</v>
      </c>
      <c r="B2375" s="15">
        <v>44474</v>
      </c>
      <c r="C2375" s="16">
        <v>3074755</v>
      </c>
      <c r="D2375" s="10">
        <f>PrincipalesVariables[[#This Row],[Base monetaria]]/1000000</f>
        <v>3.0747550000000001</v>
      </c>
      <c r="E2375" s="10">
        <v>98.9</v>
      </c>
      <c r="F2375" s="11">
        <v>42719</v>
      </c>
      <c r="H2375" s="12">
        <f>(PrincipalesVariables[[#This Row],[Base monetaria]]-C2374)/C2374</f>
        <v>1.2412674506932205E-2</v>
      </c>
      <c r="I2375" s="12">
        <f>(PrincipalesVariables[[#This Row],[Dólar  mayorista]]-E2374)/E2374</f>
        <v>1.0112245929826187E-4</v>
      </c>
      <c r="J2375" s="12">
        <f>(PrincipalesVariables[[#This Row],[Reservas internacionales]]-F2374)/F2374</f>
        <v>-2.4751897256275542E-3</v>
      </c>
    </row>
    <row r="2376" spans="1:10" ht="15.75" thickBot="1" x14ac:dyDescent="0.3">
      <c r="A2376" s="14">
        <v>44475</v>
      </c>
      <c r="B2376" s="15">
        <v>44475</v>
      </c>
      <c r="C2376" s="16">
        <v>3072931</v>
      </c>
      <c r="D2376" s="10">
        <f>PrincipalesVariables[[#This Row],[Base monetaria]]/1000000</f>
        <v>3.0729310000000001</v>
      </c>
      <c r="E2376" s="10">
        <v>98.92</v>
      </c>
      <c r="F2376" s="11">
        <v>42796</v>
      </c>
      <c r="H2376" s="12">
        <f>(PrincipalesVariables[[#This Row],[Base monetaria]]-C2375)/C2375</f>
        <v>-5.9321799623059395E-4</v>
      </c>
      <c r="I2376" s="12">
        <f>(PrincipalesVariables[[#This Row],[Dólar  mayorista]]-E2375)/E2375</f>
        <v>2.0222446916072821E-4</v>
      </c>
      <c r="J2376" s="12">
        <f>(PrincipalesVariables[[#This Row],[Reservas internacionales]]-F2375)/F2375</f>
        <v>1.8024766497343103E-3</v>
      </c>
    </row>
    <row r="2377" spans="1:10" ht="15.75" thickBot="1" x14ac:dyDescent="0.3">
      <c r="A2377" s="14">
        <v>44476</v>
      </c>
      <c r="B2377" s="15">
        <v>44476</v>
      </c>
      <c r="C2377" s="16">
        <v>2918475</v>
      </c>
      <c r="D2377" s="10">
        <f>PrincipalesVariables[[#This Row],[Base monetaria]]/1000000</f>
        <v>2.9184749999999999</v>
      </c>
      <c r="E2377" s="10">
        <v>98.95</v>
      </c>
      <c r="F2377" s="11">
        <v>42848</v>
      </c>
      <c r="H2377" s="12">
        <f>(PrincipalesVariables[[#This Row],[Base monetaria]]-C2376)/C2376</f>
        <v>-5.0263413008622713E-2</v>
      </c>
      <c r="I2377" s="12">
        <f>(PrincipalesVariables[[#This Row],[Dólar  mayorista]]-E2376)/E2376</f>
        <v>3.0327537403963947E-4</v>
      </c>
      <c r="J2377" s="12">
        <f>(PrincipalesVariables[[#This Row],[Reservas internacionales]]-F2376)/F2376</f>
        <v>1.215066828675577E-3</v>
      </c>
    </row>
    <row r="2378" spans="1:10" ht="15.75" thickBot="1" x14ac:dyDescent="0.3">
      <c r="A2378" s="14">
        <v>44481</v>
      </c>
      <c r="B2378" s="15">
        <v>44481</v>
      </c>
      <c r="C2378" s="16">
        <v>3215071</v>
      </c>
      <c r="D2378" s="10">
        <f>PrincipalesVariables[[#This Row],[Base monetaria]]/1000000</f>
        <v>3.215071</v>
      </c>
      <c r="E2378" s="10">
        <v>99.1</v>
      </c>
      <c r="F2378" s="11">
        <v>42898</v>
      </c>
      <c r="H2378" s="12">
        <f>(PrincipalesVariables[[#This Row],[Base monetaria]]-C2377)/C2377</f>
        <v>0.10162704837286597</v>
      </c>
      <c r="I2378" s="12">
        <f>(PrincipalesVariables[[#This Row],[Dólar  mayorista]]-E2377)/E2377</f>
        <v>1.5159171298634812E-3</v>
      </c>
      <c r="J2378" s="12">
        <f>(PrincipalesVariables[[#This Row],[Reservas internacionales]]-F2377)/F2377</f>
        <v>1.1669156086631814E-3</v>
      </c>
    </row>
    <row r="2379" spans="1:10" ht="15.75" thickBot="1" x14ac:dyDescent="0.3">
      <c r="A2379" s="14">
        <v>44482</v>
      </c>
      <c r="B2379" s="15">
        <v>44482</v>
      </c>
      <c r="C2379" s="16">
        <v>3179100</v>
      </c>
      <c r="D2379" s="10">
        <f>PrincipalesVariables[[#This Row],[Base monetaria]]/1000000</f>
        <v>3.1791</v>
      </c>
      <c r="E2379" s="10">
        <v>99.13</v>
      </c>
      <c r="F2379" s="11">
        <v>43004</v>
      </c>
      <c r="H2379" s="12">
        <f>(PrincipalesVariables[[#This Row],[Base monetaria]]-C2378)/C2378</f>
        <v>-1.1188244365365493E-2</v>
      </c>
      <c r="I2379" s="12">
        <f>(PrincipalesVariables[[#This Row],[Dólar  mayorista]]-E2378)/E2378</f>
        <v>3.0272452068618708E-4</v>
      </c>
      <c r="J2379" s="12">
        <f>(PrincipalesVariables[[#This Row],[Reservas internacionales]]-F2378)/F2378</f>
        <v>2.4709776679565482E-3</v>
      </c>
    </row>
    <row r="2380" spans="1:10" ht="15.75" thickBot="1" x14ac:dyDescent="0.3">
      <c r="A2380" s="14">
        <v>44483</v>
      </c>
      <c r="B2380" s="15">
        <v>44483</v>
      </c>
      <c r="C2380" s="16">
        <v>3178258</v>
      </c>
      <c r="D2380" s="10">
        <f>PrincipalesVariables[[#This Row],[Base monetaria]]/1000000</f>
        <v>3.178258</v>
      </c>
      <c r="E2380" s="10">
        <v>99.16</v>
      </c>
      <c r="F2380" s="11">
        <v>43020</v>
      </c>
      <c r="H2380" s="12">
        <f>(PrincipalesVariables[[#This Row],[Base monetaria]]-C2379)/C2379</f>
        <v>-2.6485483312887293E-4</v>
      </c>
      <c r="I2380" s="12">
        <f>(PrincipalesVariables[[#This Row],[Dólar  mayorista]]-E2379)/E2379</f>
        <v>3.0263290628468819E-4</v>
      </c>
      <c r="J2380" s="12">
        <f>(PrincipalesVariables[[#This Row],[Reservas internacionales]]-F2379)/F2379</f>
        <v>3.7205841317086783E-4</v>
      </c>
    </row>
    <row r="2381" spans="1:10" ht="15.75" thickBot="1" x14ac:dyDescent="0.3">
      <c r="A2381" s="14">
        <v>44484</v>
      </c>
      <c r="B2381" s="15">
        <v>44484</v>
      </c>
      <c r="C2381" s="16">
        <v>3077232</v>
      </c>
      <c r="D2381" s="10">
        <f>PrincipalesVariables[[#This Row],[Base monetaria]]/1000000</f>
        <v>3.077232</v>
      </c>
      <c r="E2381" s="10">
        <v>99.19</v>
      </c>
      <c r="F2381" s="11">
        <v>42932</v>
      </c>
      <c r="H2381" s="12">
        <f>(PrincipalesVariables[[#This Row],[Base monetaria]]-C2380)/C2380</f>
        <v>-3.1786595046720559E-2</v>
      </c>
      <c r="I2381" s="12">
        <f>(PrincipalesVariables[[#This Row],[Dólar  mayorista]]-E2380)/E2380</f>
        <v>3.0254134731747819E-4</v>
      </c>
      <c r="J2381" s="12">
        <f>(PrincipalesVariables[[#This Row],[Reservas internacionales]]-F2380)/F2380</f>
        <v>-2.0455602045560206E-3</v>
      </c>
    </row>
    <row r="2382" spans="1:10" ht="15.75" thickBot="1" x14ac:dyDescent="0.3">
      <c r="A2382" s="14">
        <v>44487</v>
      </c>
      <c r="B2382" s="15">
        <v>44487</v>
      </c>
      <c r="C2382" s="16">
        <v>2923563</v>
      </c>
      <c r="D2382" s="10">
        <f>PrincipalesVariables[[#This Row],[Base monetaria]]/1000000</f>
        <v>2.9235630000000001</v>
      </c>
      <c r="E2382" s="10">
        <v>99.28</v>
      </c>
      <c r="F2382" s="11">
        <v>42944</v>
      </c>
      <c r="H2382" s="12">
        <f>(PrincipalesVariables[[#This Row],[Base monetaria]]-C2381)/C2381</f>
        <v>-4.9937411283907093E-2</v>
      </c>
      <c r="I2382" s="12">
        <f>(PrincipalesVariables[[#This Row],[Dólar  mayorista]]-E2381)/E2381</f>
        <v>9.0734953120277665E-4</v>
      </c>
      <c r="J2382" s="12">
        <f>(PrincipalesVariables[[#This Row],[Reservas internacionales]]-F2381)/F2381</f>
        <v>2.7951178608031307E-4</v>
      </c>
    </row>
    <row r="2383" spans="1:10" ht="15.75" thickBot="1" x14ac:dyDescent="0.3">
      <c r="A2383" s="14">
        <v>44488</v>
      </c>
      <c r="B2383" s="15">
        <v>44488</v>
      </c>
      <c r="C2383" s="16">
        <v>3058652</v>
      </c>
      <c r="D2383" s="10">
        <f>PrincipalesVariables[[#This Row],[Base monetaria]]/1000000</f>
        <v>3.0586519999999999</v>
      </c>
      <c r="E2383" s="10">
        <v>99.31</v>
      </c>
      <c r="F2383" s="11">
        <v>42984</v>
      </c>
      <c r="H2383" s="12">
        <f>(PrincipalesVariables[[#This Row],[Base monetaria]]-C2382)/C2382</f>
        <v>4.6206974161323015E-2</v>
      </c>
      <c r="I2383" s="12">
        <f>(PrincipalesVariables[[#This Row],[Dólar  mayorista]]-E2382)/E2382</f>
        <v>3.0217566478647398E-4</v>
      </c>
      <c r="J2383" s="12">
        <f>(PrincipalesVariables[[#This Row],[Reservas internacionales]]-F2382)/F2382</f>
        <v>9.3144560357675112E-4</v>
      </c>
    </row>
    <row r="2384" spans="1:10" ht="15.75" thickBot="1" x14ac:dyDescent="0.3">
      <c r="A2384" s="14">
        <v>44489</v>
      </c>
      <c r="B2384" s="15">
        <v>44489</v>
      </c>
      <c r="C2384" s="16">
        <v>3006634</v>
      </c>
      <c r="D2384" s="10">
        <f>PrincipalesVariables[[#This Row],[Base monetaria]]/1000000</f>
        <v>3.006634</v>
      </c>
      <c r="E2384" s="10">
        <v>99.34</v>
      </c>
      <c r="F2384" s="11">
        <v>42989</v>
      </c>
      <c r="H2384" s="12">
        <f>(PrincipalesVariables[[#This Row],[Base monetaria]]-C2383)/C2383</f>
        <v>-1.7006838306548113E-2</v>
      </c>
      <c r="I2384" s="12">
        <f>(PrincipalesVariables[[#This Row],[Dólar  mayorista]]-E2383)/E2383</f>
        <v>3.0208438223744974E-4</v>
      </c>
      <c r="J2384" s="12">
        <f>(PrincipalesVariables[[#This Row],[Reservas internacionales]]-F2383)/F2383</f>
        <v>1.1632235250325703E-4</v>
      </c>
    </row>
    <row r="2385" spans="1:10" ht="15.75" thickBot="1" x14ac:dyDescent="0.3">
      <c r="A2385" s="14">
        <v>44490</v>
      </c>
      <c r="B2385" s="15">
        <v>44490</v>
      </c>
      <c r="C2385" s="16">
        <v>2972936</v>
      </c>
      <c r="D2385" s="10">
        <f>PrincipalesVariables[[#This Row],[Base monetaria]]/1000000</f>
        <v>2.9729359999999998</v>
      </c>
      <c r="E2385" s="10">
        <v>99.37</v>
      </c>
      <c r="F2385" s="11">
        <v>43006</v>
      </c>
      <c r="H2385" s="12">
        <f>(PrincipalesVariables[[#This Row],[Base monetaria]]-C2384)/C2384</f>
        <v>-1.1207882302934112E-2</v>
      </c>
      <c r="I2385" s="12">
        <f>(PrincipalesVariables[[#This Row],[Dólar  mayorista]]-E2384)/E2384</f>
        <v>3.0199315482183549E-4</v>
      </c>
      <c r="J2385" s="12">
        <f>(PrincipalesVariables[[#This Row],[Reservas internacionales]]-F2384)/F2384</f>
        <v>3.9544999883691176E-4</v>
      </c>
    </row>
    <row r="2386" spans="1:10" ht="15.75" thickBot="1" x14ac:dyDescent="0.3">
      <c r="A2386" s="14">
        <v>44491</v>
      </c>
      <c r="B2386" s="15">
        <v>44491</v>
      </c>
      <c r="C2386" s="16">
        <v>2965641</v>
      </c>
      <c r="D2386" s="10">
        <f>PrincipalesVariables[[#This Row],[Base monetaria]]/1000000</f>
        <v>2.9656410000000002</v>
      </c>
      <c r="E2386" s="10">
        <v>99.4</v>
      </c>
      <c r="F2386" s="11">
        <v>43038</v>
      </c>
      <c r="H2386" s="12">
        <f>(PrincipalesVariables[[#This Row],[Base monetaria]]-C2385)/C2385</f>
        <v>-2.4538032436621574E-3</v>
      </c>
      <c r="I2386" s="12">
        <f>(PrincipalesVariables[[#This Row],[Dólar  mayorista]]-E2385)/E2385</f>
        <v>3.0190198248969646E-4</v>
      </c>
      <c r="J2386" s="12">
        <f>(PrincipalesVariables[[#This Row],[Reservas internacionales]]-F2385)/F2385</f>
        <v>7.4408222108542999E-4</v>
      </c>
    </row>
    <row r="2387" spans="1:10" ht="15.75" thickBot="1" x14ac:dyDescent="0.3">
      <c r="A2387" s="14">
        <v>44494</v>
      </c>
      <c r="B2387" s="15">
        <v>44494</v>
      </c>
      <c r="C2387" s="16">
        <v>2918527</v>
      </c>
      <c r="D2387" s="10">
        <f>PrincipalesVariables[[#This Row],[Base monetaria]]/1000000</f>
        <v>2.9185270000000001</v>
      </c>
      <c r="E2387" s="10">
        <v>99.49</v>
      </c>
      <c r="F2387" s="11">
        <v>43059</v>
      </c>
      <c r="H2387" s="12">
        <f>(PrincipalesVariables[[#This Row],[Base monetaria]]-C2386)/C2386</f>
        <v>-1.5886616080638218E-2</v>
      </c>
      <c r="I2387" s="12">
        <f>(PrincipalesVariables[[#This Row],[Dólar  mayorista]]-E2386)/E2386</f>
        <v>9.0543259557333193E-4</v>
      </c>
      <c r="J2387" s="12">
        <f>(PrincipalesVariables[[#This Row],[Reservas internacionales]]-F2386)/F2386</f>
        <v>4.879408894465356E-4</v>
      </c>
    </row>
    <row r="2388" spans="1:10" ht="15.75" thickBot="1" x14ac:dyDescent="0.3">
      <c r="A2388" s="14">
        <v>44495</v>
      </c>
      <c r="B2388" s="15">
        <v>44495</v>
      </c>
      <c r="C2388" s="16">
        <v>2939786</v>
      </c>
      <c r="D2388" s="10">
        <f>PrincipalesVariables[[#This Row],[Base monetaria]]/1000000</f>
        <v>2.9397859999999998</v>
      </c>
      <c r="E2388" s="10">
        <v>99.53</v>
      </c>
      <c r="F2388" s="11">
        <v>43070</v>
      </c>
      <c r="H2388" s="12">
        <f>(PrincipalesVariables[[#This Row],[Base monetaria]]-C2387)/C2387</f>
        <v>7.2841539584865929E-3</v>
      </c>
      <c r="I2388" s="12">
        <f>(PrincipalesVariables[[#This Row],[Dólar  mayorista]]-E2387)/E2387</f>
        <v>4.0205045733245808E-4</v>
      </c>
      <c r="J2388" s="12">
        <f>(PrincipalesVariables[[#This Row],[Reservas internacionales]]-F2387)/F2387</f>
        <v>2.5546343389303049E-4</v>
      </c>
    </row>
    <row r="2389" spans="1:10" ht="15.75" thickBot="1" x14ac:dyDescent="0.3">
      <c r="A2389" s="14">
        <v>44496</v>
      </c>
      <c r="B2389" s="15">
        <v>44496</v>
      </c>
      <c r="C2389" s="16">
        <v>3049042</v>
      </c>
      <c r="D2389" s="10">
        <f>PrincipalesVariables[[#This Row],[Base monetaria]]/1000000</f>
        <v>3.049042</v>
      </c>
      <c r="E2389" s="10">
        <v>99.62</v>
      </c>
      <c r="F2389" s="11">
        <v>43040</v>
      </c>
      <c r="H2389" s="12">
        <f>(PrincipalesVariables[[#This Row],[Base monetaria]]-C2388)/C2388</f>
        <v>3.7164609940995706E-2</v>
      </c>
      <c r="I2389" s="12">
        <f>(PrincipalesVariables[[#This Row],[Dólar  mayorista]]-E2388)/E2388</f>
        <v>9.0424997488197938E-4</v>
      </c>
      <c r="J2389" s="12">
        <f>(PrincipalesVariables[[#This Row],[Reservas internacionales]]-F2388)/F2388</f>
        <v>-6.9654051543998144E-4</v>
      </c>
    </row>
    <row r="2390" spans="1:10" ht="15.75" thickBot="1" x14ac:dyDescent="0.3">
      <c r="A2390" s="14">
        <v>44497</v>
      </c>
      <c r="B2390" s="15">
        <v>44497</v>
      </c>
      <c r="C2390" s="16">
        <v>3084500</v>
      </c>
      <c r="D2390" s="10">
        <f>PrincipalesVariables[[#This Row],[Base monetaria]]/1000000</f>
        <v>3.0844999999999998</v>
      </c>
      <c r="E2390" s="10">
        <v>99.69</v>
      </c>
      <c r="F2390" s="11">
        <v>43010</v>
      </c>
      <c r="H2390" s="12">
        <f>(PrincipalesVariables[[#This Row],[Base monetaria]]-C2389)/C2389</f>
        <v>1.1629226491468468E-2</v>
      </c>
      <c r="I2390" s="12">
        <f>(PrincipalesVariables[[#This Row],[Dólar  mayorista]]-E2389)/E2389</f>
        <v>7.0267014655684779E-4</v>
      </c>
      <c r="J2390" s="12">
        <f>(PrincipalesVariables[[#This Row],[Reservas internacionales]]-F2389)/F2389</f>
        <v>-6.9702602230483268E-4</v>
      </c>
    </row>
    <row r="2391" spans="1:10" ht="15.75" thickBot="1" x14ac:dyDescent="0.3">
      <c r="A2391" s="14">
        <v>44498</v>
      </c>
      <c r="B2391" s="15">
        <v>44498</v>
      </c>
      <c r="C2391" s="16">
        <v>3009289</v>
      </c>
      <c r="D2391" s="10">
        <f>PrincipalesVariables[[#This Row],[Base monetaria]]/1000000</f>
        <v>3.0092889999999999</v>
      </c>
      <c r="E2391" s="10">
        <v>99.72</v>
      </c>
      <c r="F2391" s="11">
        <v>42817</v>
      </c>
      <c r="H2391" s="12">
        <f>(PrincipalesVariables[[#This Row],[Base monetaria]]-C2390)/C2390</f>
        <v>-2.4383530556005836E-2</v>
      </c>
      <c r="I2391" s="12">
        <f>(PrincipalesVariables[[#This Row],[Dólar  mayorista]]-E2390)/E2390</f>
        <v>3.0093289196510319E-4</v>
      </c>
      <c r="J2391" s="12">
        <f>(PrincipalesVariables[[#This Row],[Reservas internacionales]]-F2390)/F2390</f>
        <v>-4.4873285282492443E-3</v>
      </c>
    </row>
    <row r="2392" spans="1:10" ht="15.75" thickBot="1" x14ac:dyDescent="0.3">
      <c r="A2392" s="14">
        <v>44501</v>
      </c>
      <c r="B2392" s="15">
        <v>44501</v>
      </c>
      <c r="C2392" s="16">
        <v>3030496</v>
      </c>
      <c r="D2392" s="10">
        <f>PrincipalesVariables[[#This Row],[Base monetaria]]/1000000</f>
        <v>3.0304959999999999</v>
      </c>
      <c r="E2392" s="10">
        <v>99.83</v>
      </c>
      <c r="F2392" s="11">
        <v>42782</v>
      </c>
      <c r="H2392" s="12">
        <f>(PrincipalesVariables[[#This Row],[Base monetaria]]-C2391)/C2391</f>
        <v>7.0471795829513215E-3</v>
      </c>
      <c r="I2392" s="12">
        <f>(PrincipalesVariables[[#This Row],[Dólar  mayorista]]-E2391)/E2391</f>
        <v>1.1030886482149963E-3</v>
      </c>
      <c r="J2392" s="12">
        <f>(PrincipalesVariables[[#This Row],[Reservas internacionales]]-F2391)/F2391</f>
        <v>-8.1743232828082309E-4</v>
      </c>
    </row>
    <row r="2393" spans="1:10" ht="15.75" thickBot="1" x14ac:dyDescent="0.3">
      <c r="A2393" s="14">
        <v>44502</v>
      </c>
      <c r="B2393" s="15">
        <v>44502</v>
      </c>
      <c r="C2393" s="16">
        <v>3035484</v>
      </c>
      <c r="D2393" s="10">
        <f>PrincipalesVariables[[#This Row],[Base monetaria]]/1000000</f>
        <v>3.0354839999999998</v>
      </c>
      <c r="E2393" s="10">
        <v>99.85</v>
      </c>
      <c r="F2393" s="11">
        <v>42749</v>
      </c>
      <c r="H2393" s="12">
        <f>(PrincipalesVariables[[#This Row],[Base monetaria]]-C2392)/C2392</f>
        <v>1.6459351868473016E-3</v>
      </c>
      <c r="I2393" s="12">
        <f>(PrincipalesVariables[[#This Row],[Dólar  mayorista]]-E2392)/E2392</f>
        <v>2.0034057898423341E-4</v>
      </c>
      <c r="J2393" s="12">
        <f>(PrincipalesVariables[[#This Row],[Reservas internacionales]]-F2392)/F2392</f>
        <v>-7.7135243794119025E-4</v>
      </c>
    </row>
    <row r="2394" spans="1:10" ht="15.75" thickBot="1" x14ac:dyDescent="0.3">
      <c r="A2394" s="14">
        <v>44503</v>
      </c>
      <c r="B2394" s="15">
        <v>44503</v>
      </c>
      <c r="C2394" s="16">
        <v>3068847</v>
      </c>
      <c r="D2394" s="10">
        <f>PrincipalesVariables[[#This Row],[Base monetaria]]/1000000</f>
        <v>3.0688469999999999</v>
      </c>
      <c r="E2394" s="10">
        <v>99.9</v>
      </c>
      <c r="F2394" s="11">
        <v>42658</v>
      </c>
      <c r="H2394" s="12">
        <f>(PrincipalesVariables[[#This Row],[Base monetaria]]-C2393)/C2393</f>
        <v>1.0990998470095707E-2</v>
      </c>
      <c r="I2394" s="12">
        <f>(PrincipalesVariables[[#This Row],[Dólar  mayorista]]-E2393)/E2393</f>
        <v>5.0075112669014895E-4</v>
      </c>
      <c r="J2394" s="12">
        <f>(PrincipalesVariables[[#This Row],[Reservas internacionales]]-F2393)/F2393</f>
        <v>-2.1287047650237431E-3</v>
      </c>
    </row>
    <row r="2395" spans="1:10" ht="15.75" thickBot="1" x14ac:dyDescent="0.3">
      <c r="A2395" s="14">
        <v>44504</v>
      </c>
      <c r="B2395" s="15">
        <v>44504</v>
      </c>
      <c r="C2395" s="16">
        <v>3097983</v>
      </c>
      <c r="D2395" s="10">
        <f>PrincipalesVariables[[#This Row],[Base monetaria]]/1000000</f>
        <v>3.0979830000000002</v>
      </c>
      <c r="E2395" s="10">
        <v>99.95</v>
      </c>
      <c r="F2395" s="11">
        <v>42577</v>
      </c>
      <c r="H2395" s="12">
        <f>(PrincipalesVariables[[#This Row],[Base monetaria]]-C2394)/C2394</f>
        <v>9.4941194526804371E-3</v>
      </c>
      <c r="I2395" s="12">
        <f>(PrincipalesVariables[[#This Row],[Dólar  mayorista]]-E2394)/E2394</f>
        <v>5.0050050050047198E-4</v>
      </c>
      <c r="J2395" s="12">
        <f>(PrincipalesVariables[[#This Row],[Reservas internacionales]]-F2394)/F2394</f>
        <v>-1.8988231984621877E-3</v>
      </c>
    </row>
    <row r="2396" spans="1:10" ht="15.75" thickBot="1" x14ac:dyDescent="0.3">
      <c r="A2396" s="14">
        <v>44505</v>
      </c>
      <c r="B2396" s="15">
        <v>44505</v>
      </c>
      <c r="C2396" s="16">
        <v>3055962</v>
      </c>
      <c r="D2396" s="10">
        <f>PrincipalesVariables[[#This Row],[Base monetaria]]/1000000</f>
        <v>3.0559620000000001</v>
      </c>
      <c r="E2396" s="10">
        <v>99.95</v>
      </c>
      <c r="F2396" s="11">
        <v>42791</v>
      </c>
      <c r="H2396" s="12">
        <f>(PrincipalesVariables[[#This Row],[Base monetaria]]-C2395)/C2395</f>
        <v>-1.3563986632592884E-2</v>
      </c>
      <c r="I2396" s="12">
        <f>(PrincipalesVariables[[#This Row],[Dólar  mayorista]]-E2395)/E2395</f>
        <v>0</v>
      </c>
      <c r="J2396" s="12">
        <f>(PrincipalesVariables[[#This Row],[Reservas internacionales]]-F2395)/F2395</f>
        <v>5.0261878478991004E-3</v>
      </c>
    </row>
    <row r="2397" spans="1:10" ht="15.75" thickBot="1" x14ac:dyDescent="0.3">
      <c r="A2397" s="14">
        <v>44508</v>
      </c>
      <c r="B2397" s="15">
        <v>44508</v>
      </c>
      <c r="C2397" s="16">
        <v>3026821</v>
      </c>
      <c r="D2397" s="10">
        <f>PrincipalesVariables[[#This Row],[Base monetaria]]/1000000</f>
        <v>3.026821</v>
      </c>
      <c r="E2397" s="10">
        <v>100.05</v>
      </c>
      <c r="F2397" s="11">
        <v>42797</v>
      </c>
      <c r="H2397" s="12">
        <f>(PrincipalesVariables[[#This Row],[Base monetaria]]-C2396)/C2396</f>
        <v>-9.5357861125236511E-3</v>
      </c>
      <c r="I2397" s="12">
        <f>(PrincipalesVariables[[#This Row],[Dólar  mayorista]]-E2396)/E2396</f>
        <v>1.0005002501250056E-3</v>
      </c>
      <c r="J2397" s="12">
        <f>(PrincipalesVariables[[#This Row],[Reservas internacionales]]-F2396)/F2396</f>
        <v>1.4021640064499545E-4</v>
      </c>
    </row>
    <row r="2398" spans="1:10" ht="15.75" thickBot="1" x14ac:dyDescent="0.3">
      <c r="A2398" s="14">
        <v>44509</v>
      </c>
      <c r="B2398" s="15">
        <v>44509</v>
      </c>
      <c r="C2398" s="16">
        <v>3172862</v>
      </c>
      <c r="D2398" s="10">
        <f>PrincipalesVariables[[#This Row],[Base monetaria]]/1000000</f>
        <v>3.1728619999999998</v>
      </c>
      <c r="E2398" s="10">
        <v>100.1</v>
      </c>
      <c r="F2398" s="11">
        <v>42880</v>
      </c>
      <c r="H2398" s="12">
        <f>(PrincipalesVariables[[#This Row],[Base monetaria]]-C2397)/C2397</f>
        <v>4.8248971445619016E-2</v>
      </c>
      <c r="I2398" s="12">
        <f>(PrincipalesVariables[[#This Row],[Dólar  mayorista]]-E2397)/E2397</f>
        <v>4.9975012493750281E-4</v>
      </c>
      <c r="J2398" s="12">
        <f>(PrincipalesVariables[[#This Row],[Reservas internacionales]]-F2397)/F2397</f>
        <v>1.9393882748790802E-3</v>
      </c>
    </row>
    <row r="2399" spans="1:10" ht="15.75" thickBot="1" x14ac:dyDescent="0.3">
      <c r="A2399" s="14">
        <v>44510</v>
      </c>
      <c r="B2399" s="15">
        <v>44510</v>
      </c>
      <c r="C2399" s="16">
        <v>3255993</v>
      </c>
      <c r="D2399" s="10">
        <f>PrincipalesVariables[[#This Row],[Base monetaria]]/1000000</f>
        <v>3.2559930000000001</v>
      </c>
      <c r="E2399" s="10">
        <v>100.14</v>
      </c>
      <c r="F2399" s="11">
        <v>42791</v>
      </c>
      <c r="H2399" s="12">
        <f>(PrincipalesVariables[[#This Row],[Base monetaria]]-C2398)/C2398</f>
        <v>2.6200635262422382E-2</v>
      </c>
      <c r="I2399" s="12">
        <f>(PrincipalesVariables[[#This Row],[Dólar  mayorista]]-E2398)/E2398</f>
        <v>3.996003996004621E-4</v>
      </c>
      <c r="J2399" s="12">
        <f>(PrincipalesVariables[[#This Row],[Reservas internacionales]]-F2398)/F2398</f>
        <v>-2.0755597014925375E-3</v>
      </c>
    </row>
    <row r="2400" spans="1:10" ht="15.75" thickBot="1" x14ac:dyDescent="0.3">
      <c r="A2400" s="14">
        <v>44511</v>
      </c>
      <c r="B2400" s="15">
        <v>44511</v>
      </c>
      <c r="C2400" s="16">
        <v>3344444</v>
      </c>
      <c r="D2400" s="10">
        <f>PrincipalesVariables[[#This Row],[Base monetaria]]/1000000</f>
        <v>3.3444440000000002</v>
      </c>
      <c r="E2400" s="10">
        <v>100.18</v>
      </c>
      <c r="F2400" s="11">
        <v>42798</v>
      </c>
      <c r="H2400" s="12">
        <f>(PrincipalesVariables[[#This Row],[Base monetaria]]-C2399)/C2399</f>
        <v>2.7165598943240971E-2</v>
      </c>
      <c r="I2400" s="12">
        <f>(PrincipalesVariables[[#This Row],[Dólar  mayorista]]-E2399)/E2399</f>
        <v>3.9944078290399693E-4</v>
      </c>
      <c r="J2400" s="12">
        <f>(PrincipalesVariables[[#This Row],[Reservas internacionales]]-F2399)/F2399</f>
        <v>1.6358580075249469E-4</v>
      </c>
    </row>
    <row r="2401" spans="1:10" ht="15.75" thickBot="1" x14ac:dyDescent="0.3">
      <c r="A2401" s="14">
        <v>44512</v>
      </c>
      <c r="B2401" s="15">
        <v>44512</v>
      </c>
      <c r="C2401" s="16">
        <v>3300831</v>
      </c>
      <c r="D2401" s="10">
        <f>PrincipalesVariables[[#This Row],[Base monetaria]]/1000000</f>
        <v>3.3008310000000001</v>
      </c>
      <c r="E2401" s="10">
        <v>100.23</v>
      </c>
      <c r="F2401" s="11">
        <v>42608</v>
      </c>
      <c r="H2401" s="12">
        <f>(PrincipalesVariables[[#This Row],[Base monetaria]]-C2400)/C2400</f>
        <v>-1.3040433626635697E-2</v>
      </c>
      <c r="I2401" s="12">
        <f>(PrincipalesVariables[[#This Row],[Dólar  mayorista]]-E2400)/E2400</f>
        <v>4.9910161708921095E-4</v>
      </c>
      <c r="J2401" s="12">
        <f>(PrincipalesVariables[[#This Row],[Reservas internacionales]]-F2400)/F2400</f>
        <v>-4.439459787840553E-3</v>
      </c>
    </row>
    <row r="2402" spans="1:10" ht="15.75" thickBot="1" x14ac:dyDescent="0.3">
      <c r="A2402" s="14">
        <v>44515</v>
      </c>
      <c r="B2402" s="15">
        <v>44515</v>
      </c>
      <c r="C2402" s="16">
        <v>3267124</v>
      </c>
      <c r="D2402" s="10">
        <f>PrincipalesVariables[[#This Row],[Base monetaria]]/1000000</f>
        <v>3.2671239999999999</v>
      </c>
      <c r="E2402" s="10">
        <v>100.29</v>
      </c>
      <c r="F2402" s="11">
        <v>42523</v>
      </c>
      <c r="H2402" s="12">
        <f>(PrincipalesVariables[[#This Row],[Base monetaria]]-C2401)/C2401</f>
        <v>-1.021167093983303E-2</v>
      </c>
      <c r="I2402" s="12">
        <f>(PrincipalesVariables[[#This Row],[Dólar  mayorista]]-E2401)/E2401</f>
        <v>5.9862316671657463E-4</v>
      </c>
      <c r="J2402" s="12">
        <f>(PrincipalesVariables[[#This Row],[Reservas internacionales]]-F2401)/F2401</f>
        <v>-1.9949305294780324E-3</v>
      </c>
    </row>
    <row r="2403" spans="1:10" ht="15.75" thickBot="1" x14ac:dyDescent="0.3">
      <c r="A2403" s="14">
        <v>44516</v>
      </c>
      <c r="B2403" s="15">
        <v>44516</v>
      </c>
      <c r="C2403" s="16">
        <v>3188435</v>
      </c>
      <c r="D2403" s="10">
        <f>PrincipalesVariables[[#This Row],[Base monetaria]]/1000000</f>
        <v>3.1884350000000001</v>
      </c>
      <c r="E2403" s="10">
        <v>100.31</v>
      </c>
      <c r="F2403" s="11">
        <v>42461</v>
      </c>
      <c r="H2403" s="12">
        <f>(PrincipalesVariables[[#This Row],[Base monetaria]]-C2402)/C2402</f>
        <v>-2.4085097474108728E-2</v>
      </c>
      <c r="I2403" s="12">
        <f>(PrincipalesVariables[[#This Row],[Dólar  mayorista]]-E2402)/E2402</f>
        <v>1.9942167713626503E-4</v>
      </c>
      <c r="J2403" s="12">
        <f>(PrincipalesVariables[[#This Row],[Reservas internacionales]]-F2402)/F2402</f>
        <v>-1.458034475460339E-3</v>
      </c>
    </row>
    <row r="2404" spans="1:10" ht="15.75" thickBot="1" x14ac:dyDescent="0.3">
      <c r="A2404" s="14">
        <v>44517</v>
      </c>
      <c r="B2404" s="15">
        <v>44517</v>
      </c>
      <c r="C2404" s="16">
        <v>3190719</v>
      </c>
      <c r="D2404" s="10">
        <f>PrincipalesVariables[[#This Row],[Base monetaria]]/1000000</f>
        <v>3.1907190000000001</v>
      </c>
      <c r="E2404" s="10">
        <v>100.36</v>
      </c>
      <c r="F2404" s="11">
        <v>42500</v>
      </c>
      <c r="H2404" s="12">
        <f>(PrincipalesVariables[[#This Row],[Base monetaria]]-C2403)/C2403</f>
        <v>7.1633889353240698E-4</v>
      </c>
      <c r="I2404" s="12">
        <f>(PrincipalesVariables[[#This Row],[Dólar  mayorista]]-E2403)/E2403</f>
        <v>4.9845479015050498E-4</v>
      </c>
      <c r="J2404" s="12">
        <f>(PrincipalesVariables[[#This Row],[Reservas internacionales]]-F2403)/F2403</f>
        <v>9.1848990838651941E-4</v>
      </c>
    </row>
    <row r="2405" spans="1:10" ht="15.75" thickBot="1" x14ac:dyDescent="0.3">
      <c r="A2405" s="14">
        <v>44518</v>
      </c>
      <c r="B2405" s="15">
        <v>44518</v>
      </c>
      <c r="C2405" s="16">
        <v>3106600</v>
      </c>
      <c r="D2405" s="10">
        <f>PrincipalesVariables[[#This Row],[Base monetaria]]/1000000</f>
        <v>3.1065999999999998</v>
      </c>
      <c r="E2405" s="10">
        <v>100.41</v>
      </c>
      <c r="F2405" s="11">
        <v>42361</v>
      </c>
      <c r="H2405" s="12">
        <f>(PrincipalesVariables[[#This Row],[Base monetaria]]-C2404)/C2404</f>
        <v>-2.6363650324582013E-2</v>
      </c>
      <c r="I2405" s="12">
        <f>(PrincipalesVariables[[#This Row],[Dólar  mayorista]]-E2404)/E2404</f>
        <v>4.9820645675565127E-4</v>
      </c>
      <c r="J2405" s="12">
        <f>(PrincipalesVariables[[#This Row],[Reservas internacionales]]-F2404)/F2404</f>
        <v>-3.2705882352941176E-3</v>
      </c>
    </row>
    <row r="2406" spans="1:10" ht="15.75" thickBot="1" x14ac:dyDescent="0.3">
      <c r="A2406" s="14">
        <v>44519</v>
      </c>
      <c r="B2406" s="15">
        <v>44519</v>
      </c>
      <c r="C2406" s="16">
        <v>3059697</v>
      </c>
      <c r="D2406" s="10">
        <f>PrincipalesVariables[[#This Row],[Base monetaria]]/1000000</f>
        <v>3.0596969999999999</v>
      </c>
      <c r="E2406" s="10">
        <v>100.47</v>
      </c>
      <c r="F2406" s="11">
        <v>42275</v>
      </c>
      <c r="H2406" s="12">
        <f>(PrincipalesVariables[[#This Row],[Base monetaria]]-C2405)/C2405</f>
        <v>-1.5097856177171184E-2</v>
      </c>
      <c r="I2406" s="12">
        <f>(PrincipalesVariables[[#This Row],[Dólar  mayorista]]-E2405)/E2405</f>
        <v>5.9755004481627598E-4</v>
      </c>
      <c r="J2406" s="12">
        <f>(PrincipalesVariables[[#This Row],[Reservas internacionales]]-F2405)/F2405</f>
        <v>-2.0301692594603526E-3</v>
      </c>
    </row>
    <row r="2407" spans="1:10" ht="15.75" thickBot="1" x14ac:dyDescent="0.3">
      <c r="A2407" s="14">
        <v>44523</v>
      </c>
      <c r="B2407" s="15">
        <v>44523</v>
      </c>
      <c r="C2407" s="16">
        <v>3147557</v>
      </c>
      <c r="D2407" s="10">
        <f>PrincipalesVariables[[#This Row],[Base monetaria]]/1000000</f>
        <v>3.1475569999999999</v>
      </c>
      <c r="E2407" s="10">
        <v>100.6</v>
      </c>
      <c r="F2407" s="11">
        <v>42153</v>
      </c>
      <c r="H2407" s="12">
        <f>(PrincipalesVariables[[#This Row],[Base monetaria]]-C2406)/C2406</f>
        <v>2.8715261674603726E-2</v>
      </c>
      <c r="I2407" s="12">
        <f>(PrincipalesVariables[[#This Row],[Dólar  mayorista]]-E2406)/E2406</f>
        <v>1.2939185826614458E-3</v>
      </c>
      <c r="J2407" s="12">
        <f>(PrincipalesVariables[[#This Row],[Reservas internacionales]]-F2406)/F2406</f>
        <v>-2.8858663512714368E-3</v>
      </c>
    </row>
    <row r="2408" spans="1:10" ht="15.75" thickBot="1" x14ac:dyDescent="0.3">
      <c r="A2408" s="14">
        <v>44524</v>
      </c>
      <c r="B2408" s="15">
        <v>44524</v>
      </c>
      <c r="C2408" s="16">
        <v>3163607</v>
      </c>
      <c r="D2408" s="10">
        <f>PrincipalesVariables[[#This Row],[Base monetaria]]/1000000</f>
        <v>3.1636069999999998</v>
      </c>
      <c r="E2408" s="10">
        <v>100.62</v>
      </c>
      <c r="F2408" s="11">
        <v>42233</v>
      </c>
      <c r="H2408" s="12">
        <f>(PrincipalesVariables[[#This Row],[Base monetaria]]-C2407)/C2407</f>
        <v>5.0991928025449582E-3</v>
      </c>
      <c r="I2408" s="12">
        <f>(PrincipalesVariables[[#This Row],[Dólar  mayorista]]-E2407)/E2407</f>
        <v>1.9880715705775581E-4</v>
      </c>
      <c r="J2408" s="12">
        <f>(PrincipalesVariables[[#This Row],[Reservas internacionales]]-F2407)/F2407</f>
        <v>1.8978483144734657E-3</v>
      </c>
    </row>
    <row r="2409" spans="1:10" ht="15.75" thickBot="1" x14ac:dyDescent="0.3">
      <c r="A2409" s="14">
        <v>44525</v>
      </c>
      <c r="B2409" s="15">
        <v>44525</v>
      </c>
      <c r="C2409" s="16">
        <v>3213538</v>
      </c>
      <c r="D2409" s="10">
        <f>PrincipalesVariables[[#This Row],[Base monetaria]]/1000000</f>
        <v>3.2135379999999998</v>
      </c>
      <c r="E2409" s="10">
        <v>100.68</v>
      </c>
      <c r="F2409" s="11">
        <v>42238</v>
      </c>
      <c r="H2409" s="12">
        <f>(PrincipalesVariables[[#This Row],[Base monetaria]]-C2408)/C2408</f>
        <v>1.5782933847345765E-2</v>
      </c>
      <c r="I2409" s="12">
        <f>(PrincipalesVariables[[#This Row],[Dólar  mayorista]]-E2408)/E2408</f>
        <v>5.9630292188433975E-4</v>
      </c>
      <c r="J2409" s="12">
        <f>(PrincipalesVariables[[#This Row],[Reservas internacionales]]-F2408)/F2408</f>
        <v>1.1839083181398432E-4</v>
      </c>
    </row>
    <row r="2410" spans="1:10" ht="15.75" thickBot="1" x14ac:dyDescent="0.3">
      <c r="A2410" s="14">
        <v>44526</v>
      </c>
      <c r="B2410" s="15">
        <v>44526</v>
      </c>
      <c r="C2410" s="16">
        <v>3184239</v>
      </c>
      <c r="D2410" s="10">
        <f>PrincipalesVariables[[#This Row],[Base monetaria]]/1000000</f>
        <v>3.1842389999999998</v>
      </c>
      <c r="E2410" s="10">
        <v>100.76</v>
      </c>
      <c r="F2410" s="11">
        <v>42182</v>
      </c>
      <c r="H2410" s="12">
        <f>(PrincipalesVariables[[#This Row],[Base monetaria]]-C2409)/C2409</f>
        <v>-9.1173653462320974E-3</v>
      </c>
      <c r="I2410" s="12">
        <f>(PrincipalesVariables[[#This Row],[Dólar  mayorista]]-E2409)/E2409</f>
        <v>7.9459674215334015E-4</v>
      </c>
      <c r="J2410" s="12">
        <f>(PrincipalesVariables[[#This Row],[Reservas internacionales]]-F2409)/F2409</f>
        <v>-1.325820351342393E-3</v>
      </c>
    </row>
    <row r="2411" spans="1:10" ht="15.75" thickBot="1" x14ac:dyDescent="0.3">
      <c r="A2411" s="14">
        <v>44529</v>
      </c>
      <c r="B2411" s="15">
        <v>44529</v>
      </c>
      <c r="C2411" s="16">
        <v>3134319</v>
      </c>
      <c r="D2411" s="10">
        <f>PrincipalesVariables[[#This Row],[Base monetaria]]/1000000</f>
        <v>3.1343190000000001</v>
      </c>
      <c r="E2411" s="10">
        <v>100.92</v>
      </c>
      <c r="F2411" s="11">
        <v>42039</v>
      </c>
      <c r="H2411" s="12">
        <f>(PrincipalesVariables[[#This Row],[Base monetaria]]-C2410)/C2410</f>
        <v>-1.5677215183910503E-2</v>
      </c>
      <c r="I2411" s="12">
        <f>(PrincipalesVariables[[#This Row],[Dólar  mayorista]]-E2410)/E2410</f>
        <v>1.5879317189360519E-3</v>
      </c>
      <c r="J2411" s="12">
        <f>(PrincipalesVariables[[#This Row],[Reservas internacionales]]-F2410)/F2410</f>
        <v>-3.3900715945189893E-3</v>
      </c>
    </row>
    <row r="2412" spans="1:10" ht="15.75" thickBot="1" x14ac:dyDescent="0.3">
      <c r="A2412" s="14">
        <v>44530</v>
      </c>
      <c r="B2412" s="15">
        <v>44530</v>
      </c>
      <c r="C2412" s="16">
        <v>3136142</v>
      </c>
      <c r="D2412" s="10">
        <f>PrincipalesVariables[[#This Row],[Base monetaria]]/1000000</f>
        <v>3.136142</v>
      </c>
      <c r="E2412" s="10">
        <v>100.93</v>
      </c>
      <c r="F2412" s="11">
        <v>41530</v>
      </c>
      <c r="H2412" s="12">
        <f>(PrincipalesVariables[[#This Row],[Base monetaria]]-C2411)/C2411</f>
        <v>5.8162554609151142E-4</v>
      </c>
      <c r="I2412" s="12">
        <f>(PrincipalesVariables[[#This Row],[Dólar  mayorista]]-E2411)/E2411</f>
        <v>9.9088386841112919E-5</v>
      </c>
      <c r="J2412" s="12">
        <f>(PrincipalesVariables[[#This Row],[Reservas internacionales]]-F2411)/F2411</f>
        <v>-1.2107804657579867E-2</v>
      </c>
    </row>
    <row r="2413" spans="1:10" ht="15.75" thickBot="1" x14ac:dyDescent="0.3">
      <c r="A2413" s="14">
        <v>44531</v>
      </c>
      <c r="B2413" s="15">
        <v>44531</v>
      </c>
      <c r="C2413" s="16">
        <v>3263055</v>
      </c>
      <c r="D2413" s="10">
        <f>PrincipalesVariables[[#This Row],[Base monetaria]]/1000000</f>
        <v>3.263055</v>
      </c>
      <c r="E2413" s="10">
        <v>101.01</v>
      </c>
      <c r="F2413" s="11">
        <v>41539</v>
      </c>
      <c r="H2413" s="12">
        <f>(PrincipalesVariables[[#This Row],[Base monetaria]]-C2412)/C2412</f>
        <v>4.0467874222532015E-2</v>
      </c>
      <c r="I2413" s="12">
        <f>(PrincipalesVariables[[#This Row],[Dólar  mayorista]]-E2412)/E2412</f>
        <v>7.9262855444365687E-4</v>
      </c>
      <c r="J2413" s="12">
        <f>(PrincipalesVariables[[#This Row],[Reservas internacionales]]-F2412)/F2412</f>
        <v>2.1671081146159402E-4</v>
      </c>
    </row>
    <row r="2414" spans="1:10" ht="15.75" thickBot="1" x14ac:dyDescent="0.3">
      <c r="A2414" s="14">
        <v>44532</v>
      </c>
      <c r="B2414" s="15">
        <v>44532</v>
      </c>
      <c r="C2414" s="16">
        <v>3299781</v>
      </c>
      <c r="D2414" s="10">
        <f>PrincipalesVariables[[#This Row],[Base monetaria]]/1000000</f>
        <v>3.2997809999999999</v>
      </c>
      <c r="E2414" s="10">
        <v>101.07</v>
      </c>
      <c r="F2414" s="11">
        <v>41445</v>
      </c>
      <c r="H2414" s="12">
        <f>(PrincipalesVariables[[#This Row],[Base monetaria]]-C2413)/C2413</f>
        <v>1.1255096834101785E-2</v>
      </c>
      <c r="I2414" s="12">
        <f>(PrincipalesVariables[[#This Row],[Dólar  mayorista]]-E2413)/E2413</f>
        <v>5.9400059400047578E-4</v>
      </c>
      <c r="J2414" s="12">
        <f>(PrincipalesVariables[[#This Row],[Reservas internacionales]]-F2413)/F2413</f>
        <v>-2.2629336286381471E-3</v>
      </c>
    </row>
    <row r="2415" spans="1:10" ht="15.75" thickBot="1" x14ac:dyDescent="0.3">
      <c r="A2415" s="14">
        <v>44533</v>
      </c>
      <c r="B2415" s="15">
        <v>44533</v>
      </c>
      <c r="C2415" s="16">
        <v>3301278</v>
      </c>
      <c r="D2415" s="10">
        <f>PrincipalesVariables[[#This Row],[Base monetaria]]/1000000</f>
        <v>3.3012779999999999</v>
      </c>
      <c r="E2415" s="10">
        <v>101.16</v>
      </c>
      <c r="F2415" s="11">
        <v>41293</v>
      </c>
      <c r="H2415" s="12">
        <f>(PrincipalesVariables[[#This Row],[Base monetaria]]-C2414)/C2414</f>
        <v>4.5366647059304845E-4</v>
      </c>
      <c r="I2415" s="12">
        <f>(PrincipalesVariables[[#This Row],[Dólar  mayorista]]-E2414)/E2414</f>
        <v>8.904719501336046E-4</v>
      </c>
      <c r="J2415" s="12">
        <f>(PrincipalesVariables[[#This Row],[Reservas internacionales]]-F2414)/F2414</f>
        <v>-3.6675111593678371E-3</v>
      </c>
    </row>
    <row r="2416" spans="1:10" ht="15.75" thickBot="1" x14ac:dyDescent="0.3">
      <c r="A2416" s="14">
        <v>44536</v>
      </c>
      <c r="B2416" s="15">
        <v>44536</v>
      </c>
      <c r="C2416" s="16">
        <v>3214145</v>
      </c>
      <c r="D2416" s="10">
        <f>PrincipalesVariables[[#This Row],[Base monetaria]]/1000000</f>
        <v>3.2141449999999998</v>
      </c>
      <c r="E2416" s="10">
        <v>101.32</v>
      </c>
      <c r="F2416" s="11">
        <v>41300</v>
      </c>
      <c r="H2416" s="12">
        <f>(PrincipalesVariables[[#This Row],[Base monetaria]]-C2415)/C2415</f>
        <v>-2.6393717826853721E-2</v>
      </c>
      <c r="I2416" s="12">
        <f>(PrincipalesVariables[[#This Row],[Dólar  mayorista]]-E2415)/E2415</f>
        <v>1.5816528272043951E-3</v>
      </c>
      <c r="J2416" s="12">
        <f>(PrincipalesVariables[[#This Row],[Reservas internacionales]]-F2415)/F2415</f>
        <v>1.6952025767079165E-4</v>
      </c>
    </row>
    <row r="2417" spans="1:10" ht="15.75" thickBot="1" x14ac:dyDescent="0.3">
      <c r="A2417" s="14">
        <v>44537</v>
      </c>
      <c r="B2417" s="15">
        <v>44537</v>
      </c>
      <c r="C2417" s="16">
        <v>3257432</v>
      </c>
      <c r="D2417" s="10">
        <f>PrincipalesVariables[[#This Row],[Base monetaria]]/1000000</f>
        <v>3.2574320000000001</v>
      </c>
      <c r="E2417" s="10">
        <v>101.37</v>
      </c>
      <c r="F2417" s="11">
        <v>41250</v>
      </c>
      <c r="H2417" s="12">
        <f>(PrincipalesVariables[[#This Row],[Base monetaria]]-C2416)/C2416</f>
        <v>1.3467656250729199E-2</v>
      </c>
      <c r="I2417" s="12">
        <f>(PrincipalesVariables[[#This Row],[Dólar  mayorista]]-E2416)/E2416</f>
        <v>4.9348598499813828E-4</v>
      </c>
      <c r="J2417" s="12">
        <f>(PrincipalesVariables[[#This Row],[Reservas internacionales]]-F2416)/F2416</f>
        <v>-1.2106537530266344E-3</v>
      </c>
    </row>
    <row r="2418" spans="1:10" ht="15.75" thickBot="1" x14ac:dyDescent="0.3">
      <c r="A2418" s="14">
        <v>44539</v>
      </c>
      <c r="B2418" s="15">
        <v>44539</v>
      </c>
      <c r="C2418" s="16">
        <v>3392042</v>
      </c>
      <c r="D2418" s="10">
        <f>PrincipalesVariables[[#This Row],[Base monetaria]]/1000000</f>
        <v>3.392042</v>
      </c>
      <c r="E2418" s="10">
        <v>101.51</v>
      </c>
      <c r="F2418" s="11">
        <v>41161</v>
      </c>
      <c r="H2418" s="12">
        <f>(PrincipalesVariables[[#This Row],[Base monetaria]]-C2417)/C2417</f>
        <v>4.132396317098868E-2</v>
      </c>
      <c r="I2418" s="12">
        <f>(PrincipalesVariables[[#This Row],[Dólar  mayorista]]-E2417)/E2417</f>
        <v>1.3810792147578234E-3</v>
      </c>
      <c r="J2418" s="12">
        <f>(PrincipalesVariables[[#This Row],[Reservas internacionales]]-F2417)/F2417</f>
        <v>-2.1575757575757575E-3</v>
      </c>
    </row>
    <row r="2419" spans="1:10" ht="15.75" thickBot="1" x14ac:dyDescent="0.3">
      <c r="A2419" s="14">
        <v>44540</v>
      </c>
      <c r="B2419" s="15">
        <v>44540</v>
      </c>
      <c r="C2419" s="16">
        <v>3376032</v>
      </c>
      <c r="D2419" s="10">
        <f>PrincipalesVariables[[#This Row],[Base monetaria]]/1000000</f>
        <v>3.3760319999999999</v>
      </c>
      <c r="E2419" s="10">
        <v>101.58</v>
      </c>
      <c r="F2419" s="11">
        <v>41181</v>
      </c>
      <c r="H2419" s="12">
        <f>(PrincipalesVariables[[#This Row],[Base monetaria]]-C2418)/C2418</f>
        <v>-4.7198708034865136E-3</v>
      </c>
      <c r="I2419" s="12">
        <f>(PrincipalesVariables[[#This Row],[Dólar  mayorista]]-E2418)/E2418</f>
        <v>6.895872327848801E-4</v>
      </c>
      <c r="J2419" s="12">
        <f>(PrincipalesVariables[[#This Row],[Reservas internacionales]]-F2418)/F2418</f>
        <v>4.8589684409999757E-4</v>
      </c>
    </row>
    <row r="2420" spans="1:10" ht="15.75" thickBot="1" x14ac:dyDescent="0.3">
      <c r="A2420" s="14">
        <v>44543</v>
      </c>
      <c r="B2420" s="15">
        <v>44543</v>
      </c>
      <c r="C2420" s="16">
        <v>3389557</v>
      </c>
      <c r="D2420" s="10">
        <f>PrincipalesVariables[[#This Row],[Base monetaria]]/1000000</f>
        <v>3.3895569999999999</v>
      </c>
      <c r="E2420" s="10">
        <v>101.73</v>
      </c>
      <c r="F2420" s="11">
        <v>41199</v>
      </c>
      <c r="H2420" s="12">
        <f>(PrincipalesVariables[[#This Row],[Base monetaria]]-C2419)/C2419</f>
        <v>4.0061824058539733E-3</v>
      </c>
      <c r="I2420" s="12">
        <f>(PrincipalesVariables[[#This Row],[Dólar  mayorista]]-E2419)/E2419</f>
        <v>1.4766686355582367E-3</v>
      </c>
      <c r="J2420" s="12">
        <f>(PrincipalesVariables[[#This Row],[Reservas internacionales]]-F2419)/F2419</f>
        <v>4.3709477671741821E-4</v>
      </c>
    </row>
    <row r="2421" spans="1:10" ht="15.75" thickBot="1" x14ac:dyDescent="0.3">
      <c r="A2421" s="14">
        <v>44544</v>
      </c>
      <c r="B2421" s="15">
        <v>44544</v>
      </c>
      <c r="C2421" s="16">
        <v>3423739</v>
      </c>
      <c r="D2421" s="10">
        <f>PrincipalesVariables[[#This Row],[Base monetaria]]/1000000</f>
        <v>3.4237389999999999</v>
      </c>
      <c r="E2421" s="10">
        <v>101.77</v>
      </c>
      <c r="F2421" s="11">
        <v>41171</v>
      </c>
      <c r="H2421" s="12">
        <f>(PrincipalesVariables[[#This Row],[Base monetaria]]-C2420)/C2420</f>
        <v>1.0084503668178467E-2</v>
      </c>
      <c r="I2421" s="12">
        <f>(PrincipalesVariables[[#This Row],[Dólar  mayorista]]-E2420)/E2420</f>
        <v>3.9319768013360896E-4</v>
      </c>
      <c r="J2421" s="12">
        <f>(PrincipalesVariables[[#This Row],[Reservas internacionales]]-F2420)/F2420</f>
        <v>-6.7962814631423096E-4</v>
      </c>
    </row>
    <row r="2422" spans="1:10" ht="15.75" thickBot="1" x14ac:dyDescent="0.3">
      <c r="A2422" s="14">
        <v>44545</v>
      </c>
      <c r="B2422" s="15">
        <v>44545</v>
      </c>
      <c r="C2422" s="16">
        <v>3197164</v>
      </c>
      <c r="D2422" s="10">
        <f>PrincipalesVariables[[#This Row],[Base monetaria]]/1000000</f>
        <v>3.1971639999999999</v>
      </c>
      <c r="E2422" s="10">
        <v>101.83</v>
      </c>
      <c r="F2422" s="11">
        <v>41105</v>
      </c>
      <c r="H2422" s="12">
        <f>(PrincipalesVariables[[#This Row],[Base monetaria]]-C2421)/C2421</f>
        <v>-6.6177649639765176E-2</v>
      </c>
      <c r="I2422" s="12">
        <f>(PrincipalesVariables[[#This Row],[Dólar  mayorista]]-E2421)/E2421</f>
        <v>5.8956470472636613E-4</v>
      </c>
      <c r="J2422" s="12">
        <f>(PrincipalesVariables[[#This Row],[Reservas internacionales]]-F2421)/F2421</f>
        <v>-1.6030701221733746E-3</v>
      </c>
    </row>
    <row r="2423" spans="1:10" ht="15.75" thickBot="1" x14ac:dyDescent="0.3">
      <c r="A2423" s="14">
        <v>44546</v>
      </c>
      <c r="B2423" s="15">
        <v>44546</v>
      </c>
      <c r="C2423" s="16">
        <v>3321258</v>
      </c>
      <c r="D2423" s="10">
        <f>PrincipalesVariables[[#This Row],[Base monetaria]]/1000000</f>
        <v>3.3212579999999998</v>
      </c>
      <c r="E2423" s="10">
        <v>101.89</v>
      </c>
      <c r="F2423" s="11">
        <v>41114</v>
      </c>
      <c r="H2423" s="12">
        <f>(PrincipalesVariables[[#This Row],[Base monetaria]]-C2422)/C2422</f>
        <v>3.8813773706947781E-2</v>
      </c>
      <c r="I2423" s="12">
        <f>(PrincipalesVariables[[#This Row],[Dólar  mayorista]]-E2422)/E2422</f>
        <v>5.8921732298931819E-4</v>
      </c>
      <c r="J2423" s="12">
        <f>(PrincipalesVariables[[#This Row],[Reservas internacionales]]-F2422)/F2422</f>
        <v>2.1895146575842355E-4</v>
      </c>
    </row>
    <row r="2424" spans="1:10" ht="15.75" thickBot="1" x14ac:dyDescent="0.3">
      <c r="A2424" s="14">
        <v>44547</v>
      </c>
      <c r="B2424" s="15">
        <v>44547</v>
      </c>
      <c r="C2424" s="16">
        <v>3413244</v>
      </c>
      <c r="D2424" s="10">
        <f>PrincipalesVariables[[#This Row],[Base monetaria]]/1000000</f>
        <v>3.4132440000000002</v>
      </c>
      <c r="E2424" s="10">
        <v>101.97</v>
      </c>
      <c r="F2424" s="11">
        <v>41119</v>
      </c>
      <c r="H2424" s="12">
        <f>(PrincipalesVariables[[#This Row],[Base monetaria]]-C2423)/C2423</f>
        <v>2.7696132007811496E-2</v>
      </c>
      <c r="I2424" s="12">
        <f>(PrincipalesVariables[[#This Row],[Dólar  mayorista]]-E2423)/E2423</f>
        <v>7.8516046717046119E-4</v>
      </c>
      <c r="J2424" s="12">
        <f>(PrincipalesVariables[[#This Row],[Reservas internacionales]]-F2423)/F2423</f>
        <v>1.2161307583791409E-4</v>
      </c>
    </row>
    <row r="2425" spans="1:10" ht="15.75" thickBot="1" x14ac:dyDescent="0.3">
      <c r="A2425" s="14">
        <v>44550</v>
      </c>
      <c r="B2425" s="15">
        <v>44550</v>
      </c>
      <c r="C2425" s="16">
        <v>3393968</v>
      </c>
      <c r="D2425" s="10">
        <f>PrincipalesVariables[[#This Row],[Base monetaria]]/1000000</f>
        <v>3.3939680000000001</v>
      </c>
      <c r="E2425" s="10">
        <v>102.15</v>
      </c>
      <c r="F2425" s="11">
        <v>41107</v>
      </c>
      <c r="H2425" s="12">
        <f>(PrincipalesVariables[[#This Row],[Base monetaria]]-C2424)/C2424</f>
        <v>-5.6474134283983216E-3</v>
      </c>
      <c r="I2425" s="12">
        <f>(PrincipalesVariables[[#This Row],[Dólar  mayorista]]-E2424)/E2424</f>
        <v>1.7652250661960068E-3</v>
      </c>
      <c r="J2425" s="12">
        <f>(PrincipalesVariables[[#This Row],[Reservas internacionales]]-F2424)/F2424</f>
        <v>-2.9183589095065543E-4</v>
      </c>
    </row>
    <row r="2426" spans="1:10" ht="15.75" thickBot="1" x14ac:dyDescent="0.3">
      <c r="A2426" s="14">
        <v>44551</v>
      </c>
      <c r="B2426" s="15">
        <v>44551</v>
      </c>
      <c r="C2426" s="16">
        <v>3405171</v>
      </c>
      <c r="D2426" s="10">
        <f>PrincipalesVariables[[#This Row],[Base monetaria]]/1000000</f>
        <v>3.4051710000000002</v>
      </c>
      <c r="E2426" s="10">
        <v>102.2</v>
      </c>
      <c r="F2426" s="11">
        <v>41110</v>
      </c>
      <c r="H2426" s="12">
        <f>(PrincipalesVariables[[#This Row],[Base monetaria]]-C2425)/C2425</f>
        <v>3.3008561070699545E-3</v>
      </c>
      <c r="I2426" s="12">
        <f>(PrincipalesVariables[[#This Row],[Dólar  mayorista]]-E2425)/E2425</f>
        <v>4.8947626040134271E-4</v>
      </c>
      <c r="J2426" s="12">
        <f>(PrincipalesVariables[[#This Row],[Reservas internacionales]]-F2425)/F2425</f>
        <v>7.2980271000072978E-5</v>
      </c>
    </row>
    <row r="2427" spans="1:10" ht="15.75" thickBot="1" x14ac:dyDescent="0.3">
      <c r="A2427" s="14">
        <v>44552</v>
      </c>
      <c r="B2427" s="15">
        <v>44552</v>
      </c>
      <c r="C2427" s="16">
        <v>3315613</v>
      </c>
      <c r="D2427" s="10">
        <f>PrincipalesVariables[[#This Row],[Base monetaria]]/1000000</f>
        <v>3.3156129999999999</v>
      </c>
      <c r="E2427" s="10">
        <v>102.28</v>
      </c>
      <c r="F2427" s="11">
        <v>39153</v>
      </c>
      <c r="H2427" s="12">
        <f>(PrincipalesVariables[[#This Row],[Base monetaria]]-C2426)/C2426</f>
        <v>-2.6300588134927732E-2</v>
      </c>
      <c r="I2427" s="12">
        <f>(PrincipalesVariables[[#This Row],[Dólar  mayorista]]-E2426)/E2426</f>
        <v>7.8277886497062912E-4</v>
      </c>
      <c r="J2427" s="12">
        <f>(PrincipalesVariables[[#This Row],[Reservas internacionales]]-F2426)/F2426</f>
        <v>-4.7603989297008029E-2</v>
      </c>
    </row>
    <row r="2428" spans="1:10" ht="15.75" thickBot="1" x14ac:dyDescent="0.3">
      <c r="A2428" s="14">
        <v>44553</v>
      </c>
      <c r="B2428" s="15">
        <v>44553</v>
      </c>
      <c r="C2428" s="16">
        <v>3489783</v>
      </c>
      <c r="D2428" s="10">
        <f>PrincipalesVariables[[#This Row],[Base monetaria]]/1000000</f>
        <v>3.4897830000000001</v>
      </c>
      <c r="E2428" s="10">
        <v>102.33</v>
      </c>
      <c r="F2428" s="11">
        <v>39156</v>
      </c>
      <c r="H2428" s="12">
        <f>(PrincipalesVariables[[#This Row],[Base monetaria]]-C2427)/C2427</f>
        <v>5.2530256094423564E-2</v>
      </c>
      <c r="I2428" s="12">
        <f>(PrincipalesVariables[[#This Row],[Dólar  mayorista]]-E2427)/E2427</f>
        <v>4.88854125928795E-4</v>
      </c>
      <c r="J2428" s="12">
        <f>(PrincipalesVariables[[#This Row],[Reservas internacionales]]-F2427)/F2427</f>
        <v>7.6622481035935937E-5</v>
      </c>
    </row>
    <row r="2429" spans="1:10" ht="15.75" thickBot="1" x14ac:dyDescent="0.3">
      <c r="A2429" s="14">
        <v>44557</v>
      </c>
      <c r="B2429" s="15">
        <v>44557</v>
      </c>
      <c r="C2429" s="16">
        <v>3489909</v>
      </c>
      <c r="D2429" s="10">
        <f>PrincipalesVariables[[#This Row],[Base monetaria]]/1000000</f>
        <v>3.4899089999999999</v>
      </c>
      <c r="E2429" s="10">
        <v>102.57</v>
      </c>
      <c r="F2429" s="11">
        <v>39174</v>
      </c>
      <c r="H2429" s="12">
        <f>(PrincipalesVariables[[#This Row],[Base monetaria]]-C2428)/C2428</f>
        <v>3.6105396811205741E-5</v>
      </c>
      <c r="I2429" s="12">
        <f>(PrincipalesVariables[[#This Row],[Dólar  mayorista]]-E2428)/E2428</f>
        <v>2.3453532688360685E-3</v>
      </c>
      <c r="J2429" s="12">
        <f>(PrincipalesVariables[[#This Row],[Reservas internacionales]]-F2428)/F2428</f>
        <v>4.5969966288691386E-4</v>
      </c>
    </row>
    <row r="2430" spans="1:10" ht="15.75" thickBot="1" x14ac:dyDescent="0.3">
      <c r="A2430" s="14">
        <v>44558</v>
      </c>
      <c r="B2430" s="15">
        <v>44558</v>
      </c>
      <c r="C2430" s="16">
        <v>3538734</v>
      </c>
      <c r="D2430" s="10">
        <f>PrincipalesVariables[[#This Row],[Base monetaria]]/1000000</f>
        <v>3.5387339999999998</v>
      </c>
      <c r="E2430" s="10">
        <v>102.62</v>
      </c>
      <c r="F2430" s="11">
        <v>39182</v>
      </c>
      <c r="H2430" s="12">
        <f>(PrincipalesVariables[[#This Row],[Base monetaria]]-C2429)/C2429</f>
        <v>1.3990336137704449E-2</v>
      </c>
      <c r="I2430" s="12">
        <f>(PrincipalesVariables[[#This Row],[Dólar  mayorista]]-E2429)/E2429</f>
        <v>4.8747197036181505E-4</v>
      </c>
      <c r="J2430" s="12">
        <f>(PrincipalesVariables[[#This Row],[Reservas internacionales]]-F2429)/F2429</f>
        <v>2.042170827589728E-4</v>
      </c>
    </row>
    <row r="2431" spans="1:10" ht="15.75" thickBot="1" x14ac:dyDescent="0.3">
      <c r="A2431" s="14">
        <v>44559</v>
      </c>
      <c r="B2431" s="15">
        <v>44559</v>
      </c>
      <c r="C2431" s="16">
        <v>3531006</v>
      </c>
      <c r="D2431" s="10">
        <f>PrincipalesVariables[[#This Row],[Base monetaria]]/1000000</f>
        <v>3.5310060000000001</v>
      </c>
      <c r="E2431" s="10">
        <v>102.69</v>
      </c>
      <c r="F2431" s="11">
        <v>39127</v>
      </c>
      <c r="H2431" s="12">
        <f>(PrincipalesVariables[[#This Row],[Base monetaria]]-C2430)/C2430</f>
        <v>-2.1838318449479391E-3</v>
      </c>
      <c r="I2431" s="12">
        <f>(PrincipalesVariables[[#This Row],[Dólar  mayorista]]-E2430)/E2430</f>
        <v>6.8212824010907406E-4</v>
      </c>
      <c r="J2431" s="12">
        <f>(PrincipalesVariables[[#This Row],[Reservas internacionales]]-F2430)/F2430</f>
        <v>-1.403705783267827E-3</v>
      </c>
    </row>
    <row r="2432" spans="1:10" ht="15.75" thickBot="1" x14ac:dyDescent="0.3">
      <c r="A2432" s="14">
        <v>44560</v>
      </c>
      <c r="B2432" s="15">
        <v>44560</v>
      </c>
      <c r="C2432" s="16">
        <v>3654036</v>
      </c>
      <c r="D2432" s="10">
        <f>PrincipalesVariables[[#This Row],[Base monetaria]]/1000000</f>
        <v>3.6540360000000001</v>
      </c>
      <c r="E2432" s="10">
        <v>102.75</v>
      </c>
      <c r="F2432" s="11">
        <v>39662</v>
      </c>
      <c r="H2432" s="12">
        <f>(PrincipalesVariables[[#This Row],[Base monetaria]]-C2431)/C2431</f>
        <v>3.4842761524619327E-2</v>
      </c>
      <c r="I2432" s="12">
        <f>(PrincipalesVariables[[#This Row],[Dólar  mayorista]]-E2431)/E2431</f>
        <v>5.8428279287177213E-4</v>
      </c>
      <c r="J2432" s="12">
        <f>(PrincipalesVariables[[#This Row],[Reservas internacionales]]-F2431)/F2431</f>
        <v>1.3673422444859048E-2</v>
      </c>
    </row>
    <row r="2433" spans="1:10" ht="15.75" thickBot="1" x14ac:dyDescent="0.3">
      <c r="A2433" s="14">
        <v>44564</v>
      </c>
      <c r="B2433" s="15">
        <v>44564</v>
      </c>
      <c r="C2433" s="16">
        <v>3922697</v>
      </c>
      <c r="D2433" s="10">
        <f>PrincipalesVariables[[#This Row],[Base monetaria]]/1000000</f>
        <v>3.9226969999999999</v>
      </c>
      <c r="E2433" s="10">
        <v>103.04</v>
      </c>
      <c r="F2433" s="11">
        <v>39596</v>
      </c>
      <c r="H2433" s="12">
        <f>(PrincipalesVariables[[#This Row],[Base monetaria]]-C2432)/C2432</f>
        <v>7.3524453508394552E-2</v>
      </c>
      <c r="I2433" s="12">
        <f>(PrincipalesVariables[[#This Row],[Dólar  mayorista]]-E2432)/E2432</f>
        <v>2.822384428223905E-3</v>
      </c>
      <c r="J2433" s="12">
        <f>(PrincipalesVariables[[#This Row],[Reservas internacionales]]-F2432)/F2432</f>
        <v>-1.6640613181382684E-3</v>
      </c>
    </row>
    <row r="2434" spans="1:10" ht="15.75" thickBot="1" x14ac:dyDescent="0.3">
      <c r="A2434" s="14">
        <v>44565</v>
      </c>
      <c r="B2434" s="15">
        <v>44565</v>
      </c>
      <c r="C2434" s="16">
        <v>3851298</v>
      </c>
      <c r="D2434" s="10">
        <f>PrincipalesVariables[[#This Row],[Base monetaria]]/1000000</f>
        <v>3.8512979999999999</v>
      </c>
      <c r="E2434" s="10">
        <v>103.08</v>
      </c>
      <c r="F2434" s="11">
        <v>39575</v>
      </c>
      <c r="H2434" s="12">
        <f>(PrincipalesVariables[[#This Row],[Base monetaria]]-C2433)/C2433</f>
        <v>-1.8201507789156288E-2</v>
      </c>
      <c r="I2434" s="12">
        <f>(PrincipalesVariables[[#This Row],[Dólar  mayorista]]-E2433)/E2433</f>
        <v>3.8819875776389788E-4</v>
      </c>
      <c r="J2434" s="12">
        <f>(PrincipalesVariables[[#This Row],[Reservas internacionales]]-F2433)/F2433</f>
        <v>-5.3035660167693706E-4</v>
      </c>
    </row>
    <row r="2435" spans="1:10" ht="15.75" thickBot="1" x14ac:dyDescent="0.3">
      <c r="A2435" s="14">
        <v>44566</v>
      </c>
      <c r="B2435" s="15">
        <v>44566</v>
      </c>
      <c r="C2435" s="16">
        <v>3950424</v>
      </c>
      <c r="D2435" s="10">
        <f>PrincipalesVariables[[#This Row],[Base monetaria]]/1000000</f>
        <v>3.9504239999999999</v>
      </c>
      <c r="E2435" s="10">
        <v>103.15</v>
      </c>
      <c r="F2435" s="11">
        <v>39587</v>
      </c>
      <c r="H2435" s="12">
        <f>(PrincipalesVariables[[#This Row],[Base monetaria]]-C2434)/C2434</f>
        <v>2.5738335491047433E-2</v>
      </c>
      <c r="I2435" s="12">
        <f>(PrincipalesVariables[[#This Row],[Dólar  mayorista]]-E2434)/E2434</f>
        <v>6.7908420644167045E-4</v>
      </c>
      <c r="J2435" s="12">
        <f>(PrincipalesVariables[[#This Row],[Reservas internacionales]]-F2434)/F2434</f>
        <v>3.0322173089071384E-4</v>
      </c>
    </row>
    <row r="2436" spans="1:10" ht="15.75" thickBot="1" x14ac:dyDescent="0.3">
      <c r="A2436" s="14">
        <v>44567</v>
      </c>
      <c r="B2436" s="15">
        <v>44567</v>
      </c>
      <c r="C2436" s="16">
        <v>4326335</v>
      </c>
      <c r="D2436" s="10">
        <f>PrincipalesVariables[[#This Row],[Base monetaria]]/1000000</f>
        <v>4.3263350000000003</v>
      </c>
      <c r="E2436" s="10">
        <v>103.23</v>
      </c>
      <c r="F2436" s="11">
        <v>39466</v>
      </c>
      <c r="H2436" s="12">
        <f>(PrincipalesVariables[[#This Row],[Base monetaria]]-C2435)/C2435</f>
        <v>9.5157127437459882E-2</v>
      </c>
      <c r="I2436" s="12">
        <f>(PrincipalesVariables[[#This Row],[Dólar  mayorista]]-E2435)/E2435</f>
        <v>7.755695588947968E-4</v>
      </c>
      <c r="J2436" s="12">
        <f>(PrincipalesVariables[[#This Row],[Reservas internacionales]]-F2435)/F2435</f>
        <v>-3.0565589713794934E-3</v>
      </c>
    </row>
    <row r="2437" spans="1:10" ht="15.75" thickBot="1" x14ac:dyDescent="0.3">
      <c r="A2437" s="14">
        <v>44568</v>
      </c>
      <c r="B2437" s="15">
        <v>44568</v>
      </c>
      <c r="C2437" s="16">
        <v>3761928</v>
      </c>
      <c r="D2437" s="10">
        <f>PrincipalesVariables[[#This Row],[Base monetaria]]/1000000</f>
        <v>3.7619280000000002</v>
      </c>
      <c r="E2437" s="10">
        <v>103.29</v>
      </c>
      <c r="F2437" s="11">
        <v>39122</v>
      </c>
      <c r="H2437" s="12">
        <f>(PrincipalesVariables[[#This Row],[Base monetaria]]-C2436)/C2436</f>
        <v>-0.13045845964309283</v>
      </c>
      <c r="I2437" s="12">
        <f>(PrincipalesVariables[[#This Row],[Dólar  mayorista]]-E2436)/E2436</f>
        <v>5.8122638767802261E-4</v>
      </c>
      <c r="J2437" s="12">
        <f>(PrincipalesVariables[[#This Row],[Reservas internacionales]]-F2436)/F2436</f>
        <v>-8.7163634520853392E-3</v>
      </c>
    </row>
    <row r="2438" spans="1:10" ht="15.75" thickBot="1" x14ac:dyDescent="0.3">
      <c r="A2438" s="14">
        <v>44571</v>
      </c>
      <c r="B2438" s="15">
        <v>44571</v>
      </c>
      <c r="C2438" s="16">
        <v>3780254</v>
      </c>
      <c r="D2438" s="10">
        <f>PrincipalesVariables[[#This Row],[Base monetaria]]/1000000</f>
        <v>3.7802539999999998</v>
      </c>
      <c r="E2438" s="10">
        <v>103.51</v>
      </c>
      <c r="F2438" s="11">
        <v>39172</v>
      </c>
      <c r="H2438" s="12">
        <f>(PrincipalesVariables[[#This Row],[Base monetaria]]-C2437)/C2437</f>
        <v>4.8714382625079482E-3</v>
      </c>
      <c r="I2438" s="12">
        <f>(PrincipalesVariables[[#This Row],[Dólar  mayorista]]-E2437)/E2437</f>
        <v>2.1299254526091476E-3</v>
      </c>
      <c r="J2438" s="12">
        <f>(PrincipalesVariables[[#This Row],[Reservas internacionales]]-F2437)/F2437</f>
        <v>1.2780532692602629E-3</v>
      </c>
    </row>
    <row r="2439" spans="1:10" ht="15.75" thickBot="1" x14ac:dyDescent="0.3">
      <c r="A2439" s="14">
        <v>44572</v>
      </c>
      <c r="B2439" s="15">
        <v>44572</v>
      </c>
      <c r="C2439" s="16">
        <v>3569643</v>
      </c>
      <c r="D2439" s="10">
        <f>PrincipalesVariables[[#This Row],[Base monetaria]]/1000000</f>
        <v>3.5696430000000001</v>
      </c>
      <c r="E2439" s="10">
        <v>103.58</v>
      </c>
      <c r="F2439" s="11">
        <v>39191</v>
      </c>
      <c r="H2439" s="12">
        <f>(PrincipalesVariables[[#This Row],[Base monetaria]]-C2438)/C2438</f>
        <v>-5.5713452059041532E-2</v>
      </c>
      <c r="I2439" s="12">
        <f>(PrincipalesVariables[[#This Row],[Dólar  mayorista]]-E2438)/E2438</f>
        <v>6.7626316297935633E-4</v>
      </c>
      <c r="J2439" s="12">
        <f>(PrincipalesVariables[[#This Row],[Reservas internacionales]]-F2438)/F2438</f>
        <v>4.8504033493311548E-4</v>
      </c>
    </row>
    <row r="2440" spans="1:10" ht="15.75" thickBot="1" x14ac:dyDescent="0.3">
      <c r="A2440" s="14">
        <v>44573</v>
      </c>
      <c r="B2440" s="15">
        <v>44573</v>
      </c>
      <c r="C2440" s="16">
        <v>3602002</v>
      </c>
      <c r="D2440" s="10">
        <f>PrincipalesVariables[[#This Row],[Base monetaria]]/1000000</f>
        <v>3.6020020000000001</v>
      </c>
      <c r="E2440" s="10">
        <v>103.64</v>
      </c>
      <c r="F2440" s="11">
        <v>39200</v>
      </c>
      <c r="H2440" s="12">
        <f>(PrincipalesVariables[[#This Row],[Base monetaria]]-C2439)/C2439</f>
        <v>9.065052163479654E-3</v>
      </c>
      <c r="I2440" s="12">
        <f>(PrincipalesVariables[[#This Row],[Dólar  mayorista]]-E2439)/E2439</f>
        <v>5.7926240586988098E-4</v>
      </c>
      <c r="J2440" s="12">
        <f>(PrincipalesVariables[[#This Row],[Reservas internacionales]]-F2439)/F2439</f>
        <v>2.296445612513077E-4</v>
      </c>
    </row>
    <row r="2441" spans="1:10" ht="15.75" thickBot="1" x14ac:dyDescent="0.3">
      <c r="A2441" s="14">
        <v>44574</v>
      </c>
      <c r="B2441" s="15">
        <v>44574</v>
      </c>
      <c r="C2441" s="16">
        <v>3521623</v>
      </c>
      <c r="D2441" s="10">
        <f>PrincipalesVariables[[#This Row],[Base monetaria]]/1000000</f>
        <v>3.5216229999999999</v>
      </c>
      <c r="E2441" s="10">
        <v>103.74</v>
      </c>
      <c r="F2441" s="11">
        <v>39205</v>
      </c>
      <c r="H2441" s="12">
        <f>(PrincipalesVariables[[#This Row],[Base monetaria]]-C2440)/C2440</f>
        <v>-2.2315090330321859E-2</v>
      </c>
      <c r="I2441" s="12">
        <f>(PrincipalesVariables[[#This Row],[Dólar  mayorista]]-E2440)/E2440</f>
        <v>9.6487842531835504E-4</v>
      </c>
      <c r="J2441" s="12">
        <f>(PrincipalesVariables[[#This Row],[Reservas internacionales]]-F2440)/F2440</f>
        <v>1.2755102040816328E-4</v>
      </c>
    </row>
    <row r="2442" spans="1:10" ht="15.75" thickBot="1" x14ac:dyDescent="0.3">
      <c r="A2442" s="14">
        <v>44575</v>
      </c>
      <c r="B2442" s="15">
        <v>44575</v>
      </c>
      <c r="C2442" s="16">
        <v>3644760</v>
      </c>
      <c r="D2442" s="10">
        <f>PrincipalesVariables[[#This Row],[Base monetaria]]/1000000</f>
        <v>3.6447600000000002</v>
      </c>
      <c r="E2442" s="10">
        <v>103.85</v>
      </c>
      <c r="F2442" s="11">
        <v>39133</v>
      </c>
      <c r="H2442" s="12">
        <f>(PrincipalesVariables[[#This Row],[Base monetaria]]-C2441)/C2441</f>
        <v>3.4965980174482048E-2</v>
      </c>
      <c r="I2442" s="12">
        <f>(PrincipalesVariables[[#This Row],[Dólar  mayorista]]-E2441)/E2441</f>
        <v>1.060343165606318E-3</v>
      </c>
      <c r="J2442" s="12">
        <f>(PrincipalesVariables[[#This Row],[Reservas internacionales]]-F2441)/F2441</f>
        <v>-1.8365004463716363E-3</v>
      </c>
    </row>
    <row r="2443" spans="1:10" ht="15.75" thickBot="1" x14ac:dyDescent="0.3">
      <c r="A2443" s="14">
        <v>44578</v>
      </c>
      <c r="B2443" s="15">
        <v>44578</v>
      </c>
      <c r="C2443" s="16">
        <v>3772372</v>
      </c>
      <c r="D2443" s="10">
        <f>PrincipalesVariables[[#This Row],[Base monetaria]]/1000000</f>
        <v>3.7723719999999998</v>
      </c>
      <c r="E2443" s="10">
        <v>104.07</v>
      </c>
      <c r="F2443" s="11">
        <v>39141</v>
      </c>
      <c r="H2443" s="12">
        <f>(PrincipalesVariables[[#This Row],[Base monetaria]]-C2442)/C2442</f>
        <v>3.5012456238545202E-2</v>
      </c>
      <c r="I2443" s="12">
        <f>(PrincipalesVariables[[#This Row],[Dólar  mayorista]]-E2442)/E2442</f>
        <v>2.1184400577756272E-3</v>
      </c>
      <c r="J2443" s="12">
        <f>(PrincipalesVariables[[#This Row],[Reservas internacionales]]-F2442)/F2442</f>
        <v>2.0443104285385735E-4</v>
      </c>
    </row>
    <row r="2444" spans="1:10" ht="15.75" thickBot="1" x14ac:dyDescent="0.3">
      <c r="A2444" s="14">
        <v>44579</v>
      </c>
      <c r="B2444" s="15">
        <v>44579</v>
      </c>
      <c r="C2444" s="16">
        <v>3602872</v>
      </c>
      <c r="D2444" s="10">
        <f>PrincipalesVariables[[#This Row],[Base monetaria]]/1000000</f>
        <v>3.6028720000000001</v>
      </c>
      <c r="E2444" s="10">
        <v>104.19</v>
      </c>
      <c r="F2444" s="11">
        <v>39091</v>
      </c>
      <c r="H2444" s="12">
        <f>(PrincipalesVariables[[#This Row],[Base monetaria]]-C2443)/C2443</f>
        <v>-4.4931942024805611E-2</v>
      </c>
      <c r="I2444" s="12">
        <f>(PrincipalesVariables[[#This Row],[Dólar  mayorista]]-E2443)/E2443</f>
        <v>1.153070049005521E-3</v>
      </c>
      <c r="J2444" s="12">
        <f>(PrincipalesVariables[[#This Row],[Reservas internacionales]]-F2443)/F2443</f>
        <v>-1.2774328709026341E-3</v>
      </c>
    </row>
    <row r="2445" spans="1:10" ht="15.75" thickBot="1" x14ac:dyDescent="0.3">
      <c r="A2445" s="14">
        <v>44580</v>
      </c>
      <c r="B2445" s="15">
        <v>44580</v>
      </c>
      <c r="C2445" s="16">
        <v>3588642</v>
      </c>
      <c r="D2445" s="10">
        <f>PrincipalesVariables[[#This Row],[Base monetaria]]/1000000</f>
        <v>3.5886420000000001</v>
      </c>
      <c r="E2445" s="10">
        <v>104.24</v>
      </c>
      <c r="F2445" s="11">
        <v>39033</v>
      </c>
      <c r="H2445" s="12">
        <f>(PrincipalesVariables[[#This Row],[Base monetaria]]-C2444)/C2444</f>
        <v>-3.949626853243746E-3</v>
      </c>
      <c r="I2445" s="12">
        <f>(PrincipalesVariables[[#This Row],[Dólar  mayorista]]-E2444)/E2444</f>
        <v>4.7989250407905903E-4</v>
      </c>
      <c r="J2445" s="12">
        <f>(PrincipalesVariables[[#This Row],[Reservas internacionales]]-F2444)/F2444</f>
        <v>-1.4837174797267913E-3</v>
      </c>
    </row>
    <row r="2446" spans="1:10" ht="15.75" thickBot="1" x14ac:dyDescent="0.3">
      <c r="A2446" s="14">
        <v>44581</v>
      </c>
      <c r="B2446" s="15">
        <v>44581</v>
      </c>
      <c r="C2446" s="16">
        <v>3546894</v>
      </c>
      <c r="D2446" s="10">
        <f>PrincipalesVariables[[#This Row],[Base monetaria]]/1000000</f>
        <v>3.546894</v>
      </c>
      <c r="E2446" s="10">
        <v>104.3</v>
      </c>
      <c r="F2446" s="11">
        <v>38944</v>
      </c>
      <c r="H2446" s="12">
        <f>(PrincipalesVariables[[#This Row],[Base monetaria]]-C2445)/C2445</f>
        <v>-1.1633369948855304E-2</v>
      </c>
      <c r="I2446" s="12">
        <f>(PrincipalesVariables[[#This Row],[Dólar  mayorista]]-E2445)/E2445</f>
        <v>5.7559478127400493E-4</v>
      </c>
      <c r="J2446" s="12">
        <f>(PrincipalesVariables[[#This Row],[Reservas internacionales]]-F2445)/F2445</f>
        <v>-2.2801219480952017E-3</v>
      </c>
    </row>
    <row r="2447" spans="1:10" ht="15.75" thickBot="1" x14ac:dyDescent="0.3">
      <c r="A2447" s="14">
        <v>44582</v>
      </c>
      <c r="B2447" s="15">
        <v>44582</v>
      </c>
      <c r="C2447" s="16">
        <v>3547947</v>
      </c>
      <c r="D2447" s="10">
        <f>PrincipalesVariables[[#This Row],[Base monetaria]]/1000000</f>
        <v>3.5479470000000002</v>
      </c>
      <c r="E2447" s="10">
        <v>104.35</v>
      </c>
      <c r="F2447" s="11">
        <v>38945</v>
      </c>
      <c r="H2447" s="12">
        <f>(PrincipalesVariables[[#This Row],[Base monetaria]]-C2446)/C2446</f>
        <v>2.9687946693642383E-4</v>
      </c>
      <c r="I2447" s="12">
        <f>(PrincipalesVariables[[#This Row],[Dólar  mayorista]]-E2446)/E2446</f>
        <v>4.7938638542662664E-4</v>
      </c>
      <c r="J2447" s="12">
        <f>(PrincipalesVariables[[#This Row],[Reservas internacionales]]-F2446)/F2446</f>
        <v>2.5677896466721445E-5</v>
      </c>
    </row>
    <row r="2448" spans="1:10" ht="15.75" thickBot="1" x14ac:dyDescent="0.3">
      <c r="A2448" s="14">
        <v>44585</v>
      </c>
      <c r="B2448" s="15">
        <v>44585</v>
      </c>
      <c r="C2448" s="16">
        <v>3659413</v>
      </c>
      <c r="D2448" s="10">
        <f>PrincipalesVariables[[#This Row],[Base monetaria]]/1000000</f>
        <v>3.6594129999999998</v>
      </c>
      <c r="E2448" s="10">
        <v>104.53</v>
      </c>
      <c r="F2448" s="11">
        <v>38951</v>
      </c>
      <c r="H2448" s="12">
        <f>(PrincipalesVariables[[#This Row],[Base monetaria]]-C2447)/C2447</f>
        <v>3.1417042024584924E-2</v>
      </c>
      <c r="I2448" s="12">
        <f>(PrincipalesVariables[[#This Row],[Dólar  mayorista]]-E2447)/E2447</f>
        <v>1.7249640632487479E-3</v>
      </c>
      <c r="J2448" s="12">
        <f>(PrincipalesVariables[[#This Row],[Reservas internacionales]]-F2447)/F2447</f>
        <v>1.5406342277570934E-4</v>
      </c>
    </row>
    <row r="2449" spans="1:10" ht="15.75" thickBot="1" x14ac:dyDescent="0.3">
      <c r="A2449" s="14">
        <v>44586</v>
      </c>
      <c r="B2449" s="15">
        <v>44586</v>
      </c>
      <c r="C2449" s="16">
        <v>3609733</v>
      </c>
      <c r="D2449" s="10">
        <f>PrincipalesVariables[[#This Row],[Base monetaria]]/1000000</f>
        <v>3.6097329999999999</v>
      </c>
      <c r="E2449" s="10">
        <v>104.6</v>
      </c>
      <c r="F2449" s="11">
        <v>38952</v>
      </c>
      <c r="H2449" s="12">
        <f>(PrincipalesVariables[[#This Row],[Base monetaria]]-C2448)/C2448</f>
        <v>-1.3575947836442621E-2</v>
      </c>
      <c r="I2449" s="12">
        <f>(PrincipalesVariables[[#This Row],[Dólar  mayorista]]-E2448)/E2448</f>
        <v>6.6966421123116021E-4</v>
      </c>
      <c r="J2449" s="12">
        <f>(PrincipalesVariables[[#This Row],[Reservas internacionales]]-F2448)/F2448</f>
        <v>2.5673281815614491E-5</v>
      </c>
    </row>
    <row r="2450" spans="1:10" ht="15.75" thickBot="1" x14ac:dyDescent="0.3">
      <c r="A2450" s="14">
        <v>44587</v>
      </c>
      <c r="B2450" s="15">
        <v>44587</v>
      </c>
      <c r="C2450" s="16">
        <v>3620102</v>
      </c>
      <c r="D2450" s="10">
        <f>PrincipalesVariables[[#This Row],[Base monetaria]]/1000000</f>
        <v>3.6201020000000002</v>
      </c>
      <c r="E2450" s="10">
        <v>104.68</v>
      </c>
      <c r="F2450" s="11">
        <v>38872</v>
      </c>
      <c r="H2450" s="12">
        <f>(PrincipalesVariables[[#This Row],[Base monetaria]]-C2449)/C2449</f>
        <v>2.8725116234358606E-3</v>
      </c>
      <c r="I2450" s="12">
        <f>(PrincipalesVariables[[#This Row],[Dólar  mayorista]]-E2449)/E2449</f>
        <v>7.6481835564065495E-4</v>
      </c>
      <c r="J2450" s="12">
        <f>(PrincipalesVariables[[#This Row],[Reservas internacionales]]-F2449)/F2449</f>
        <v>-2.0538098172109263E-3</v>
      </c>
    </row>
    <row r="2451" spans="1:10" ht="15.75" thickBot="1" x14ac:dyDescent="0.3">
      <c r="A2451" s="14">
        <v>44588</v>
      </c>
      <c r="B2451" s="15">
        <v>44588</v>
      </c>
      <c r="C2451" s="16">
        <v>3597892</v>
      </c>
      <c r="D2451" s="10">
        <f>PrincipalesVariables[[#This Row],[Base monetaria]]/1000000</f>
        <v>3.5978919999999999</v>
      </c>
      <c r="E2451" s="10">
        <v>104.76</v>
      </c>
      <c r="F2451" s="11">
        <v>38517</v>
      </c>
      <c r="H2451" s="12">
        <f>(PrincipalesVariables[[#This Row],[Base monetaria]]-C2450)/C2450</f>
        <v>-6.1351862461333966E-3</v>
      </c>
      <c r="I2451" s="12">
        <f>(PrincipalesVariables[[#This Row],[Dólar  mayorista]]-E2450)/E2450</f>
        <v>7.6423385555978492E-4</v>
      </c>
      <c r="J2451" s="12">
        <f>(PrincipalesVariables[[#This Row],[Reservas internacionales]]-F2450)/F2450</f>
        <v>-9.1325375591685531E-3</v>
      </c>
    </row>
    <row r="2452" spans="1:10" ht="15.75" thickBot="1" x14ac:dyDescent="0.3">
      <c r="A2452" s="14">
        <v>44589</v>
      </c>
      <c r="B2452" s="15">
        <v>44589</v>
      </c>
      <c r="C2452" s="16">
        <v>3643133</v>
      </c>
      <c r="D2452" s="10">
        <f>PrincipalesVariables[[#This Row],[Base monetaria]]/1000000</f>
        <v>3.6431330000000002</v>
      </c>
      <c r="E2452" s="10">
        <v>104.83</v>
      </c>
      <c r="F2452" s="11">
        <v>37622</v>
      </c>
      <c r="H2452" s="12">
        <f>(PrincipalesVariables[[#This Row],[Base monetaria]]-C2451)/C2451</f>
        <v>1.2574307399999778E-2</v>
      </c>
      <c r="I2452" s="12">
        <f>(PrincipalesVariables[[#This Row],[Dólar  mayorista]]-E2451)/E2451</f>
        <v>6.6819396716297414E-4</v>
      </c>
      <c r="J2452" s="12">
        <f>(PrincipalesVariables[[#This Row],[Reservas internacionales]]-F2451)/F2451</f>
        <v>-2.3236492977126984E-2</v>
      </c>
    </row>
    <row r="2453" spans="1:10" ht="15.75" thickBot="1" x14ac:dyDescent="0.3">
      <c r="A2453" s="14">
        <v>44592</v>
      </c>
      <c r="B2453" s="15">
        <v>44592</v>
      </c>
      <c r="C2453" s="16">
        <v>3631047</v>
      </c>
      <c r="D2453" s="10">
        <f>PrincipalesVariables[[#This Row],[Base monetaria]]/1000000</f>
        <v>3.6310470000000001</v>
      </c>
      <c r="E2453" s="10">
        <v>105.02</v>
      </c>
      <c r="F2453" s="11">
        <v>37589</v>
      </c>
      <c r="H2453" s="12">
        <f>(PrincipalesVariables[[#This Row],[Base monetaria]]-C2452)/C2452</f>
        <v>-3.3174742728305554E-3</v>
      </c>
      <c r="I2453" s="12">
        <f>(PrincipalesVariables[[#This Row],[Dólar  mayorista]]-E2452)/E2452</f>
        <v>1.8124582657635957E-3</v>
      </c>
      <c r="J2453" s="12">
        <f>(PrincipalesVariables[[#This Row],[Reservas internacionales]]-F2452)/F2452</f>
        <v>-8.7714635053957792E-4</v>
      </c>
    </row>
    <row r="2454" spans="1:10" ht="15.75" thickBot="1" x14ac:dyDescent="0.3">
      <c r="A2454" s="14">
        <v>44593</v>
      </c>
      <c r="B2454" s="15">
        <v>44593</v>
      </c>
      <c r="C2454" s="16">
        <v>3880988</v>
      </c>
      <c r="D2454" s="10">
        <f>PrincipalesVariables[[#This Row],[Base monetaria]]/1000000</f>
        <v>3.8809879999999999</v>
      </c>
      <c r="E2454" s="10">
        <v>105.14</v>
      </c>
      <c r="F2454" s="11">
        <v>37560</v>
      </c>
      <c r="H2454" s="12">
        <f>(PrincipalesVariables[[#This Row],[Base monetaria]]-C2453)/C2453</f>
        <v>6.8834416078888544E-2</v>
      </c>
      <c r="I2454" s="12">
        <f>(PrincipalesVariables[[#This Row],[Dólar  mayorista]]-E2453)/E2453</f>
        <v>1.1426394972386645E-3</v>
      </c>
      <c r="J2454" s="12">
        <f>(PrincipalesVariables[[#This Row],[Reservas internacionales]]-F2453)/F2453</f>
        <v>-7.715023012051398E-4</v>
      </c>
    </row>
    <row r="2455" spans="1:10" ht="15.75" thickBot="1" x14ac:dyDescent="0.3">
      <c r="A2455" s="14">
        <v>44594</v>
      </c>
      <c r="B2455" s="15">
        <v>44594</v>
      </c>
      <c r="C2455" s="16">
        <v>3857121</v>
      </c>
      <c r="D2455" s="10">
        <f>PrincipalesVariables[[#This Row],[Base monetaria]]/1000000</f>
        <v>3.8571209999999998</v>
      </c>
      <c r="E2455" s="10">
        <v>105.22</v>
      </c>
      <c r="F2455" s="11">
        <v>37562</v>
      </c>
      <c r="H2455" s="12">
        <f>(PrincipalesVariables[[#This Row],[Base monetaria]]-C2454)/C2454</f>
        <v>-6.1497226994775556E-3</v>
      </c>
      <c r="I2455" s="12">
        <f>(PrincipalesVariables[[#This Row],[Dólar  mayorista]]-E2454)/E2454</f>
        <v>7.6089024158263548E-4</v>
      </c>
      <c r="J2455" s="12">
        <f>(PrincipalesVariables[[#This Row],[Reservas internacionales]]-F2454)/F2454</f>
        <v>5.3248136315228964E-5</v>
      </c>
    </row>
    <row r="2456" spans="1:10" ht="15.75" thickBot="1" x14ac:dyDescent="0.3">
      <c r="A2456" s="14">
        <v>44595</v>
      </c>
      <c r="B2456" s="15">
        <v>44595</v>
      </c>
      <c r="C2456" s="16">
        <v>3729270</v>
      </c>
      <c r="D2456" s="10">
        <f>PrincipalesVariables[[#This Row],[Base monetaria]]/1000000</f>
        <v>3.7292700000000001</v>
      </c>
      <c r="E2456" s="10">
        <v>105.31</v>
      </c>
      <c r="F2456" s="11">
        <v>37565</v>
      </c>
      <c r="H2456" s="12">
        <f>(PrincipalesVariables[[#This Row],[Base monetaria]]-C2455)/C2455</f>
        <v>-3.3146743387101413E-2</v>
      </c>
      <c r="I2456" s="12">
        <f>(PrincipalesVariables[[#This Row],[Dólar  mayorista]]-E2455)/E2455</f>
        <v>8.5535069378448402E-4</v>
      </c>
      <c r="J2456" s="12">
        <f>(PrincipalesVariables[[#This Row],[Reservas internacionales]]-F2455)/F2455</f>
        <v>7.9867951653266592E-5</v>
      </c>
    </row>
    <row r="2457" spans="1:10" ht="15.75" thickBot="1" x14ac:dyDescent="0.3">
      <c r="A2457" s="14">
        <v>44596</v>
      </c>
      <c r="B2457" s="15">
        <v>44596</v>
      </c>
      <c r="C2457" s="16">
        <v>3705419</v>
      </c>
      <c r="D2457" s="10">
        <f>PrincipalesVariables[[#This Row],[Base monetaria]]/1000000</f>
        <v>3.705419</v>
      </c>
      <c r="E2457" s="10">
        <v>105.42</v>
      </c>
      <c r="F2457" s="11">
        <v>37189</v>
      </c>
      <c r="H2457" s="12">
        <f>(PrincipalesVariables[[#This Row],[Base monetaria]]-C2456)/C2456</f>
        <v>-6.3956216632209519E-3</v>
      </c>
      <c r="I2457" s="12">
        <f>(PrincipalesVariables[[#This Row],[Dólar  mayorista]]-E2456)/E2456</f>
        <v>1.044535181844074E-3</v>
      </c>
      <c r="J2457" s="12">
        <f>(PrincipalesVariables[[#This Row],[Reservas internacionales]]-F2456)/F2456</f>
        <v>-1.0009317183548515E-2</v>
      </c>
    </row>
    <row r="2458" spans="1:10" ht="15.75" thickBot="1" x14ac:dyDescent="0.3">
      <c r="A2458" s="14">
        <v>44599</v>
      </c>
      <c r="B2458" s="15">
        <v>44599</v>
      </c>
      <c r="C2458" s="16">
        <v>3631309</v>
      </c>
      <c r="D2458" s="10">
        <f>PrincipalesVariables[[#This Row],[Base monetaria]]/1000000</f>
        <v>3.6313089999999999</v>
      </c>
      <c r="E2458" s="10">
        <v>105.7</v>
      </c>
      <c r="F2458" s="11">
        <v>37213</v>
      </c>
      <c r="H2458" s="12">
        <f>(PrincipalesVariables[[#This Row],[Base monetaria]]-C2457)/C2457</f>
        <v>-2.0000437197520711E-2</v>
      </c>
      <c r="I2458" s="12">
        <f>(PrincipalesVariables[[#This Row],[Dólar  mayorista]]-E2457)/E2457</f>
        <v>2.6560424966799575E-3</v>
      </c>
      <c r="J2458" s="12">
        <f>(PrincipalesVariables[[#This Row],[Reservas internacionales]]-F2457)/F2457</f>
        <v>6.4535212025061174E-4</v>
      </c>
    </row>
    <row r="2459" spans="1:10" ht="15.75" thickBot="1" x14ac:dyDescent="0.3">
      <c r="A2459" s="14">
        <v>44600</v>
      </c>
      <c r="B2459" s="15">
        <v>44600</v>
      </c>
      <c r="C2459" s="16">
        <v>3750052</v>
      </c>
      <c r="D2459" s="10">
        <f>PrincipalesVariables[[#This Row],[Base monetaria]]/1000000</f>
        <v>3.7500520000000002</v>
      </c>
      <c r="E2459" s="10">
        <v>105.8</v>
      </c>
      <c r="F2459" s="11">
        <v>37218</v>
      </c>
      <c r="H2459" s="12">
        <f>(PrincipalesVariables[[#This Row],[Base monetaria]]-C2458)/C2458</f>
        <v>3.2699778509622836E-2</v>
      </c>
      <c r="I2459" s="12">
        <f>(PrincipalesVariables[[#This Row],[Dólar  mayorista]]-E2458)/E2458</f>
        <v>9.4607379375585918E-4</v>
      </c>
      <c r="J2459" s="12">
        <f>(PrincipalesVariables[[#This Row],[Reservas internacionales]]-F2458)/F2458</f>
        <v>1.3436164781124876E-4</v>
      </c>
    </row>
    <row r="2460" spans="1:10" ht="15.75" thickBot="1" x14ac:dyDescent="0.3">
      <c r="A2460" s="14">
        <v>44601</v>
      </c>
      <c r="B2460" s="15">
        <v>44601</v>
      </c>
      <c r="C2460" s="16">
        <v>3709414</v>
      </c>
      <c r="D2460" s="10">
        <f>PrincipalesVariables[[#This Row],[Base monetaria]]/1000000</f>
        <v>3.7094140000000002</v>
      </c>
      <c r="E2460" s="10">
        <v>105.91</v>
      </c>
      <c r="F2460" s="11">
        <v>37230</v>
      </c>
      <c r="H2460" s="12">
        <f>(PrincipalesVariables[[#This Row],[Base monetaria]]-C2459)/C2459</f>
        <v>-1.0836649731790386E-2</v>
      </c>
      <c r="I2460" s="12">
        <f>(PrincipalesVariables[[#This Row],[Dólar  mayorista]]-E2459)/E2459</f>
        <v>1.039697542533076E-3</v>
      </c>
      <c r="J2460" s="12">
        <f>(PrincipalesVariables[[#This Row],[Reservas internacionales]]-F2459)/F2459</f>
        <v>3.2242463324197966E-4</v>
      </c>
    </row>
    <row r="2461" spans="1:10" ht="15.75" thickBot="1" x14ac:dyDescent="0.3">
      <c r="A2461" s="14">
        <v>44602</v>
      </c>
      <c r="B2461" s="15">
        <v>44602</v>
      </c>
      <c r="C2461" s="16">
        <v>3745962</v>
      </c>
      <c r="D2461" s="10">
        <f>PrincipalesVariables[[#This Row],[Base monetaria]]/1000000</f>
        <v>3.745962</v>
      </c>
      <c r="E2461" s="10">
        <v>106.01</v>
      </c>
      <c r="F2461" s="11">
        <v>37233</v>
      </c>
      <c r="H2461" s="12">
        <f>(PrincipalesVariables[[#This Row],[Base monetaria]]-C2460)/C2460</f>
        <v>9.8527691975066681E-3</v>
      </c>
      <c r="I2461" s="12">
        <f>(PrincipalesVariables[[#This Row],[Dólar  mayorista]]-E2460)/E2460</f>
        <v>9.4419790388073396E-4</v>
      </c>
      <c r="J2461" s="12">
        <f>(PrincipalesVariables[[#This Row],[Reservas internacionales]]-F2460)/F2460</f>
        <v>8.058017727639001E-5</v>
      </c>
    </row>
    <row r="2462" spans="1:10" ht="15.75" thickBot="1" x14ac:dyDescent="0.3">
      <c r="A2462" s="14">
        <v>44603</v>
      </c>
      <c r="B2462" s="15">
        <v>44603</v>
      </c>
      <c r="C2462" s="16">
        <v>3784898</v>
      </c>
      <c r="D2462" s="10">
        <f>PrincipalesVariables[[#This Row],[Base monetaria]]/1000000</f>
        <v>3.7848980000000001</v>
      </c>
      <c r="E2462" s="10">
        <v>106.11</v>
      </c>
      <c r="F2462" s="11">
        <v>37241</v>
      </c>
      <c r="H2462" s="12">
        <f>(PrincipalesVariables[[#This Row],[Base monetaria]]-C2461)/C2461</f>
        <v>1.0394125727917154E-2</v>
      </c>
      <c r="I2462" s="12">
        <f>(PrincipalesVariables[[#This Row],[Dólar  mayorista]]-E2461)/E2461</f>
        <v>9.4330723516644003E-4</v>
      </c>
      <c r="J2462" s="12">
        <f>(PrincipalesVariables[[#This Row],[Reservas internacionales]]-F2461)/F2461</f>
        <v>2.1486315902559557E-4</v>
      </c>
    </row>
    <row r="2463" spans="1:10" ht="15.75" thickBot="1" x14ac:dyDescent="0.3">
      <c r="A2463" s="14">
        <v>44606</v>
      </c>
      <c r="B2463" s="15">
        <v>44606</v>
      </c>
      <c r="C2463" s="16">
        <v>3926458</v>
      </c>
      <c r="D2463" s="10">
        <f>PrincipalesVariables[[#This Row],[Base monetaria]]/1000000</f>
        <v>3.9264579999999998</v>
      </c>
      <c r="E2463" s="10">
        <v>106.39</v>
      </c>
      <c r="F2463" s="11">
        <v>37265</v>
      </c>
      <c r="H2463" s="12">
        <f>(PrincipalesVariables[[#This Row],[Base monetaria]]-C2462)/C2462</f>
        <v>3.7401272108257604E-2</v>
      </c>
      <c r="I2463" s="12">
        <f>(PrincipalesVariables[[#This Row],[Dólar  mayorista]]-E2462)/E2462</f>
        <v>2.6387710866082473E-3</v>
      </c>
      <c r="J2463" s="12">
        <f>(PrincipalesVariables[[#This Row],[Reservas internacionales]]-F2462)/F2462</f>
        <v>6.4445100829730673E-4</v>
      </c>
    </row>
    <row r="2464" spans="1:10" ht="15.75" thickBot="1" x14ac:dyDescent="0.3">
      <c r="A2464" s="14">
        <v>44607</v>
      </c>
      <c r="B2464" s="15">
        <v>44607</v>
      </c>
      <c r="C2464" s="16">
        <v>3994573</v>
      </c>
      <c r="D2464" s="10">
        <f>PrincipalesVariables[[#This Row],[Base monetaria]]/1000000</f>
        <v>3.9945729999999999</v>
      </c>
      <c r="E2464" s="10">
        <v>106.48</v>
      </c>
      <c r="F2464" s="11">
        <v>37281</v>
      </c>
      <c r="H2464" s="12">
        <f>(PrincipalesVariables[[#This Row],[Base monetaria]]-C2463)/C2463</f>
        <v>1.7347696066021843E-2</v>
      </c>
      <c r="I2464" s="12">
        <f>(PrincipalesVariables[[#This Row],[Dólar  mayorista]]-E2463)/E2463</f>
        <v>8.4594416768496482E-4</v>
      </c>
      <c r="J2464" s="12">
        <f>(PrincipalesVariables[[#This Row],[Reservas internacionales]]-F2463)/F2463</f>
        <v>4.2935730578290621E-4</v>
      </c>
    </row>
    <row r="2465" spans="1:10" ht="15.75" thickBot="1" x14ac:dyDescent="0.3">
      <c r="A2465" s="14">
        <v>44608</v>
      </c>
      <c r="B2465" s="15">
        <v>44608</v>
      </c>
      <c r="C2465" s="16">
        <v>3906529</v>
      </c>
      <c r="D2465" s="10">
        <f>PrincipalesVariables[[#This Row],[Base monetaria]]/1000000</f>
        <v>3.9065289999999999</v>
      </c>
      <c r="E2465" s="10">
        <v>106.58</v>
      </c>
      <c r="F2465" s="11">
        <v>37306</v>
      </c>
      <c r="H2465" s="12">
        <f>(PrincipalesVariables[[#This Row],[Base monetaria]]-C2464)/C2464</f>
        <v>-2.2040903996497246E-2</v>
      </c>
      <c r="I2465" s="12">
        <f>(PrincipalesVariables[[#This Row],[Dólar  mayorista]]-E2464)/E2464</f>
        <v>9.3914350112691875E-4</v>
      </c>
      <c r="J2465" s="12">
        <f>(PrincipalesVariables[[#This Row],[Reservas internacionales]]-F2464)/F2464</f>
        <v>6.7058287063115265E-4</v>
      </c>
    </row>
    <row r="2466" spans="1:10" ht="15.75" thickBot="1" x14ac:dyDescent="0.3">
      <c r="A2466" s="14">
        <v>44609</v>
      </c>
      <c r="B2466" s="15">
        <v>44609</v>
      </c>
      <c r="C2466" s="16">
        <v>3821174</v>
      </c>
      <c r="D2466" s="10">
        <f>PrincipalesVariables[[#This Row],[Base monetaria]]/1000000</f>
        <v>3.8211740000000001</v>
      </c>
      <c r="E2466" s="10">
        <v>106.68</v>
      </c>
      <c r="F2466" s="11">
        <v>37317</v>
      </c>
      <c r="H2466" s="12">
        <f>(PrincipalesVariables[[#This Row],[Base monetaria]]-C2465)/C2465</f>
        <v>-2.184931943420873E-2</v>
      </c>
      <c r="I2466" s="12">
        <f>(PrincipalesVariables[[#This Row],[Dólar  mayorista]]-E2465)/E2465</f>
        <v>9.3826233814982664E-4</v>
      </c>
      <c r="J2466" s="12">
        <f>(PrincipalesVariables[[#This Row],[Reservas internacionales]]-F2465)/F2465</f>
        <v>2.9485873586018334E-4</v>
      </c>
    </row>
    <row r="2467" spans="1:10" ht="15.75" thickBot="1" x14ac:dyDescent="0.3">
      <c r="A2467" s="14">
        <v>44610</v>
      </c>
      <c r="B2467" s="15">
        <v>44610</v>
      </c>
      <c r="C2467" s="16">
        <v>3729418</v>
      </c>
      <c r="D2467" s="10">
        <f>PrincipalesVariables[[#This Row],[Base monetaria]]/1000000</f>
        <v>3.7294179999999999</v>
      </c>
      <c r="E2467" s="10">
        <v>106.78</v>
      </c>
      <c r="F2467" s="11">
        <v>37353</v>
      </c>
      <c r="H2467" s="12">
        <f>(PrincipalesVariables[[#This Row],[Base monetaria]]-C2466)/C2466</f>
        <v>-2.4012515525333313E-2</v>
      </c>
      <c r="I2467" s="12">
        <f>(PrincipalesVariables[[#This Row],[Dólar  mayorista]]-E2466)/E2466</f>
        <v>9.3738282714655335E-4</v>
      </c>
      <c r="J2467" s="12">
        <f>(PrincipalesVariables[[#This Row],[Reservas internacionales]]-F2466)/F2466</f>
        <v>9.6470777393681164E-4</v>
      </c>
    </row>
    <row r="2468" spans="1:10" ht="15.75" thickBot="1" x14ac:dyDescent="0.3">
      <c r="A2468" s="14">
        <v>44613</v>
      </c>
      <c r="B2468" s="15">
        <v>44613</v>
      </c>
      <c r="C2468" s="16">
        <v>3812115</v>
      </c>
      <c r="D2468" s="10">
        <f>PrincipalesVariables[[#This Row],[Base monetaria]]/1000000</f>
        <v>3.8121149999999999</v>
      </c>
      <c r="E2468" s="10">
        <v>107.06</v>
      </c>
      <c r="F2468" s="11">
        <v>37322</v>
      </c>
      <c r="H2468" s="12">
        <f>(PrincipalesVariables[[#This Row],[Base monetaria]]-C2467)/C2467</f>
        <v>2.2174237374303445E-2</v>
      </c>
      <c r="I2468" s="12">
        <f>(PrincipalesVariables[[#This Row],[Dólar  mayorista]]-E2467)/E2467</f>
        <v>2.6222138977336686E-3</v>
      </c>
      <c r="J2468" s="12">
        <f>(PrincipalesVariables[[#This Row],[Reservas internacionales]]-F2467)/F2467</f>
        <v>-8.2991995288196401E-4</v>
      </c>
    </row>
    <row r="2469" spans="1:10" ht="15.75" thickBot="1" x14ac:dyDescent="0.3">
      <c r="A2469" s="14">
        <v>44614</v>
      </c>
      <c r="B2469" s="15">
        <v>44614</v>
      </c>
      <c r="C2469" s="16">
        <v>3644962</v>
      </c>
      <c r="D2469" s="10">
        <f>PrincipalesVariables[[#This Row],[Base monetaria]]/1000000</f>
        <v>3.644962</v>
      </c>
      <c r="E2469" s="10">
        <v>107.16</v>
      </c>
      <c r="F2469" s="11">
        <v>37260</v>
      </c>
      <c r="H2469" s="12">
        <f>(PrincipalesVariables[[#This Row],[Base monetaria]]-C2468)/C2468</f>
        <v>-4.3847837748861196E-2</v>
      </c>
      <c r="I2469" s="12">
        <f>(PrincipalesVariables[[#This Row],[Dólar  mayorista]]-E2468)/E2468</f>
        <v>9.3405566971786205E-4</v>
      </c>
      <c r="J2469" s="12">
        <f>(PrincipalesVariables[[#This Row],[Reservas internacionales]]-F2468)/F2468</f>
        <v>-1.6612185842130648E-3</v>
      </c>
    </row>
    <row r="2470" spans="1:10" ht="15.75" thickBot="1" x14ac:dyDescent="0.3">
      <c r="A2470" s="14">
        <v>44615</v>
      </c>
      <c r="B2470" s="15">
        <v>44615</v>
      </c>
      <c r="C2470" s="16">
        <v>3592761</v>
      </c>
      <c r="D2470" s="10">
        <f>PrincipalesVariables[[#This Row],[Base monetaria]]/1000000</f>
        <v>3.5927609999999999</v>
      </c>
      <c r="E2470" s="10">
        <v>107.3</v>
      </c>
      <c r="F2470" s="11">
        <v>37235</v>
      </c>
      <c r="H2470" s="12">
        <f>(PrincipalesVariables[[#This Row],[Base monetaria]]-C2469)/C2469</f>
        <v>-1.4321411306894283E-2</v>
      </c>
      <c r="I2470" s="12">
        <f>(PrincipalesVariables[[#This Row],[Dólar  mayorista]]-E2469)/E2469</f>
        <v>1.3064576334453207E-3</v>
      </c>
      <c r="J2470" s="12">
        <f>(PrincipalesVariables[[#This Row],[Reservas internacionales]]-F2469)/F2469</f>
        <v>-6.7096081588835217E-4</v>
      </c>
    </row>
    <row r="2471" spans="1:10" ht="15.75" thickBot="1" x14ac:dyDescent="0.3">
      <c r="A2471" s="14">
        <v>44616</v>
      </c>
      <c r="B2471" s="15">
        <v>44616</v>
      </c>
      <c r="C2471" s="16">
        <v>3676507</v>
      </c>
      <c r="D2471" s="10">
        <f>PrincipalesVariables[[#This Row],[Base monetaria]]/1000000</f>
        <v>3.676507</v>
      </c>
      <c r="E2471" s="10">
        <v>107.39</v>
      </c>
      <c r="F2471" s="11">
        <v>37079</v>
      </c>
      <c r="H2471" s="12">
        <f>(PrincipalesVariables[[#This Row],[Base monetaria]]-C2470)/C2470</f>
        <v>2.3309649598178113E-2</v>
      </c>
      <c r="I2471" s="12">
        <f>(PrincipalesVariables[[#This Row],[Dólar  mayorista]]-E2470)/E2470</f>
        <v>8.3876980428707743E-4</v>
      </c>
      <c r="J2471" s="12">
        <f>(PrincipalesVariables[[#This Row],[Reservas internacionales]]-F2470)/F2470</f>
        <v>-4.1896065529743523E-3</v>
      </c>
    </row>
    <row r="2472" spans="1:10" ht="15.75" thickBot="1" x14ac:dyDescent="0.3">
      <c r="A2472" s="14">
        <v>44617</v>
      </c>
      <c r="B2472" s="15">
        <v>44617</v>
      </c>
      <c r="C2472" s="16">
        <v>3672002</v>
      </c>
      <c r="D2472" s="10">
        <f>PrincipalesVariables[[#This Row],[Base monetaria]]/1000000</f>
        <v>3.672002</v>
      </c>
      <c r="E2472" s="10">
        <v>107.44</v>
      </c>
      <c r="F2472" s="11">
        <v>37018</v>
      </c>
      <c r="H2472" s="12">
        <f>(PrincipalesVariables[[#This Row],[Base monetaria]]-C2471)/C2471</f>
        <v>-1.2253478641547535E-3</v>
      </c>
      <c r="I2472" s="12">
        <f>(PrincipalesVariables[[#This Row],[Dólar  mayorista]]-E2471)/E2471</f>
        <v>4.6559269950644525E-4</v>
      </c>
      <c r="J2472" s="12">
        <f>(PrincipalesVariables[[#This Row],[Reservas internacionales]]-F2471)/F2471</f>
        <v>-1.6451360608430649E-3</v>
      </c>
    </row>
    <row r="2473" spans="1:10" ht="15.75" thickBot="1" x14ac:dyDescent="0.3">
      <c r="A2473" s="14">
        <v>44622</v>
      </c>
      <c r="B2473" s="15">
        <v>44622</v>
      </c>
      <c r="C2473" s="16">
        <v>3798880</v>
      </c>
      <c r="D2473" s="10">
        <f>PrincipalesVariables[[#This Row],[Base monetaria]]/1000000</f>
        <v>3.79888</v>
      </c>
      <c r="E2473" s="10">
        <v>107.94</v>
      </c>
      <c r="F2473" s="11">
        <v>37045</v>
      </c>
      <c r="H2473" s="12">
        <f>(PrincipalesVariables[[#This Row],[Base monetaria]]-C2472)/C2472</f>
        <v>3.4552813424393557E-2</v>
      </c>
      <c r="I2473" s="12">
        <f>(PrincipalesVariables[[#This Row],[Dólar  mayorista]]-E2472)/E2472</f>
        <v>4.6537602382725239E-3</v>
      </c>
      <c r="J2473" s="12">
        <f>(PrincipalesVariables[[#This Row],[Reservas internacionales]]-F2472)/F2472</f>
        <v>7.2937489869793072E-4</v>
      </c>
    </row>
    <row r="2474" spans="1:10" ht="15.75" thickBot="1" x14ac:dyDescent="0.3">
      <c r="A2474" s="14">
        <v>44623</v>
      </c>
      <c r="B2474" s="15">
        <v>44623</v>
      </c>
      <c r="C2474" s="16">
        <v>3675710</v>
      </c>
      <c r="D2474" s="10">
        <f>PrincipalesVariables[[#This Row],[Base monetaria]]/1000000</f>
        <v>3.67571</v>
      </c>
      <c r="E2474" s="10">
        <v>108.04</v>
      </c>
      <c r="F2474" s="11">
        <v>37067</v>
      </c>
      <c r="H2474" s="12">
        <f>(PrincipalesVariables[[#This Row],[Base monetaria]]-C2473)/C2473</f>
        <v>-3.242271406309228E-2</v>
      </c>
      <c r="I2474" s="12">
        <f>(PrincipalesVariables[[#This Row],[Dólar  mayorista]]-E2473)/E2473</f>
        <v>9.2644061515664746E-4</v>
      </c>
      <c r="J2474" s="12">
        <f>(PrincipalesVariables[[#This Row],[Reservas internacionales]]-F2473)/F2473</f>
        <v>5.9387231745174789E-4</v>
      </c>
    </row>
    <row r="2475" spans="1:10" ht="15.75" thickBot="1" x14ac:dyDescent="0.3">
      <c r="A2475" s="14">
        <v>44624</v>
      </c>
      <c r="B2475" s="15">
        <v>44624</v>
      </c>
      <c r="C2475" s="16">
        <v>3624995</v>
      </c>
      <c r="D2475" s="10">
        <f>PrincipalesVariables[[#This Row],[Base monetaria]]/1000000</f>
        <v>3.6249950000000002</v>
      </c>
      <c r="E2475" s="10">
        <v>108.16</v>
      </c>
      <c r="F2475" s="11">
        <v>37107</v>
      </c>
      <c r="H2475" s="12">
        <f>(PrincipalesVariables[[#This Row],[Base monetaria]]-C2474)/C2474</f>
        <v>-1.3797334392539129E-2</v>
      </c>
      <c r="I2475" s="12">
        <f>(PrincipalesVariables[[#This Row],[Dólar  mayorista]]-E2474)/E2474</f>
        <v>1.1106997408366376E-3</v>
      </c>
      <c r="J2475" s="12">
        <f>(PrincipalesVariables[[#This Row],[Reservas internacionales]]-F2474)/F2474</f>
        <v>1.0791269862681092E-3</v>
      </c>
    </row>
    <row r="2476" spans="1:10" ht="15.75" thickBot="1" x14ac:dyDescent="0.3">
      <c r="A2476" s="14">
        <v>44627</v>
      </c>
      <c r="B2476" s="15">
        <v>44627</v>
      </c>
      <c r="C2476" s="16">
        <v>3647577</v>
      </c>
      <c r="D2476" s="10">
        <f>PrincipalesVariables[[#This Row],[Base monetaria]]/1000000</f>
        <v>3.6475770000000001</v>
      </c>
      <c r="E2476" s="10">
        <v>108.45</v>
      </c>
      <c r="F2476" s="11">
        <v>37329</v>
      </c>
      <c r="H2476" s="12">
        <f>(PrincipalesVariables[[#This Row],[Base monetaria]]-C2475)/C2475</f>
        <v>6.2295258338287366E-3</v>
      </c>
      <c r="I2476" s="12">
        <f>(PrincipalesVariables[[#This Row],[Dólar  mayorista]]-E2475)/E2475</f>
        <v>2.6812130177515372E-3</v>
      </c>
      <c r="J2476" s="12">
        <f>(PrincipalesVariables[[#This Row],[Reservas internacionales]]-F2475)/F2475</f>
        <v>5.9826986821893439E-3</v>
      </c>
    </row>
    <row r="2477" spans="1:10" ht="15.75" thickBot="1" x14ac:dyDescent="0.3">
      <c r="A2477" s="14">
        <v>44628</v>
      </c>
      <c r="B2477" s="15">
        <v>44628</v>
      </c>
      <c r="C2477" s="16">
        <v>3643296</v>
      </c>
      <c r="D2477" s="10">
        <f>PrincipalesVariables[[#This Row],[Base monetaria]]/1000000</f>
        <v>3.6432959999999999</v>
      </c>
      <c r="E2477" s="10">
        <v>108.56</v>
      </c>
      <c r="F2477" s="11">
        <v>37380</v>
      </c>
      <c r="H2477" s="12">
        <f>(PrincipalesVariables[[#This Row],[Base monetaria]]-C2476)/C2476</f>
        <v>-1.1736558268680825E-3</v>
      </c>
      <c r="I2477" s="12">
        <f>(PrincipalesVariables[[#This Row],[Dólar  mayorista]]-E2476)/E2476</f>
        <v>1.0142923005993492E-3</v>
      </c>
      <c r="J2477" s="12">
        <f>(PrincipalesVariables[[#This Row],[Reservas internacionales]]-F2476)/F2476</f>
        <v>1.3662300088403119E-3</v>
      </c>
    </row>
    <row r="2478" spans="1:10" ht="15.75" thickBot="1" x14ac:dyDescent="0.3">
      <c r="A2478" s="14">
        <v>44629</v>
      </c>
      <c r="B2478" s="15">
        <v>44629</v>
      </c>
      <c r="C2478" s="16">
        <v>3684755</v>
      </c>
      <c r="D2478" s="10">
        <f>PrincipalesVariables[[#This Row],[Base monetaria]]/1000000</f>
        <v>3.684755</v>
      </c>
      <c r="E2478" s="10">
        <v>108.68</v>
      </c>
      <c r="F2478" s="11">
        <v>37313</v>
      </c>
      <c r="H2478" s="12">
        <f>(PrincipalesVariables[[#This Row],[Base monetaria]]-C2477)/C2477</f>
        <v>1.1379531061983434E-2</v>
      </c>
      <c r="I2478" s="12">
        <f>(PrincipalesVariables[[#This Row],[Dólar  mayorista]]-E2477)/E2477</f>
        <v>1.1053795136330559E-3</v>
      </c>
      <c r="J2478" s="12">
        <f>(PrincipalesVariables[[#This Row],[Reservas internacionales]]-F2477)/F2477</f>
        <v>-1.792402354200107E-3</v>
      </c>
    </row>
    <row r="2479" spans="1:10" ht="15.75" thickBot="1" x14ac:dyDescent="0.3">
      <c r="A2479" s="14">
        <v>44630</v>
      </c>
      <c r="B2479" s="15">
        <v>44630</v>
      </c>
      <c r="C2479" s="16">
        <v>3650911</v>
      </c>
      <c r="D2479" s="10">
        <f>PrincipalesVariables[[#This Row],[Base monetaria]]/1000000</f>
        <v>3.6509109999999998</v>
      </c>
      <c r="E2479" s="10">
        <v>108.78</v>
      </c>
      <c r="F2479" s="11">
        <v>37321</v>
      </c>
      <c r="H2479" s="12">
        <f>(PrincipalesVariables[[#This Row],[Base monetaria]]-C2478)/C2478</f>
        <v>-9.184871178680807E-3</v>
      </c>
      <c r="I2479" s="12">
        <f>(PrincipalesVariables[[#This Row],[Dólar  mayorista]]-E2478)/E2478</f>
        <v>9.2013249907981517E-4</v>
      </c>
      <c r="J2479" s="12">
        <f>(PrincipalesVariables[[#This Row],[Reservas internacionales]]-F2478)/F2478</f>
        <v>2.1440248706885E-4</v>
      </c>
    </row>
    <row r="2480" spans="1:10" ht="15.75" thickBot="1" x14ac:dyDescent="0.3">
      <c r="A2480" s="14">
        <v>44631</v>
      </c>
      <c r="B2480" s="15">
        <v>44631</v>
      </c>
      <c r="C2480" s="16">
        <v>3676551</v>
      </c>
      <c r="D2480" s="10">
        <f>PrincipalesVariables[[#This Row],[Base monetaria]]/1000000</f>
        <v>3.6765509999999999</v>
      </c>
      <c r="E2480" s="10">
        <v>108.89</v>
      </c>
      <c r="F2480" s="11">
        <v>37262</v>
      </c>
      <c r="H2480" s="12">
        <f>(PrincipalesVariables[[#This Row],[Base monetaria]]-C2479)/C2479</f>
        <v>7.0229046941982422E-3</v>
      </c>
      <c r="I2480" s="12">
        <f>(PrincipalesVariables[[#This Row],[Dólar  mayorista]]-E2479)/E2479</f>
        <v>1.0112152969295775E-3</v>
      </c>
      <c r="J2480" s="12">
        <f>(PrincipalesVariables[[#This Row],[Reservas internacionales]]-F2479)/F2479</f>
        <v>-1.580879397658155E-3</v>
      </c>
    </row>
    <row r="2481" spans="1:10" ht="15.75" thickBot="1" x14ac:dyDescent="0.3">
      <c r="A2481" s="14">
        <v>44634</v>
      </c>
      <c r="B2481" s="15">
        <v>44634</v>
      </c>
      <c r="C2481" s="16">
        <v>3757992</v>
      </c>
      <c r="D2481" s="10">
        <f>PrincipalesVariables[[#This Row],[Base monetaria]]/1000000</f>
        <v>3.7579920000000002</v>
      </c>
      <c r="E2481" s="10">
        <v>109.21</v>
      </c>
      <c r="F2481" s="11">
        <v>37221</v>
      </c>
      <c r="H2481" s="12">
        <f>(PrincipalesVariables[[#This Row],[Base monetaria]]-C2480)/C2480</f>
        <v>2.2151467503102772E-2</v>
      </c>
      <c r="I2481" s="12">
        <f>(PrincipalesVariables[[#This Row],[Dólar  mayorista]]-E2480)/E2480</f>
        <v>2.9387455230048048E-3</v>
      </c>
      <c r="J2481" s="12">
        <f>(PrincipalesVariables[[#This Row],[Reservas internacionales]]-F2480)/F2480</f>
        <v>-1.1003166765068972E-3</v>
      </c>
    </row>
    <row r="2482" spans="1:10" ht="15.75" thickBot="1" x14ac:dyDescent="0.3">
      <c r="A2482" s="14">
        <v>44635</v>
      </c>
      <c r="B2482" s="15">
        <v>44635</v>
      </c>
      <c r="C2482" s="16">
        <v>3762723</v>
      </c>
      <c r="D2482" s="10">
        <f>PrincipalesVariables[[#This Row],[Base monetaria]]/1000000</f>
        <v>3.7627229999999998</v>
      </c>
      <c r="E2482" s="10">
        <v>109.31</v>
      </c>
      <c r="F2482" s="11">
        <v>37031</v>
      </c>
      <c r="H2482" s="12">
        <f>(PrincipalesVariables[[#This Row],[Base monetaria]]-C2481)/C2481</f>
        <v>1.2589169960979161E-3</v>
      </c>
      <c r="I2482" s="12">
        <f>(PrincipalesVariables[[#This Row],[Dólar  mayorista]]-E2481)/E2481</f>
        <v>9.1566706345580561E-4</v>
      </c>
      <c r="J2482" s="12">
        <f>(PrincipalesVariables[[#This Row],[Reservas internacionales]]-F2481)/F2481</f>
        <v>-5.1046452271567124E-3</v>
      </c>
    </row>
    <row r="2483" spans="1:10" ht="15.75" thickBot="1" x14ac:dyDescent="0.3">
      <c r="A2483" s="14">
        <v>44636</v>
      </c>
      <c r="B2483" s="15">
        <v>44636</v>
      </c>
      <c r="C2483" s="16">
        <v>3724991</v>
      </c>
      <c r="D2483" s="10">
        <f>PrincipalesVariables[[#This Row],[Base monetaria]]/1000000</f>
        <v>3.7249910000000002</v>
      </c>
      <c r="E2483" s="10">
        <v>109.43</v>
      </c>
      <c r="F2483" s="11">
        <v>37064</v>
      </c>
      <c r="H2483" s="12">
        <f>(PrincipalesVariables[[#This Row],[Base monetaria]]-C2482)/C2482</f>
        <v>-1.0027844196875508E-2</v>
      </c>
      <c r="I2483" s="12">
        <f>(PrincipalesVariables[[#This Row],[Dólar  mayorista]]-E2482)/E2482</f>
        <v>1.0977952611838308E-3</v>
      </c>
      <c r="J2483" s="12">
        <f>(PrincipalesVariables[[#This Row],[Reservas internacionales]]-F2482)/F2482</f>
        <v>8.9114525667683829E-4</v>
      </c>
    </row>
    <row r="2484" spans="1:10" ht="15.75" thickBot="1" x14ac:dyDescent="0.3">
      <c r="A2484" s="14">
        <v>44637</v>
      </c>
      <c r="B2484" s="15">
        <v>44637</v>
      </c>
      <c r="C2484" s="16">
        <v>3867691</v>
      </c>
      <c r="D2484" s="10">
        <f>PrincipalesVariables[[#This Row],[Base monetaria]]/1000000</f>
        <v>3.8676910000000002</v>
      </c>
      <c r="E2484" s="10">
        <v>109.52</v>
      </c>
      <c r="F2484" s="11">
        <v>37039</v>
      </c>
      <c r="H2484" s="12">
        <f>(PrincipalesVariables[[#This Row],[Base monetaria]]-C2483)/C2483</f>
        <v>3.830881739043128E-2</v>
      </c>
      <c r="I2484" s="12">
        <f>(PrincipalesVariables[[#This Row],[Dólar  mayorista]]-E2483)/E2483</f>
        <v>8.2244357123265283E-4</v>
      </c>
      <c r="J2484" s="12">
        <f>(PrincipalesVariables[[#This Row],[Reservas internacionales]]-F2483)/F2483</f>
        <v>-6.7450895747895537E-4</v>
      </c>
    </row>
    <row r="2485" spans="1:10" ht="15.75" thickBot="1" x14ac:dyDescent="0.3">
      <c r="A2485" s="14">
        <v>44638</v>
      </c>
      <c r="B2485" s="15">
        <v>44638</v>
      </c>
      <c r="C2485" s="16">
        <v>3733358</v>
      </c>
      <c r="D2485" s="10">
        <f>PrincipalesVariables[[#This Row],[Base monetaria]]/1000000</f>
        <v>3.733358</v>
      </c>
      <c r="E2485" s="10">
        <v>109.64</v>
      </c>
      <c r="F2485" s="11">
        <v>37014</v>
      </c>
      <c r="H2485" s="12">
        <f>(PrincipalesVariables[[#This Row],[Base monetaria]]-C2484)/C2484</f>
        <v>-3.4732092093189448E-2</v>
      </c>
      <c r="I2485" s="12">
        <f>(PrincipalesVariables[[#This Row],[Dólar  mayorista]]-E2484)/E2484</f>
        <v>1.0956902848795157E-3</v>
      </c>
      <c r="J2485" s="12">
        <f>(PrincipalesVariables[[#This Row],[Reservas internacionales]]-F2484)/F2484</f>
        <v>-6.7496422689597457E-4</v>
      </c>
    </row>
    <row r="2486" spans="1:10" ht="15.75" thickBot="1" x14ac:dyDescent="0.3">
      <c r="A2486" s="14">
        <v>44641</v>
      </c>
      <c r="B2486" s="15">
        <v>44641</v>
      </c>
      <c r="C2486" s="16">
        <v>3677932</v>
      </c>
      <c r="D2486" s="10">
        <f>PrincipalesVariables[[#This Row],[Base monetaria]]/1000000</f>
        <v>3.6779320000000002</v>
      </c>
      <c r="E2486" s="10">
        <v>109.99</v>
      </c>
      <c r="F2486" s="11">
        <v>37018</v>
      </c>
      <c r="H2486" s="12">
        <f>(PrincipalesVariables[[#This Row],[Base monetaria]]-C2485)/C2485</f>
        <v>-1.4846151909353456E-2</v>
      </c>
      <c r="I2486" s="12">
        <f>(PrincipalesVariables[[#This Row],[Dólar  mayorista]]-E2485)/E2485</f>
        <v>3.1922655964975767E-3</v>
      </c>
      <c r="J2486" s="12">
        <f>(PrincipalesVariables[[#This Row],[Reservas internacionales]]-F2485)/F2485</f>
        <v>1.0806721780947749E-4</v>
      </c>
    </row>
    <row r="2487" spans="1:10" ht="15.75" thickBot="1" x14ac:dyDescent="0.3">
      <c r="A2487" s="14">
        <v>44642</v>
      </c>
      <c r="B2487" s="15">
        <v>44642</v>
      </c>
      <c r="C2487" s="16">
        <v>3710681</v>
      </c>
      <c r="D2487" s="10">
        <f>PrincipalesVariables[[#This Row],[Base monetaria]]/1000000</f>
        <v>3.7106810000000001</v>
      </c>
      <c r="E2487" s="10">
        <v>110.07</v>
      </c>
      <c r="F2487" s="11">
        <v>37020</v>
      </c>
      <c r="H2487" s="12">
        <f>(PrincipalesVariables[[#This Row],[Base monetaria]]-C2486)/C2486</f>
        <v>8.9041885494348452E-3</v>
      </c>
      <c r="I2487" s="12">
        <f>(PrincipalesVariables[[#This Row],[Dólar  mayorista]]-E2486)/E2486</f>
        <v>7.2733884898625598E-4</v>
      </c>
      <c r="J2487" s="12">
        <f>(PrincipalesVariables[[#This Row],[Reservas internacionales]]-F2486)/F2486</f>
        <v>5.4027770273920795E-5</v>
      </c>
    </row>
    <row r="2488" spans="1:10" ht="15.75" thickBot="1" x14ac:dyDescent="0.3">
      <c r="A2488" s="14">
        <v>44643</v>
      </c>
      <c r="B2488" s="15">
        <v>44643</v>
      </c>
      <c r="C2488" s="16">
        <v>3598244</v>
      </c>
      <c r="D2488" s="10">
        <f>PrincipalesVariables[[#This Row],[Base monetaria]]/1000000</f>
        <v>3.5982440000000002</v>
      </c>
      <c r="E2488" s="10">
        <v>110.19</v>
      </c>
      <c r="F2488" s="11">
        <v>37075</v>
      </c>
      <c r="H2488" s="12">
        <f>(PrincipalesVariables[[#This Row],[Base monetaria]]-C2487)/C2487</f>
        <v>-3.030090703027288E-2</v>
      </c>
      <c r="I2488" s="12">
        <f>(PrincipalesVariables[[#This Row],[Dólar  mayorista]]-E2487)/E2487</f>
        <v>1.0902153175252527E-3</v>
      </c>
      <c r="J2488" s="12">
        <f>(PrincipalesVariables[[#This Row],[Reservas internacionales]]-F2487)/F2487</f>
        <v>1.4856834143706105E-3</v>
      </c>
    </row>
    <row r="2489" spans="1:10" ht="15.75" thickBot="1" x14ac:dyDescent="0.3">
      <c r="A2489" s="14">
        <v>44645</v>
      </c>
      <c r="B2489" s="15">
        <v>44645</v>
      </c>
      <c r="C2489" s="16">
        <v>3601183</v>
      </c>
      <c r="D2489" s="10">
        <f>PrincipalesVariables[[#This Row],[Base monetaria]]/1000000</f>
        <v>3.6011829999999998</v>
      </c>
      <c r="E2489" s="10">
        <v>110.39</v>
      </c>
      <c r="F2489" s="11">
        <v>43321</v>
      </c>
      <c r="H2489" s="12">
        <f>(PrincipalesVariables[[#This Row],[Base monetaria]]-C2488)/C2488</f>
        <v>8.1678729958279653E-4</v>
      </c>
      <c r="I2489" s="12">
        <f>(PrincipalesVariables[[#This Row],[Dólar  mayorista]]-E2488)/E2488</f>
        <v>1.8150467374535152E-3</v>
      </c>
      <c r="J2489" s="12">
        <f>(PrincipalesVariables[[#This Row],[Reservas internacionales]]-F2488)/F2488</f>
        <v>0.16846931894807821</v>
      </c>
    </row>
    <row r="2490" spans="1:10" ht="15.75" thickBot="1" x14ac:dyDescent="0.3">
      <c r="A2490" s="14">
        <v>44648</v>
      </c>
      <c r="B2490" s="15">
        <v>44648</v>
      </c>
      <c r="C2490" s="16">
        <v>3514935</v>
      </c>
      <c r="D2490" s="10">
        <f>PrincipalesVariables[[#This Row],[Base monetaria]]/1000000</f>
        <v>3.5149349999999999</v>
      </c>
      <c r="E2490" s="10">
        <v>110.7</v>
      </c>
      <c r="F2490" s="11">
        <v>43247</v>
      </c>
      <c r="H2490" s="12">
        <f>(PrincipalesVariables[[#This Row],[Base monetaria]]-C2489)/C2489</f>
        <v>-2.3949907572039523E-2</v>
      </c>
      <c r="I2490" s="12">
        <f>(PrincipalesVariables[[#This Row],[Dólar  mayorista]]-E2489)/E2489</f>
        <v>2.808225382733964E-3</v>
      </c>
      <c r="J2490" s="12">
        <f>(PrincipalesVariables[[#This Row],[Reservas internacionales]]-F2489)/F2489</f>
        <v>-1.7081784815678308E-3</v>
      </c>
    </row>
    <row r="2491" spans="1:10" ht="15.75" thickBot="1" x14ac:dyDescent="0.3">
      <c r="A2491" s="14">
        <v>44649</v>
      </c>
      <c r="B2491" s="15">
        <v>44649</v>
      </c>
      <c r="C2491" s="16">
        <v>3564693</v>
      </c>
      <c r="D2491" s="10">
        <f>PrincipalesVariables[[#This Row],[Base monetaria]]/1000000</f>
        <v>3.5646930000000001</v>
      </c>
      <c r="E2491" s="10">
        <v>110.8</v>
      </c>
      <c r="F2491" s="11">
        <v>43160</v>
      </c>
      <c r="H2491" s="12">
        <f>(PrincipalesVariables[[#This Row],[Base monetaria]]-C2490)/C2490</f>
        <v>1.4156165049993813E-2</v>
      </c>
      <c r="I2491" s="12">
        <f>(PrincipalesVariables[[#This Row],[Dólar  mayorista]]-E2490)/E2490</f>
        <v>9.0334236675694958E-4</v>
      </c>
      <c r="J2491" s="12">
        <f>(PrincipalesVariables[[#This Row],[Reservas internacionales]]-F2490)/F2490</f>
        <v>-2.0117002335422111E-3</v>
      </c>
    </row>
    <row r="2492" spans="1:10" ht="15.75" thickBot="1" x14ac:dyDescent="0.3">
      <c r="A2492" s="14">
        <v>44650</v>
      </c>
      <c r="B2492" s="15">
        <v>44650</v>
      </c>
      <c r="C2492" s="16">
        <v>3494947</v>
      </c>
      <c r="D2492" s="10">
        <f>PrincipalesVariables[[#This Row],[Base monetaria]]/1000000</f>
        <v>3.4949469999999998</v>
      </c>
      <c r="E2492" s="10">
        <v>110.92</v>
      </c>
      <c r="F2492" s="11">
        <v>43187</v>
      </c>
      <c r="H2492" s="12">
        <f>(PrincipalesVariables[[#This Row],[Base monetaria]]-C2491)/C2491</f>
        <v>-1.9565780278974935E-2</v>
      </c>
      <c r="I2492" s="12">
        <f>(PrincipalesVariables[[#This Row],[Dólar  mayorista]]-E2491)/E2491</f>
        <v>1.0830324909747702E-3</v>
      </c>
      <c r="J2492" s="12">
        <f>(PrincipalesVariables[[#This Row],[Reservas internacionales]]-F2491)/F2491</f>
        <v>6.255792400370714E-4</v>
      </c>
    </row>
    <row r="2493" spans="1:10" ht="15.75" thickBot="1" x14ac:dyDescent="0.3">
      <c r="A2493" s="14">
        <v>44651</v>
      </c>
      <c r="B2493" s="15">
        <v>44651</v>
      </c>
      <c r="C2493" s="16">
        <v>3513786</v>
      </c>
      <c r="D2493" s="10">
        <f>PrincipalesVariables[[#This Row],[Base monetaria]]/1000000</f>
        <v>3.5137860000000001</v>
      </c>
      <c r="E2493" s="10">
        <v>110.98</v>
      </c>
      <c r="F2493" s="11">
        <v>43137</v>
      </c>
      <c r="H2493" s="12">
        <f>(PrincipalesVariables[[#This Row],[Base monetaria]]-C2492)/C2492</f>
        <v>5.3903535590096212E-3</v>
      </c>
      <c r="I2493" s="12">
        <f>(PrincipalesVariables[[#This Row],[Dólar  mayorista]]-E2492)/E2492</f>
        <v>5.4093040028851676E-4</v>
      </c>
      <c r="J2493" s="12">
        <f>(PrincipalesVariables[[#This Row],[Reservas internacionales]]-F2492)/F2492</f>
        <v>-1.1577558061453678E-3</v>
      </c>
    </row>
    <row r="2494" spans="1:10" ht="15.75" thickBot="1" x14ac:dyDescent="0.3">
      <c r="A2494" s="14">
        <v>44652</v>
      </c>
      <c r="B2494" s="15">
        <v>44652</v>
      </c>
      <c r="C2494" s="16">
        <v>3759067</v>
      </c>
      <c r="D2494" s="10">
        <f>PrincipalesVariables[[#This Row],[Base monetaria]]/1000000</f>
        <v>3.7590669999999999</v>
      </c>
      <c r="E2494" s="10">
        <v>111.13</v>
      </c>
      <c r="F2494" s="11">
        <v>43074</v>
      </c>
      <c r="H2494" s="12">
        <f>(PrincipalesVariables[[#This Row],[Base monetaria]]-C2493)/C2493</f>
        <v>6.9805332481830143E-2</v>
      </c>
      <c r="I2494" s="12">
        <f>(PrincipalesVariables[[#This Row],[Dólar  mayorista]]-E2493)/E2493</f>
        <v>1.3515948819606367E-3</v>
      </c>
      <c r="J2494" s="12">
        <f>(PrincipalesVariables[[#This Row],[Reservas internacionales]]-F2493)/F2493</f>
        <v>-1.4604631754642186E-3</v>
      </c>
    </row>
    <row r="2495" spans="1:10" ht="15.75" thickBot="1" x14ac:dyDescent="0.3">
      <c r="A2495" s="14">
        <v>44655</v>
      </c>
      <c r="B2495" s="15">
        <v>44655</v>
      </c>
      <c r="C2495" s="16">
        <v>3835313</v>
      </c>
      <c r="D2495" s="10">
        <f>PrincipalesVariables[[#This Row],[Base monetaria]]/1000000</f>
        <v>3.8353130000000002</v>
      </c>
      <c r="E2495" s="10">
        <v>111.56</v>
      </c>
      <c r="F2495" s="11">
        <v>43126</v>
      </c>
      <c r="H2495" s="12">
        <f>(PrincipalesVariables[[#This Row],[Base monetaria]]-C2494)/C2494</f>
        <v>2.0283224534172976E-2</v>
      </c>
      <c r="I2495" s="12">
        <f>(PrincipalesVariables[[#This Row],[Dólar  mayorista]]-E2494)/E2494</f>
        <v>3.8693422118240514E-3</v>
      </c>
      <c r="J2495" s="12">
        <f>(PrincipalesVariables[[#This Row],[Reservas internacionales]]-F2494)/F2494</f>
        <v>1.2072247759669407E-3</v>
      </c>
    </row>
    <row r="2496" spans="1:10" ht="15.75" thickBot="1" x14ac:dyDescent="0.3">
      <c r="A2496" s="14">
        <v>44656</v>
      </c>
      <c r="B2496" s="15">
        <v>44656</v>
      </c>
      <c r="C2496" s="16">
        <v>3687780</v>
      </c>
      <c r="D2496" s="10">
        <f>PrincipalesVariables[[#This Row],[Base monetaria]]/1000000</f>
        <v>3.6877800000000001</v>
      </c>
      <c r="E2496" s="10">
        <v>111.7</v>
      </c>
      <c r="F2496" s="11">
        <v>43141</v>
      </c>
      <c r="H2496" s="12">
        <f>(PrincipalesVariables[[#This Row],[Base monetaria]]-C2495)/C2495</f>
        <v>-3.8467003866438018E-2</v>
      </c>
      <c r="I2496" s="12">
        <f>(PrincipalesVariables[[#This Row],[Dólar  mayorista]]-E2495)/E2495</f>
        <v>1.2549300824668392E-3</v>
      </c>
      <c r="J2496" s="12">
        <f>(PrincipalesVariables[[#This Row],[Reservas internacionales]]-F2495)/F2495</f>
        <v>3.4781802161109308E-4</v>
      </c>
    </row>
    <row r="2497" spans="1:10" ht="15.75" thickBot="1" x14ac:dyDescent="0.3">
      <c r="A2497" s="14">
        <v>44657</v>
      </c>
      <c r="B2497" s="15">
        <v>44657</v>
      </c>
      <c r="C2497" s="16">
        <v>3573493</v>
      </c>
      <c r="D2497" s="10">
        <f>PrincipalesVariables[[#This Row],[Base monetaria]]/1000000</f>
        <v>3.573493</v>
      </c>
      <c r="E2497" s="10">
        <v>111.84</v>
      </c>
      <c r="F2497" s="11">
        <v>43182</v>
      </c>
      <c r="H2497" s="12">
        <f>(PrincipalesVariables[[#This Row],[Base monetaria]]-C2496)/C2496</f>
        <v>-3.0990731551231363E-2</v>
      </c>
      <c r="I2497" s="12">
        <f>(PrincipalesVariables[[#This Row],[Dólar  mayorista]]-E2496)/E2496</f>
        <v>1.2533572068039443E-3</v>
      </c>
      <c r="J2497" s="12">
        <f>(PrincipalesVariables[[#This Row],[Reservas internacionales]]-F2496)/F2496</f>
        <v>9.5037203588233931E-4</v>
      </c>
    </row>
    <row r="2498" spans="1:10" ht="15.75" thickBot="1" x14ac:dyDescent="0.3">
      <c r="A2498" s="14">
        <v>44658</v>
      </c>
      <c r="B2498" s="15">
        <v>44658</v>
      </c>
      <c r="C2498" s="16">
        <v>3660843</v>
      </c>
      <c r="D2498" s="10">
        <f>PrincipalesVariables[[#This Row],[Base monetaria]]/1000000</f>
        <v>3.6608429999999998</v>
      </c>
      <c r="E2498" s="10">
        <v>111.98</v>
      </c>
      <c r="F2498" s="11">
        <v>43229</v>
      </c>
      <c r="H2498" s="12">
        <f>(PrincipalesVariables[[#This Row],[Base monetaria]]-C2497)/C2497</f>
        <v>2.4443870465116344E-2</v>
      </c>
      <c r="I2498" s="12">
        <f>(PrincipalesVariables[[#This Row],[Dólar  mayorista]]-E2497)/E2497</f>
        <v>1.2517882689556559E-3</v>
      </c>
      <c r="J2498" s="12">
        <f>(PrincipalesVariables[[#This Row],[Reservas internacionales]]-F2497)/F2497</f>
        <v>1.0884164698253902E-3</v>
      </c>
    </row>
    <row r="2499" spans="1:10" ht="15.75" thickBot="1" x14ac:dyDescent="0.3">
      <c r="A2499" s="14">
        <v>44659</v>
      </c>
      <c r="B2499" s="15">
        <v>44659</v>
      </c>
      <c r="C2499" s="16">
        <v>3657293</v>
      </c>
      <c r="D2499" s="10">
        <f>PrincipalesVariables[[#This Row],[Base monetaria]]/1000000</f>
        <v>3.6572930000000001</v>
      </c>
      <c r="E2499" s="10">
        <v>112.13</v>
      </c>
      <c r="F2499" s="11">
        <v>43236</v>
      </c>
      <c r="H2499" s="12">
        <f>(PrincipalesVariables[[#This Row],[Base monetaria]]-C2498)/C2498</f>
        <v>-9.6972200118934356E-4</v>
      </c>
      <c r="I2499" s="12">
        <f>(PrincipalesVariables[[#This Row],[Dólar  mayorista]]-E2498)/E2498</f>
        <v>1.3395249151633459E-3</v>
      </c>
      <c r="J2499" s="12">
        <f>(PrincipalesVariables[[#This Row],[Reservas internacionales]]-F2498)/F2498</f>
        <v>1.619283351453885E-4</v>
      </c>
    </row>
    <row r="2500" spans="1:10" ht="15.75" thickBot="1" x14ac:dyDescent="0.3">
      <c r="A2500" s="14">
        <v>44662</v>
      </c>
      <c r="B2500" s="15">
        <v>44662</v>
      </c>
      <c r="C2500" s="16">
        <v>3691087</v>
      </c>
      <c r="D2500" s="10">
        <f>PrincipalesVariables[[#This Row],[Base monetaria]]/1000000</f>
        <v>3.691087</v>
      </c>
      <c r="E2500" s="10">
        <v>112.59</v>
      </c>
      <c r="F2500" s="11">
        <v>43239</v>
      </c>
      <c r="H2500" s="12">
        <f>(PrincipalesVariables[[#This Row],[Base monetaria]]-C2499)/C2499</f>
        <v>9.2401675228099035E-3</v>
      </c>
      <c r="I2500" s="12">
        <f>(PrincipalesVariables[[#This Row],[Dólar  mayorista]]-E2499)/E2499</f>
        <v>4.1023811647195934E-3</v>
      </c>
      <c r="J2500" s="12">
        <f>(PrincipalesVariables[[#This Row],[Reservas internacionales]]-F2499)/F2499</f>
        <v>6.9386622259228427E-5</v>
      </c>
    </row>
    <row r="2501" spans="1:10" ht="15.75" thickBot="1" x14ac:dyDescent="0.3">
      <c r="A2501" s="14">
        <v>44663</v>
      </c>
      <c r="B2501" s="15">
        <v>44663</v>
      </c>
      <c r="C2501" s="16">
        <v>3818835</v>
      </c>
      <c r="D2501" s="10">
        <f>PrincipalesVariables[[#This Row],[Base monetaria]]/1000000</f>
        <v>3.818835</v>
      </c>
      <c r="E2501" s="10">
        <v>112.74</v>
      </c>
      <c r="F2501" s="11">
        <v>43319</v>
      </c>
      <c r="H2501" s="12">
        <f>(PrincipalesVariables[[#This Row],[Base monetaria]]-C2500)/C2500</f>
        <v>3.4609858830203677E-2</v>
      </c>
      <c r="I2501" s="12">
        <f>(PrincipalesVariables[[#This Row],[Dólar  mayorista]]-E2500)/E2500</f>
        <v>1.3322675193178032E-3</v>
      </c>
      <c r="J2501" s="12">
        <f>(PrincipalesVariables[[#This Row],[Reservas internacionales]]-F2500)/F2500</f>
        <v>1.850181549064502E-3</v>
      </c>
    </row>
    <row r="2502" spans="1:10" ht="15.75" thickBot="1" x14ac:dyDescent="0.3">
      <c r="A2502" s="14">
        <v>44664</v>
      </c>
      <c r="B2502" s="15">
        <v>44664</v>
      </c>
      <c r="C2502" s="16">
        <v>3712850</v>
      </c>
      <c r="D2502" s="10">
        <f>PrincipalesVariables[[#This Row],[Base monetaria]]/1000000</f>
        <v>3.71285</v>
      </c>
      <c r="E2502" s="10">
        <v>112.91</v>
      </c>
      <c r="F2502" s="11">
        <v>43303</v>
      </c>
      <c r="H2502" s="12">
        <f>(PrincipalesVariables[[#This Row],[Base monetaria]]-C2501)/C2501</f>
        <v>-2.7753228406045299E-2</v>
      </c>
      <c r="I2502" s="12">
        <f>(PrincipalesVariables[[#This Row],[Dólar  mayorista]]-E2501)/E2501</f>
        <v>1.5078942700017892E-3</v>
      </c>
      <c r="J2502" s="12">
        <f>(PrincipalesVariables[[#This Row],[Reservas internacionales]]-F2501)/F2501</f>
        <v>-3.6935293981855537E-4</v>
      </c>
    </row>
    <row r="2503" spans="1:10" ht="15.75" thickBot="1" x14ac:dyDescent="0.3">
      <c r="A2503" s="14">
        <v>44669</v>
      </c>
      <c r="B2503" s="15">
        <v>44669</v>
      </c>
      <c r="C2503" s="16">
        <v>3647250</v>
      </c>
      <c r="D2503" s="10">
        <f>PrincipalesVariables[[#This Row],[Base monetaria]]/1000000</f>
        <v>3.6472500000000001</v>
      </c>
      <c r="E2503" s="10">
        <v>113.66</v>
      </c>
      <c r="F2503" s="11">
        <v>43311</v>
      </c>
      <c r="H2503" s="12">
        <f>(PrincipalesVariables[[#This Row],[Base monetaria]]-C2502)/C2502</f>
        <v>-1.7668367965309666E-2</v>
      </c>
      <c r="I2503" s="12">
        <f>(PrincipalesVariables[[#This Row],[Dólar  mayorista]]-E2502)/E2502</f>
        <v>6.6424585953414224E-3</v>
      </c>
      <c r="J2503" s="12">
        <f>(PrincipalesVariables[[#This Row],[Reservas internacionales]]-F2502)/F2502</f>
        <v>1.8474470590952127E-4</v>
      </c>
    </row>
    <row r="2504" spans="1:10" ht="15.75" thickBot="1" x14ac:dyDescent="0.3">
      <c r="A2504" s="14">
        <v>44670</v>
      </c>
      <c r="B2504" s="15">
        <v>44670</v>
      </c>
      <c r="C2504" s="16">
        <v>3521457</v>
      </c>
      <c r="D2504" s="10">
        <f>PrincipalesVariables[[#This Row],[Base monetaria]]/1000000</f>
        <v>3.5214569999999998</v>
      </c>
      <c r="E2504" s="10">
        <v>113.79</v>
      </c>
      <c r="F2504" s="11">
        <v>43224</v>
      </c>
      <c r="H2504" s="12">
        <f>(PrincipalesVariables[[#This Row],[Base monetaria]]-C2503)/C2503</f>
        <v>-3.4489821098087597E-2</v>
      </c>
      <c r="I2504" s="12">
        <f>(PrincipalesVariables[[#This Row],[Dólar  mayorista]]-E2503)/E2503</f>
        <v>1.1437620974838083E-3</v>
      </c>
      <c r="J2504" s="12">
        <f>(PrincipalesVariables[[#This Row],[Reservas internacionales]]-F2503)/F2503</f>
        <v>-2.0087275749809518E-3</v>
      </c>
    </row>
    <row r="2505" spans="1:10" ht="15.75" thickBot="1" x14ac:dyDescent="0.3">
      <c r="A2505" s="14">
        <v>44671</v>
      </c>
      <c r="B2505" s="15">
        <v>44671</v>
      </c>
      <c r="C2505" s="16">
        <v>3515340</v>
      </c>
      <c r="D2505" s="10">
        <f>PrincipalesVariables[[#This Row],[Base monetaria]]/1000000</f>
        <v>3.5153400000000001</v>
      </c>
      <c r="E2505" s="10">
        <v>113.95</v>
      </c>
      <c r="F2505" s="11">
        <v>43136</v>
      </c>
      <c r="H2505" s="12">
        <f>(PrincipalesVariables[[#This Row],[Base monetaria]]-C2504)/C2504</f>
        <v>-1.7370650841398887E-3</v>
      </c>
      <c r="I2505" s="12">
        <f>(PrincipalesVariables[[#This Row],[Dólar  mayorista]]-E2504)/E2504</f>
        <v>1.4060989542138728E-3</v>
      </c>
      <c r="J2505" s="12">
        <f>(PrincipalesVariables[[#This Row],[Reservas internacionales]]-F2504)/F2504</f>
        <v>-2.0359059781602813E-3</v>
      </c>
    </row>
    <row r="2506" spans="1:10" ht="15.75" thickBot="1" x14ac:dyDescent="0.3">
      <c r="A2506" s="14">
        <v>44672</v>
      </c>
      <c r="B2506" s="15">
        <v>44672</v>
      </c>
      <c r="C2506" s="16">
        <v>3547388</v>
      </c>
      <c r="D2506" s="10">
        <f>PrincipalesVariables[[#This Row],[Base monetaria]]/1000000</f>
        <v>3.5473880000000002</v>
      </c>
      <c r="E2506" s="10">
        <v>114.11</v>
      </c>
      <c r="F2506" s="11">
        <v>43065</v>
      </c>
      <c r="H2506" s="12">
        <f>(PrincipalesVariables[[#This Row],[Base monetaria]]-C2505)/C2505</f>
        <v>9.1166146091132012E-3</v>
      </c>
      <c r="I2506" s="12">
        <f>(PrincipalesVariables[[#This Row],[Dólar  mayorista]]-E2505)/E2505</f>
        <v>1.4041246160596454E-3</v>
      </c>
      <c r="J2506" s="12">
        <f>(PrincipalesVariables[[#This Row],[Reservas internacionales]]-F2505)/F2505</f>
        <v>-1.6459569732937686E-3</v>
      </c>
    </row>
    <row r="2507" spans="1:10" ht="15.75" thickBot="1" x14ac:dyDescent="0.3">
      <c r="A2507" s="14">
        <v>44673</v>
      </c>
      <c r="B2507" s="15">
        <v>44673</v>
      </c>
      <c r="C2507" s="16">
        <v>3485925</v>
      </c>
      <c r="D2507" s="10">
        <f>PrincipalesVariables[[#This Row],[Base monetaria]]/1000000</f>
        <v>3.4859249999999999</v>
      </c>
      <c r="E2507" s="10">
        <v>114.25</v>
      </c>
      <c r="F2507" s="11">
        <v>42867</v>
      </c>
      <c r="H2507" s="12">
        <f>(PrincipalesVariables[[#This Row],[Base monetaria]]-C2506)/C2506</f>
        <v>-1.732626935649554E-2</v>
      </c>
      <c r="I2507" s="12">
        <f>(PrincipalesVariables[[#This Row],[Dólar  mayorista]]-E2506)/E2506</f>
        <v>1.2268863377442869E-3</v>
      </c>
      <c r="J2507" s="12">
        <f>(PrincipalesVariables[[#This Row],[Reservas internacionales]]-F2506)/F2506</f>
        <v>-4.5977011494252873E-3</v>
      </c>
    </row>
    <row r="2508" spans="1:10" ht="15.75" thickBot="1" x14ac:dyDescent="0.3">
      <c r="A2508" s="14">
        <v>44676</v>
      </c>
      <c r="B2508" s="15">
        <v>44676</v>
      </c>
      <c r="C2508" s="16">
        <v>3640121</v>
      </c>
      <c r="D2508" s="10">
        <f>PrincipalesVariables[[#This Row],[Base monetaria]]/1000000</f>
        <v>3.6401210000000002</v>
      </c>
      <c r="E2508" s="10">
        <v>114.7</v>
      </c>
      <c r="F2508" s="11">
        <v>42638</v>
      </c>
      <c r="H2508" s="12">
        <f>(PrincipalesVariables[[#This Row],[Base monetaria]]-C2507)/C2507</f>
        <v>4.4233883402540218E-2</v>
      </c>
      <c r="I2508" s="12">
        <f>(PrincipalesVariables[[#This Row],[Dólar  mayorista]]-E2507)/E2507</f>
        <v>3.9387308533917094E-3</v>
      </c>
      <c r="J2508" s="12">
        <f>(PrincipalesVariables[[#This Row],[Reservas internacionales]]-F2507)/F2507</f>
        <v>-5.3421046492640022E-3</v>
      </c>
    </row>
    <row r="2509" spans="1:10" ht="15.75" thickBot="1" x14ac:dyDescent="0.3">
      <c r="A2509" s="14">
        <v>44677</v>
      </c>
      <c r="B2509" s="15">
        <v>44677</v>
      </c>
      <c r="C2509" s="16">
        <v>3522236</v>
      </c>
      <c r="D2509" s="10">
        <f>PrincipalesVariables[[#This Row],[Base monetaria]]/1000000</f>
        <v>3.5222359999999999</v>
      </c>
      <c r="E2509" s="10">
        <v>114.84</v>
      </c>
      <c r="F2509" s="11">
        <v>42646</v>
      </c>
      <c r="H2509" s="12">
        <f>(PrincipalesVariables[[#This Row],[Base monetaria]]-C2508)/C2508</f>
        <v>-3.2384912479557687E-2</v>
      </c>
      <c r="I2509" s="12">
        <f>(PrincipalesVariables[[#This Row],[Dólar  mayorista]]-E2508)/E2508</f>
        <v>1.2205754141238062E-3</v>
      </c>
      <c r="J2509" s="12">
        <f>(PrincipalesVariables[[#This Row],[Reservas internacionales]]-F2508)/F2508</f>
        <v>1.8762606125990899E-4</v>
      </c>
    </row>
    <row r="2510" spans="1:10" ht="15.75" thickBot="1" x14ac:dyDescent="0.3">
      <c r="A2510" s="14">
        <v>44678</v>
      </c>
      <c r="B2510" s="15">
        <v>44678</v>
      </c>
      <c r="C2510" s="16">
        <v>3449239</v>
      </c>
      <c r="D2510" s="10">
        <f>PrincipalesVariables[[#This Row],[Base monetaria]]/1000000</f>
        <v>3.4492389999999999</v>
      </c>
      <c r="E2510" s="10">
        <v>115.01</v>
      </c>
      <c r="F2510" s="11">
        <v>42557</v>
      </c>
      <c r="H2510" s="12">
        <f>(PrincipalesVariables[[#This Row],[Base monetaria]]-C2509)/C2509</f>
        <v>-2.072461924754616E-2</v>
      </c>
      <c r="I2510" s="12">
        <f>(PrincipalesVariables[[#This Row],[Dólar  mayorista]]-E2509)/E2509</f>
        <v>1.4803204458377021E-3</v>
      </c>
      <c r="J2510" s="12">
        <f>(PrincipalesVariables[[#This Row],[Reservas internacionales]]-F2509)/F2509</f>
        <v>-2.0869483656145945E-3</v>
      </c>
    </row>
    <row r="2511" spans="1:10" ht="15.75" thickBot="1" x14ac:dyDescent="0.3">
      <c r="A2511" s="14">
        <v>44679</v>
      </c>
      <c r="B2511" s="15">
        <v>44679</v>
      </c>
      <c r="C2511" s="16">
        <v>3460757</v>
      </c>
      <c r="D2511" s="10">
        <f>PrincipalesVariables[[#This Row],[Base monetaria]]/1000000</f>
        <v>3.4607570000000001</v>
      </c>
      <c r="E2511" s="10">
        <v>115.17</v>
      </c>
      <c r="F2511" s="11">
        <v>42465</v>
      </c>
      <c r="H2511" s="12">
        <f>(PrincipalesVariables[[#This Row],[Base monetaria]]-C2510)/C2510</f>
        <v>3.3392873036632137E-3</v>
      </c>
      <c r="I2511" s="12">
        <f>(PrincipalesVariables[[#This Row],[Dólar  mayorista]]-E2510)/E2510</f>
        <v>1.3911833753586348E-3</v>
      </c>
      <c r="J2511" s="12">
        <f>(PrincipalesVariables[[#This Row],[Reservas internacionales]]-F2510)/F2510</f>
        <v>-2.1618065183166106E-3</v>
      </c>
    </row>
    <row r="2512" spans="1:10" ht="15.75" thickBot="1" x14ac:dyDescent="0.3">
      <c r="A2512" s="14">
        <v>44680</v>
      </c>
      <c r="B2512" s="15">
        <v>44680</v>
      </c>
      <c r="C2512" s="16">
        <v>3509534</v>
      </c>
      <c r="D2512" s="10">
        <f>PrincipalesVariables[[#This Row],[Base monetaria]]/1000000</f>
        <v>3.5095339999999999</v>
      </c>
      <c r="E2512" s="10">
        <v>115.31</v>
      </c>
      <c r="F2512" s="11">
        <v>42007</v>
      </c>
      <c r="H2512" s="12">
        <f>(PrincipalesVariables[[#This Row],[Base monetaria]]-C2511)/C2511</f>
        <v>1.4094315203292228E-2</v>
      </c>
      <c r="I2512" s="12">
        <f>(PrincipalesVariables[[#This Row],[Dólar  mayorista]]-E2511)/E2511</f>
        <v>1.2155943388035128E-3</v>
      </c>
      <c r="J2512" s="12">
        <f>(PrincipalesVariables[[#This Row],[Reservas internacionales]]-F2511)/F2511</f>
        <v>-1.078535264335335E-2</v>
      </c>
    </row>
    <row r="2513" spans="1:10" ht="15.75" thickBot="1" x14ac:dyDescent="0.3">
      <c r="A2513" s="14">
        <v>44683</v>
      </c>
      <c r="B2513" s="15">
        <v>44683</v>
      </c>
      <c r="C2513" s="16">
        <v>3736854</v>
      </c>
      <c r="D2513" s="10">
        <f>PrincipalesVariables[[#This Row],[Base monetaria]]/1000000</f>
        <v>3.7368540000000001</v>
      </c>
      <c r="E2513" s="10">
        <v>115.75</v>
      </c>
      <c r="F2513" s="11">
        <v>42067</v>
      </c>
      <c r="H2513" s="12">
        <f>(PrincipalesVariables[[#This Row],[Base monetaria]]-C2512)/C2512</f>
        <v>6.4772132140620373E-2</v>
      </c>
      <c r="I2513" s="12">
        <f>(PrincipalesVariables[[#This Row],[Dólar  mayorista]]-E2512)/E2512</f>
        <v>3.8158008845720036E-3</v>
      </c>
      <c r="J2513" s="12">
        <f>(PrincipalesVariables[[#This Row],[Reservas internacionales]]-F2512)/F2512</f>
        <v>1.4283333730092604E-3</v>
      </c>
    </row>
    <row r="2514" spans="1:10" ht="15.75" thickBot="1" x14ac:dyDescent="0.3">
      <c r="A2514" s="14">
        <v>44684</v>
      </c>
      <c r="B2514" s="15">
        <v>44684</v>
      </c>
      <c r="C2514" s="16">
        <v>3719602</v>
      </c>
      <c r="D2514" s="10">
        <f>PrincipalesVariables[[#This Row],[Base monetaria]]/1000000</f>
        <v>3.7196020000000001</v>
      </c>
      <c r="E2514" s="10">
        <v>115.88</v>
      </c>
      <c r="F2514" s="11">
        <v>42121</v>
      </c>
      <c r="H2514" s="12">
        <f>(PrincipalesVariables[[#This Row],[Base monetaria]]-C2513)/C2513</f>
        <v>-4.616717698898592E-3</v>
      </c>
      <c r="I2514" s="12">
        <f>(PrincipalesVariables[[#This Row],[Dólar  mayorista]]-E2513)/E2513</f>
        <v>1.1231101511878657E-3</v>
      </c>
      <c r="J2514" s="12">
        <f>(PrincipalesVariables[[#This Row],[Reservas internacionales]]-F2513)/F2513</f>
        <v>1.2836665319609195E-3</v>
      </c>
    </row>
    <row r="2515" spans="1:10" ht="15.75" thickBot="1" x14ac:dyDescent="0.3">
      <c r="A2515" s="14">
        <v>44685</v>
      </c>
      <c r="B2515" s="15">
        <v>44685</v>
      </c>
      <c r="C2515" s="16">
        <v>3727902</v>
      </c>
      <c r="D2515" s="10">
        <f>PrincipalesVariables[[#This Row],[Base monetaria]]/1000000</f>
        <v>3.7279019999999998</v>
      </c>
      <c r="E2515" s="10">
        <v>116.02</v>
      </c>
      <c r="F2515" s="11">
        <v>42172</v>
      </c>
      <c r="H2515" s="12">
        <f>(PrincipalesVariables[[#This Row],[Base monetaria]]-C2514)/C2514</f>
        <v>2.2314215338092623E-3</v>
      </c>
      <c r="I2515" s="12">
        <f>(PrincipalesVariables[[#This Row],[Dólar  mayorista]]-E2514)/E2514</f>
        <v>1.2081463583016963E-3</v>
      </c>
      <c r="J2515" s="12">
        <f>(PrincipalesVariables[[#This Row],[Reservas internacionales]]-F2514)/F2514</f>
        <v>1.2107974644476626E-3</v>
      </c>
    </row>
    <row r="2516" spans="1:10" ht="15.75" thickBot="1" x14ac:dyDescent="0.3">
      <c r="A2516" s="14">
        <v>44686</v>
      </c>
      <c r="B2516" s="15">
        <v>44686</v>
      </c>
      <c r="C2516" s="16">
        <v>3685747</v>
      </c>
      <c r="D2516" s="10">
        <f>PrincipalesVariables[[#This Row],[Base monetaria]]/1000000</f>
        <v>3.6857470000000001</v>
      </c>
      <c r="E2516" s="10">
        <v>116.16</v>
      </c>
      <c r="F2516" s="11">
        <v>41797</v>
      </c>
      <c r="H2516" s="12">
        <f>(PrincipalesVariables[[#This Row],[Base monetaria]]-C2515)/C2515</f>
        <v>-1.130796893265971E-2</v>
      </c>
      <c r="I2516" s="12">
        <f>(PrincipalesVariables[[#This Row],[Dólar  mayorista]]-E2515)/E2515</f>
        <v>1.2066885019824218E-3</v>
      </c>
      <c r="J2516" s="12">
        <f>(PrincipalesVariables[[#This Row],[Reservas internacionales]]-F2515)/F2515</f>
        <v>-8.8921559328464378E-3</v>
      </c>
    </row>
    <row r="2517" spans="1:10" ht="15.75" thickBot="1" x14ac:dyDescent="0.3">
      <c r="A2517" s="14">
        <v>44687</v>
      </c>
      <c r="B2517" s="15">
        <v>44687</v>
      </c>
      <c r="C2517" s="16">
        <v>3730173</v>
      </c>
      <c r="D2517" s="10">
        <f>PrincipalesVariables[[#This Row],[Base monetaria]]/1000000</f>
        <v>3.7301730000000002</v>
      </c>
      <c r="E2517" s="10">
        <v>116.31</v>
      </c>
      <c r="F2517" s="11">
        <v>41816</v>
      </c>
      <c r="H2517" s="12">
        <f>(PrincipalesVariables[[#This Row],[Base monetaria]]-C2516)/C2516</f>
        <v>1.2053458905345375E-2</v>
      </c>
      <c r="I2517" s="12">
        <f>(PrincipalesVariables[[#This Row],[Dólar  mayorista]]-E2516)/E2516</f>
        <v>1.2913223140496358E-3</v>
      </c>
      <c r="J2517" s="12">
        <f>(PrincipalesVariables[[#This Row],[Reservas internacionales]]-F2516)/F2516</f>
        <v>4.5457807976649042E-4</v>
      </c>
    </row>
    <row r="2518" spans="1:10" ht="15.75" thickBot="1" x14ac:dyDescent="0.3">
      <c r="A2518" s="14">
        <v>44690</v>
      </c>
      <c r="B2518" s="15">
        <v>44690</v>
      </c>
      <c r="C2518" s="16">
        <v>3749753</v>
      </c>
      <c r="D2518" s="10">
        <f>PrincipalesVariables[[#This Row],[Base monetaria]]/1000000</f>
        <v>3.7497530000000001</v>
      </c>
      <c r="E2518" s="10">
        <v>116.76</v>
      </c>
      <c r="F2518" s="11">
        <v>41629</v>
      </c>
      <c r="H2518" s="12">
        <f>(PrincipalesVariables[[#This Row],[Base monetaria]]-C2517)/C2517</f>
        <v>5.2490863024315495E-3</v>
      </c>
      <c r="I2518" s="12">
        <f>(PrincipalesVariables[[#This Row],[Dólar  mayorista]]-E2517)/E2517</f>
        <v>3.8689708537529262E-3</v>
      </c>
      <c r="J2518" s="12">
        <f>(PrincipalesVariables[[#This Row],[Reservas internacionales]]-F2517)/F2517</f>
        <v>-4.4719724507365603E-3</v>
      </c>
    </row>
    <row r="2519" spans="1:10" ht="15.75" thickBot="1" x14ac:dyDescent="0.3">
      <c r="A2519" s="14">
        <v>44691</v>
      </c>
      <c r="B2519" s="15">
        <v>44691</v>
      </c>
      <c r="C2519" s="16">
        <v>3697949</v>
      </c>
      <c r="D2519" s="10">
        <f>PrincipalesVariables[[#This Row],[Base monetaria]]/1000000</f>
        <v>3.6979489999999999</v>
      </c>
      <c r="E2519" s="10">
        <v>116.92</v>
      </c>
      <c r="F2519" s="11">
        <v>41620</v>
      </c>
      <c r="H2519" s="12">
        <f>(PrincipalesVariables[[#This Row],[Base monetaria]]-C2518)/C2518</f>
        <v>-1.3815309968416586E-2</v>
      </c>
      <c r="I2519" s="12">
        <f>(PrincipalesVariables[[#This Row],[Dólar  mayorista]]-E2518)/E2518</f>
        <v>1.3703323055840749E-3</v>
      </c>
      <c r="J2519" s="12">
        <f>(PrincipalesVariables[[#This Row],[Reservas internacionales]]-F2518)/F2518</f>
        <v>-2.1619544067837324E-4</v>
      </c>
    </row>
    <row r="2520" spans="1:10" ht="15.75" thickBot="1" x14ac:dyDescent="0.3">
      <c r="A2520" s="14">
        <v>44692</v>
      </c>
      <c r="B2520" s="15">
        <v>44692</v>
      </c>
      <c r="C2520" s="16">
        <v>3741548</v>
      </c>
      <c r="D2520" s="10">
        <f>PrincipalesVariables[[#This Row],[Base monetaria]]/1000000</f>
        <v>3.7415479999999999</v>
      </c>
      <c r="E2520" s="10">
        <v>117.09</v>
      </c>
      <c r="F2520" s="11">
        <v>41625</v>
      </c>
      <c r="H2520" s="12">
        <f>(PrincipalesVariables[[#This Row],[Base monetaria]]-C2519)/C2519</f>
        <v>1.1790049024472756E-2</v>
      </c>
      <c r="I2520" s="12">
        <f>(PrincipalesVariables[[#This Row],[Dólar  mayorista]]-E2519)/E2519</f>
        <v>1.4539856312008356E-3</v>
      </c>
      <c r="J2520" s="12">
        <f>(PrincipalesVariables[[#This Row],[Reservas internacionales]]-F2519)/F2519</f>
        <v>1.201345506967804E-4</v>
      </c>
    </row>
    <row r="2521" spans="1:10" ht="15.75" thickBot="1" x14ac:dyDescent="0.3">
      <c r="A2521" s="14">
        <v>44693</v>
      </c>
      <c r="B2521" s="15">
        <v>44693</v>
      </c>
      <c r="C2521" s="16">
        <v>3672283</v>
      </c>
      <c r="D2521" s="10">
        <f>PrincipalesVariables[[#This Row],[Base monetaria]]/1000000</f>
        <v>3.6722830000000002</v>
      </c>
      <c r="E2521" s="10">
        <v>117.25</v>
      </c>
      <c r="F2521" s="11">
        <v>41342</v>
      </c>
      <c r="H2521" s="12">
        <f>(PrincipalesVariables[[#This Row],[Base monetaria]]-C2520)/C2520</f>
        <v>-1.8512391127950251E-2</v>
      </c>
      <c r="I2521" s="12">
        <f>(PrincipalesVariables[[#This Row],[Dólar  mayorista]]-E2520)/E2520</f>
        <v>1.3664702365701305E-3</v>
      </c>
      <c r="J2521" s="12">
        <f>(PrincipalesVariables[[#This Row],[Reservas internacionales]]-F2520)/F2520</f>
        <v>-6.7987987987987988E-3</v>
      </c>
    </row>
    <row r="2522" spans="1:10" ht="15.75" thickBot="1" x14ac:dyDescent="0.3">
      <c r="A2522" s="14">
        <v>44694</v>
      </c>
      <c r="B2522" s="15">
        <v>44694</v>
      </c>
      <c r="C2522" s="16">
        <v>3662391</v>
      </c>
      <c r="D2522" s="10">
        <f>PrincipalesVariables[[#This Row],[Base monetaria]]/1000000</f>
        <v>3.662391</v>
      </c>
      <c r="E2522" s="10">
        <v>117.41</v>
      </c>
      <c r="F2522" s="11">
        <v>41290</v>
      </c>
      <c r="H2522" s="12">
        <f>(PrincipalesVariables[[#This Row],[Base monetaria]]-C2521)/C2521</f>
        <v>-2.6936921800416796E-3</v>
      </c>
      <c r="I2522" s="12">
        <f>(PrincipalesVariables[[#This Row],[Dólar  mayorista]]-E2521)/E2521</f>
        <v>1.3646055437099922E-3</v>
      </c>
      <c r="J2522" s="12">
        <f>(PrincipalesVariables[[#This Row],[Reservas internacionales]]-F2521)/F2521</f>
        <v>-1.2578007837066422E-3</v>
      </c>
    </row>
    <row r="2523" spans="1:10" ht="15.75" thickBot="1" x14ac:dyDescent="0.3">
      <c r="A2523" s="14">
        <v>44697</v>
      </c>
      <c r="B2523" s="15">
        <v>44697</v>
      </c>
      <c r="C2523" s="16">
        <v>3741240</v>
      </c>
      <c r="D2523" s="10">
        <f>PrincipalesVariables[[#This Row],[Base monetaria]]/1000000</f>
        <v>3.7412399999999999</v>
      </c>
      <c r="E2523" s="10">
        <v>117.87</v>
      </c>
      <c r="F2523" s="11">
        <v>41358</v>
      </c>
      <c r="H2523" s="12">
        <f>(PrincipalesVariables[[#This Row],[Base monetaria]]-C2522)/C2522</f>
        <v>2.152937793916597E-2</v>
      </c>
      <c r="I2523" s="12">
        <f>(PrincipalesVariables[[#This Row],[Dólar  mayorista]]-E2522)/E2522</f>
        <v>3.9178945575334976E-3</v>
      </c>
      <c r="J2523" s="12">
        <f>(PrincipalesVariables[[#This Row],[Reservas internacionales]]-F2522)/F2522</f>
        <v>1.6468878663114556E-3</v>
      </c>
    </row>
    <row r="2524" spans="1:10" ht="15.75" thickBot="1" x14ac:dyDescent="0.3">
      <c r="A2524" s="14">
        <v>44698</v>
      </c>
      <c r="B2524" s="15">
        <v>44698</v>
      </c>
      <c r="C2524" s="16">
        <v>3677847</v>
      </c>
      <c r="D2524" s="10">
        <f>PrincipalesVariables[[#This Row],[Base monetaria]]/1000000</f>
        <v>3.6778469999999999</v>
      </c>
      <c r="E2524" s="10">
        <v>118.04</v>
      </c>
      <c r="F2524" s="11">
        <v>41396</v>
      </c>
      <c r="H2524" s="12">
        <f>(PrincipalesVariables[[#This Row],[Base monetaria]]-C2523)/C2523</f>
        <v>-1.6944382076530776E-2</v>
      </c>
      <c r="I2524" s="12">
        <f>(PrincipalesVariables[[#This Row],[Dólar  mayorista]]-E2523)/E2523</f>
        <v>1.4422669042165241E-3</v>
      </c>
      <c r="J2524" s="12">
        <f>(PrincipalesVariables[[#This Row],[Reservas internacionales]]-F2523)/F2523</f>
        <v>9.1880651869045895E-4</v>
      </c>
    </row>
    <row r="2525" spans="1:10" ht="15.75" thickBot="1" x14ac:dyDescent="0.3">
      <c r="A2525" s="14">
        <v>44700</v>
      </c>
      <c r="B2525" s="15">
        <v>44700</v>
      </c>
      <c r="C2525" s="16">
        <v>3686176</v>
      </c>
      <c r="D2525" s="10">
        <f>PrincipalesVariables[[#This Row],[Base monetaria]]/1000000</f>
        <v>3.6861760000000001</v>
      </c>
      <c r="E2525" s="10">
        <v>118.36</v>
      </c>
      <c r="F2525" s="11">
        <v>41486</v>
      </c>
      <c r="H2525" s="12">
        <f>(PrincipalesVariables[[#This Row],[Base monetaria]]-C2524)/C2524</f>
        <v>2.2646401549602253E-3</v>
      </c>
      <c r="I2525" s="12">
        <f>(PrincipalesVariables[[#This Row],[Dólar  mayorista]]-E2524)/E2524</f>
        <v>2.7109454422229173E-3</v>
      </c>
      <c r="J2525" s="12">
        <f>(PrincipalesVariables[[#This Row],[Reservas internacionales]]-F2524)/F2524</f>
        <v>2.1741231036815152E-3</v>
      </c>
    </row>
    <row r="2526" spans="1:10" ht="15.75" thickBot="1" x14ac:dyDescent="0.3">
      <c r="A2526" s="14">
        <v>44701</v>
      </c>
      <c r="B2526" s="15">
        <v>44701</v>
      </c>
      <c r="C2526" s="16">
        <v>3672552</v>
      </c>
      <c r="D2526" s="10">
        <f>PrincipalesVariables[[#This Row],[Base monetaria]]/1000000</f>
        <v>3.672552</v>
      </c>
      <c r="E2526" s="10">
        <v>118.49</v>
      </c>
      <c r="F2526" s="11">
        <v>41541</v>
      </c>
      <c r="H2526" s="12">
        <f>(PrincipalesVariables[[#This Row],[Base monetaria]]-C2525)/C2525</f>
        <v>-3.6959711093556033E-3</v>
      </c>
      <c r="I2526" s="12">
        <f>(PrincipalesVariables[[#This Row],[Dólar  mayorista]]-E2525)/E2525</f>
        <v>1.0983440351469706E-3</v>
      </c>
      <c r="J2526" s="12">
        <f>(PrincipalesVariables[[#This Row],[Reservas internacionales]]-F2525)/F2525</f>
        <v>1.3257484452586414E-3</v>
      </c>
    </row>
    <row r="2527" spans="1:10" ht="15.75" thickBot="1" x14ac:dyDescent="0.3">
      <c r="A2527" s="14">
        <v>44704</v>
      </c>
      <c r="B2527" s="15">
        <v>44704</v>
      </c>
      <c r="C2527" s="16">
        <v>3723622</v>
      </c>
      <c r="D2527" s="10">
        <f>PrincipalesVariables[[#This Row],[Base monetaria]]/1000000</f>
        <v>3.7236220000000002</v>
      </c>
      <c r="E2527" s="10">
        <v>118.95</v>
      </c>
      <c r="F2527" s="11">
        <v>41647</v>
      </c>
      <c r="H2527" s="12">
        <f>(PrincipalesVariables[[#This Row],[Base monetaria]]-C2526)/C2526</f>
        <v>1.3905861646070635E-2</v>
      </c>
      <c r="I2527" s="12">
        <f>(PrincipalesVariables[[#This Row],[Dólar  mayorista]]-E2526)/E2526</f>
        <v>3.882184150561296E-3</v>
      </c>
      <c r="J2527" s="12">
        <f>(PrincipalesVariables[[#This Row],[Reservas internacionales]]-F2526)/F2526</f>
        <v>2.5516959148792757E-3</v>
      </c>
    </row>
    <row r="2528" spans="1:10" ht="15.75" thickBot="1" x14ac:dyDescent="0.3">
      <c r="A2528" s="14">
        <v>44705</v>
      </c>
      <c r="B2528" s="15">
        <v>44705</v>
      </c>
      <c r="C2528" s="16">
        <v>3703150</v>
      </c>
      <c r="D2528" s="10">
        <f>PrincipalesVariables[[#This Row],[Base monetaria]]/1000000</f>
        <v>3.7031499999999999</v>
      </c>
      <c r="E2528" s="10">
        <v>119.1</v>
      </c>
      <c r="F2528" s="11">
        <v>41654</v>
      </c>
      <c r="H2528" s="12">
        <f>(PrincipalesVariables[[#This Row],[Base monetaria]]-C2527)/C2527</f>
        <v>-5.497872770114689E-3</v>
      </c>
      <c r="I2528" s="12">
        <f>(PrincipalesVariables[[#This Row],[Dólar  mayorista]]-E2527)/E2527</f>
        <v>1.261034047919222E-3</v>
      </c>
      <c r="J2528" s="12">
        <f>(PrincipalesVariables[[#This Row],[Reservas internacionales]]-F2527)/F2527</f>
        <v>1.6807933344538623E-4</v>
      </c>
    </row>
    <row r="2529" spans="1:10" ht="15.75" thickBot="1" x14ac:dyDescent="0.3">
      <c r="A2529" s="14">
        <v>44707</v>
      </c>
      <c r="B2529" s="15">
        <v>44707</v>
      </c>
      <c r="C2529" s="16">
        <v>3698929</v>
      </c>
      <c r="D2529" s="10">
        <f>PrincipalesVariables[[#This Row],[Base monetaria]]/1000000</f>
        <v>3.6989290000000001</v>
      </c>
      <c r="E2529" s="10">
        <v>119.42</v>
      </c>
      <c r="F2529" s="11">
        <v>41466</v>
      </c>
      <c r="H2529" s="12">
        <f>(PrincipalesVariables[[#This Row],[Base monetaria]]-C2528)/C2528</f>
        <v>-1.1398404061407181E-3</v>
      </c>
      <c r="I2529" s="12">
        <f>(PrincipalesVariables[[#This Row],[Dólar  mayorista]]-E2528)/E2528</f>
        <v>2.6868178001679885E-3</v>
      </c>
      <c r="J2529" s="12">
        <f>(PrincipalesVariables[[#This Row],[Reservas internacionales]]-F2528)/F2528</f>
        <v>-4.5133720651077932E-3</v>
      </c>
    </row>
    <row r="2530" spans="1:10" ht="15.75" thickBot="1" x14ac:dyDescent="0.3">
      <c r="A2530" s="14">
        <v>44708</v>
      </c>
      <c r="B2530" s="15">
        <v>44708</v>
      </c>
      <c r="C2530" s="16">
        <v>3701208</v>
      </c>
      <c r="D2530" s="10">
        <f>PrincipalesVariables[[#This Row],[Base monetaria]]/1000000</f>
        <v>3.7012079999999998</v>
      </c>
      <c r="E2530" s="10">
        <v>119.56</v>
      </c>
      <c r="F2530" s="11">
        <v>41544</v>
      </c>
      <c r="H2530" s="12">
        <f>(PrincipalesVariables[[#This Row],[Base monetaria]]-C2529)/C2529</f>
        <v>6.1612428894958519E-4</v>
      </c>
      <c r="I2530" s="12">
        <f>(PrincipalesVariables[[#This Row],[Dólar  mayorista]]-E2529)/E2529</f>
        <v>1.1723329425556905E-3</v>
      </c>
      <c r="J2530" s="12">
        <f>(PrincipalesVariables[[#This Row],[Reservas internacionales]]-F2529)/F2529</f>
        <v>1.8810591810157721E-3</v>
      </c>
    </row>
    <row r="2531" spans="1:10" ht="15.75" thickBot="1" x14ac:dyDescent="0.3">
      <c r="A2531" s="14">
        <v>44711</v>
      </c>
      <c r="B2531" s="15">
        <v>44711</v>
      </c>
      <c r="C2531" s="16">
        <v>3667925</v>
      </c>
      <c r="D2531" s="10">
        <f>PrincipalesVariables[[#This Row],[Base monetaria]]/1000000</f>
        <v>3.6679249999999999</v>
      </c>
      <c r="E2531" s="10">
        <v>120.01</v>
      </c>
      <c r="F2531" s="11">
        <v>41650</v>
      </c>
      <c r="H2531" s="12">
        <f>(PrincipalesVariables[[#This Row],[Base monetaria]]-C2530)/C2530</f>
        <v>-8.9924694856382027E-3</v>
      </c>
      <c r="I2531" s="12">
        <f>(PrincipalesVariables[[#This Row],[Dólar  mayorista]]-E2530)/E2530</f>
        <v>3.76380060220812E-3</v>
      </c>
      <c r="J2531" s="12">
        <f>(PrincipalesVariables[[#This Row],[Reservas internacionales]]-F2530)/F2530</f>
        <v>2.5515116502984789E-3</v>
      </c>
    </row>
    <row r="2532" spans="1:10" ht="15.75" thickBot="1" x14ac:dyDescent="0.3">
      <c r="A2532" s="14">
        <v>44712</v>
      </c>
      <c r="B2532" s="15">
        <v>44712</v>
      </c>
      <c r="C2532" s="16">
        <v>3767808</v>
      </c>
      <c r="D2532" s="10">
        <f>PrincipalesVariables[[#This Row],[Base monetaria]]/1000000</f>
        <v>3.767808</v>
      </c>
      <c r="E2532" s="10">
        <v>120.16</v>
      </c>
      <c r="F2532" s="11">
        <v>41561</v>
      </c>
      <c r="H2532" s="12">
        <f>(PrincipalesVariables[[#This Row],[Base monetaria]]-C2531)/C2531</f>
        <v>2.723147283545874E-2</v>
      </c>
      <c r="I2532" s="12">
        <f>(PrincipalesVariables[[#This Row],[Dólar  mayorista]]-E2531)/E2531</f>
        <v>1.2498958420130944E-3</v>
      </c>
      <c r="J2532" s="12">
        <f>(PrincipalesVariables[[#This Row],[Reservas internacionales]]-F2531)/F2531</f>
        <v>-2.1368547418967585E-3</v>
      </c>
    </row>
    <row r="2533" spans="1:10" ht="15.75" thickBot="1" x14ac:dyDescent="0.3">
      <c r="A2533" s="14">
        <v>44713</v>
      </c>
      <c r="B2533" s="15">
        <v>44713</v>
      </c>
      <c r="C2533" s="16">
        <v>3981551</v>
      </c>
      <c r="D2533" s="10">
        <f>PrincipalesVariables[[#This Row],[Base monetaria]]/1000000</f>
        <v>3.9815510000000001</v>
      </c>
      <c r="E2533" s="10">
        <v>120.33</v>
      </c>
      <c r="F2533" s="11">
        <v>41573</v>
      </c>
      <c r="H2533" s="12">
        <f>(PrincipalesVariables[[#This Row],[Base monetaria]]-C2532)/C2532</f>
        <v>5.6728739893327898E-2</v>
      </c>
      <c r="I2533" s="12">
        <f>(PrincipalesVariables[[#This Row],[Dólar  mayorista]]-E2532)/E2532</f>
        <v>1.4147802929427573E-3</v>
      </c>
      <c r="J2533" s="12">
        <f>(PrincipalesVariables[[#This Row],[Reservas internacionales]]-F2532)/F2532</f>
        <v>2.8873222492240323E-4</v>
      </c>
    </row>
    <row r="2534" spans="1:10" ht="15.75" thickBot="1" x14ac:dyDescent="0.3">
      <c r="A2534" s="14">
        <v>44714</v>
      </c>
      <c r="B2534" s="15">
        <v>44714</v>
      </c>
      <c r="C2534" s="16">
        <v>3838605</v>
      </c>
      <c r="D2534" s="10">
        <f>PrincipalesVariables[[#This Row],[Base monetaria]]/1000000</f>
        <v>3.8386049999999998</v>
      </c>
      <c r="E2534" s="10">
        <v>120.47</v>
      </c>
      <c r="F2534" s="11">
        <v>41600</v>
      </c>
      <c r="H2534" s="12">
        <f>(PrincipalesVariables[[#This Row],[Base monetaria]]-C2533)/C2533</f>
        <v>-3.5902089411889992E-2</v>
      </c>
      <c r="I2534" s="12">
        <f>(PrincipalesVariables[[#This Row],[Dólar  mayorista]]-E2533)/E2533</f>
        <v>1.1634671320535242E-3</v>
      </c>
      <c r="J2534" s="12">
        <f>(PrincipalesVariables[[#This Row],[Reservas internacionales]]-F2533)/F2533</f>
        <v>6.4945998604863729E-4</v>
      </c>
    </row>
    <row r="2535" spans="1:10" ht="15.75" thickBot="1" x14ac:dyDescent="0.3">
      <c r="A2535" s="14">
        <v>44715</v>
      </c>
      <c r="B2535" s="15">
        <v>44715</v>
      </c>
      <c r="C2535" s="16">
        <v>3830186</v>
      </c>
      <c r="D2535" s="10">
        <f>PrincipalesVariables[[#This Row],[Base monetaria]]/1000000</f>
        <v>3.8301859999999999</v>
      </c>
      <c r="E2535" s="10">
        <v>120.63</v>
      </c>
      <c r="F2535" s="11">
        <v>41613</v>
      </c>
      <c r="H2535" s="12">
        <f>(PrincipalesVariables[[#This Row],[Base monetaria]]-C2534)/C2534</f>
        <v>-2.1932446813360583E-3</v>
      </c>
      <c r="I2535" s="12">
        <f>(PrincipalesVariables[[#This Row],[Dólar  mayorista]]-E2534)/E2534</f>
        <v>1.3281314850169884E-3</v>
      </c>
      <c r="J2535" s="12">
        <f>(PrincipalesVariables[[#This Row],[Reservas internacionales]]-F2534)/F2534</f>
        <v>3.1250000000000001E-4</v>
      </c>
    </row>
    <row r="2536" spans="1:10" ht="15.75" thickBot="1" x14ac:dyDescent="0.3">
      <c r="A2536" s="14">
        <v>44718</v>
      </c>
      <c r="B2536" s="15">
        <v>44718</v>
      </c>
      <c r="C2536" s="16">
        <v>3925780</v>
      </c>
      <c r="D2536" s="10">
        <f>PrincipalesVariables[[#This Row],[Base monetaria]]/1000000</f>
        <v>3.92578</v>
      </c>
      <c r="E2536" s="10">
        <v>121.11</v>
      </c>
      <c r="F2536" s="11">
        <v>41622</v>
      </c>
      <c r="H2536" s="12">
        <f>(PrincipalesVariables[[#This Row],[Base monetaria]]-C2535)/C2535</f>
        <v>2.4958056867212194E-2</v>
      </c>
      <c r="I2536" s="12">
        <f>(PrincipalesVariables[[#This Row],[Dólar  mayorista]]-E2535)/E2535</f>
        <v>3.9791096742104286E-3</v>
      </c>
      <c r="J2536" s="12">
        <f>(PrincipalesVariables[[#This Row],[Reservas internacionales]]-F2535)/F2535</f>
        <v>2.1627856679403071E-4</v>
      </c>
    </row>
    <row r="2537" spans="1:10" ht="15.75" thickBot="1" x14ac:dyDescent="0.3">
      <c r="A2537" s="14">
        <v>44719</v>
      </c>
      <c r="B2537" s="15">
        <v>44719</v>
      </c>
      <c r="C2537" s="16">
        <v>3831448</v>
      </c>
      <c r="D2537" s="10">
        <f>PrincipalesVariables[[#This Row],[Base monetaria]]/1000000</f>
        <v>3.831448</v>
      </c>
      <c r="E2537" s="10">
        <v>121.28</v>
      </c>
      <c r="F2537" s="11">
        <v>41642</v>
      </c>
      <c r="H2537" s="12">
        <f>(PrincipalesVariables[[#This Row],[Base monetaria]]-C2536)/C2536</f>
        <v>-2.4028855412172867E-2</v>
      </c>
      <c r="I2537" s="12">
        <f>(PrincipalesVariables[[#This Row],[Dólar  mayorista]]-E2536)/E2536</f>
        <v>1.4036826025926985E-3</v>
      </c>
      <c r="J2537" s="12">
        <f>(PrincipalesVariables[[#This Row],[Reservas internacionales]]-F2536)/F2536</f>
        <v>4.8051511220027868E-4</v>
      </c>
    </row>
    <row r="2538" spans="1:10" ht="15.75" thickBot="1" x14ac:dyDescent="0.3">
      <c r="A2538" s="14">
        <v>44720</v>
      </c>
      <c r="B2538" s="15">
        <v>44720</v>
      </c>
      <c r="C2538" s="16">
        <v>3818860</v>
      </c>
      <c r="D2538" s="10">
        <f>PrincipalesVariables[[#This Row],[Base monetaria]]/1000000</f>
        <v>3.8188599999999999</v>
      </c>
      <c r="E2538" s="10">
        <v>121.46</v>
      </c>
      <c r="F2538" s="11">
        <v>41621</v>
      </c>
      <c r="H2538" s="12">
        <f>(PrincipalesVariables[[#This Row],[Base monetaria]]-C2537)/C2537</f>
        <v>-3.2854419530161964E-3</v>
      </c>
      <c r="I2538" s="12">
        <f>(PrincipalesVariables[[#This Row],[Dólar  mayorista]]-E2537)/E2537</f>
        <v>1.4841688654352952E-3</v>
      </c>
      <c r="J2538" s="12">
        <f>(PrincipalesVariables[[#This Row],[Reservas internacionales]]-F2537)/F2537</f>
        <v>-5.0429854473848514E-4</v>
      </c>
    </row>
    <row r="2539" spans="1:10" ht="15.75" thickBot="1" x14ac:dyDescent="0.3">
      <c r="A2539" s="14">
        <v>44721</v>
      </c>
      <c r="B2539" s="15">
        <v>44721</v>
      </c>
      <c r="C2539" s="16">
        <v>3806374</v>
      </c>
      <c r="D2539" s="10">
        <f>PrincipalesVariables[[#This Row],[Base monetaria]]/1000000</f>
        <v>3.8063739999999999</v>
      </c>
      <c r="E2539" s="10">
        <v>121.63</v>
      </c>
      <c r="F2539" s="11">
        <v>41627</v>
      </c>
      <c r="H2539" s="12">
        <f>(PrincipalesVariables[[#This Row],[Base monetaria]]-C2538)/C2538</f>
        <v>-3.2695621206328589E-3</v>
      </c>
      <c r="I2539" s="12">
        <f>(PrincipalesVariables[[#This Row],[Dólar  mayorista]]-E2538)/E2538</f>
        <v>1.3996377408200371E-3</v>
      </c>
      <c r="J2539" s="12">
        <f>(PrincipalesVariables[[#This Row],[Reservas internacionales]]-F2538)/F2538</f>
        <v>1.4415799716489271E-4</v>
      </c>
    </row>
    <row r="2540" spans="1:10" ht="15.75" thickBot="1" x14ac:dyDescent="0.3">
      <c r="A2540" s="14">
        <v>44722</v>
      </c>
      <c r="B2540" s="15">
        <v>44722</v>
      </c>
      <c r="C2540" s="16">
        <v>3841073</v>
      </c>
      <c r="D2540" s="10">
        <f>PrincipalesVariables[[#This Row],[Base monetaria]]/1000000</f>
        <v>3.8410730000000002</v>
      </c>
      <c r="E2540" s="10">
        <v>121.79</v>
      </c>
      <c r="F2540" s="11">
        <v>41597</v>
      </c>
      <c r="H2540" s="12">
        <f>(PrincipalesVariables[[#This Row],[Base monetaria]]-C2539)/C2539</f>
        <v>9.1160248572525974E-3</v>
      </c>
      <c r="I2540" s="12">
        <f>(PrincipalesVariables[[#This Row],[Dólar  mayorista]]-E2539)/E2539</f>
        <v>1.3154649346379249E-3</v>
      </c>
      <c r="J2540" s="12">
        <f>(PrincipalesVariables[[#This Row],[Reservas internacionales]]-F2539)/F2539</f>
        <v>-7.2068609316068902E-4</v>
      </c>
    </row>
    <row r="2541" spans="1:10" ht="15.75" thickBot="1" x14ac:dyDescent="0.3">
      <c r="A2541" s="14">
        <v>44725</v>
      </c>
      <c r="B2541" s="15">
        <v>44725</v>
      </c>
      <c r="C2541" s="16">
        <v>3925128</v>
      </c>
      <c r="D2541" s="10">
        <f>PrincipalesVariables[[#This Row],[Base monetaria]]/1000000</f>
        <v>3.925128</v>
      </c>
      <c r="E2541" s="10">
        <v>122.3</v>
      </c>
      <c r="F2541" s="11">
        <v>41352</v>
      </c>
      <c r="H2541" s="12">
        <f>(PrincipalesVariables[[#This Row],[Base monetaria]]-C2540)/C2540</f>
        <v>2.1883208155637761E-2</v>
      </c>
      <c r="I2541" s="12">
        <f>(PrincipalesVariables[[#This Row],[Dólar  mayorista]]-E2540)/E2540</f>
        <v>4.1875359224894564E-3</v>
      </c>
      <c r="J2541" s="12">
        <f>(PrincipalesVariables[[#This Row],[Reservas internacionales]]-F2540)/F2540</f>
        <v>-5.8898478255643436E-3</v>
      </c>
    </row>
    <row r="2542" spans="1:10" ht="15.75" thickBot="1" x14ac:dyDescent="0.3">
      <c r="A2542" s="14">
        <v>44726</v>
      </c>
      <c r="B2542" s="15">
        <v>44726</v>
      </c>
      <c r="C2542" s="16">
        <v>3916437</v>
      </c>
      <c r="D2542" s="10">
        <f>PrincipalesVariables[[#This Row],[Base monetaria]]/1000000</f>
        <v>3.9164370000000002</v>
      </c>
      <c r="E2542" s="10">
        <v>122.48</v>
      </c>
      <c r="F2542" s="11">
        <v>41231</v>
      </c>
      <c r="H2542" s="12">
        <f>(PrincipalesVariables[[#This Row],[Base monetaria]]-C2541)/C2541</f>
        <v>-2.2141953077708548E-3</v>
      </c>
      <c r="I2542" s="12">
        <f>(PrincipalesVariables[[#This Row],[Dólar  mayorista]]-E2541)/E2541</f>
        <v>1.4717906786590909E-3</v>
      </c>
      <c r="J2542" s="12">
        <f>(PrincipalesVariables[[#This Row],[Reservas internacionales]]-F2541)/F2541</f>
        <v>-2.9260978912749079E-3</v>
      </c>
    </row>
    <row r="2543" spans="1:10" ht="15.75" thickBot="1" x14ac:dyDescent="0.3">
      <c r="A2543" s="14">
        <v>44727</v>
      </c>
      <c r="B2543" s="15">
        <v>44727</v>
      </c>
      <c r="C2543" s="16">
        <v>3933647</v>
      </c>
      <c r="D2543" s="10">
        <f>PrincipalesVariables[[#This Row],[Base monetaria]]/1000000</f>
        <v>3.9336470000000001</v>
      </c>
      <c r="E2543" s="10">
        <v>122.69</v>
      </c>
      <c r="F2543" s="11">
        <v>41096</v>
      </c>
      <c r="H2543" s="12">
        <f>(PrincipalesVariables[[#This Row],[Base monetaria]]-C2542)/C2542</f>
        <v>4.3943002274771685E-3</v>
      </c>
      <c r="I2543" s="12">
        <f>(PrincipalesVariables[[#This Row],[Dólar  mayorista]]-E2542)/E2542</f>
        <v>1.7145656433702951E-3</v>
      </c>
      <c r="J2543" s="12">
        <f>(PrincipalesVariables[[#This Row],[Reservas internacionales]]-F2542)/F2542</f>
        <v>-3.2742354053988502E-3</v>
      </c>
    </row>
    <row r="2544" spans="1:10" ht="15.75" thickBot="1" x14ac:dyDescent="0.3">
      <c r="A2544" s="14">
        <v>44728</v>
      </c>
      <c r="B2544" s="15">
        <v>44728</v>
      </c>
      <c r="C2544" s="16">
        <v>3934191</v>
      </c>
      <c r="D2544" s="10">
        <f>PrincipalesVariables[[#This Row],[Base monetaria]]/1000000</f>
        <v>3.9341910000000002</v>
      </c>
      <c r="E2544" s="10">
        <v>122.9</v>
      </c>
      <c r="F2544" s="11">
        <v>40903</v>
      </c>
      <c r="H2544" s="12">
        <f>(PrincipalesVariables[[#This Row],[Base monetaria]]-C2543)/C2543</f>
        <v>1.3829405638075812E-4</v>
      </c>
      <c r="I2544" s="12">
        <f>(PrincipalesVariables[[#This Row],[Dólar  mayorista]]-E2543)/E2543</f>
        <v>1.711630939766957E-3</v>
      </c>
      <c r="J2544" s="12">
        <f>(PrincipalesVariables[[#This Row],[Reservas internacionales]]-F2543)/F2543</f>
        <v>-4.6963208098111742E-3</v>
      </c>
    </row>
    <row r="2545" spans="1:10" ht="15.75" thickBot="1" x14ac:dyDescent="0.3">
      <c r="A2545" s="14">
        <v>44733</v>
      </c>
      <c r="B2545" s="15">
        <v>44733</v>
      </c>
      <c r="C2545" s="16">
        <v>3940012</v>
      </c>
      <c r="D2545" s="10">
        <f>PrincipalesVariables[[#This Row],[Base monetaria]]/1000000</f>
        <v>3.9400119999999998</v>
      </c>
      <c r="E2545" s="10">
        <v>123.69</v>
      </c>
      <c r="F2545" s="11">
        <v>40011</v>
      </c>
      <c r="H2545" s="12">
        <f>(PrincipalesVariables[[#This Row],[Base monetaria]]-C2544)/C2544</f>
        <v>1.4795926278109018E-3</v>
      </c>
      <c r="I2545" s="12">
        <f>(PrincipalesVariables[[#This Row],[Dólar  mayorista]]-E2544)/E2544</f>
        <v>6.4279902359641334E-3</v>
      </c>
      <c r="J2545" s="12">
        <f>(PrincipalesVariables[[#This Row],[Reservas internacionales]]-F2544)/F2544</f>
        <v>-2.1807691367381365E-2</v>
      </c>
    </row>
    <row r="2546" spans="1:10" ht="15.75" thickBot="1" x14ac:dyDescent="0.3">
      <c r="A2546" s="14">
        <v>44734</v>
      </c>
      <c r="B2546" s="15">
        <v>44734</v>
      </c>
      <c r="C2546" s="16">
        <v>3847073</v>
      </c>
      <c r="D2546" s="10">
        <f>PrincipalesVariables[[#This Row],[Base monetaria]]/1000000</f>
        <v>3.847073</v>
      </c>
      <c r="E2546" s="10">
        <v>123.86</v>
      </c>
      <c r="F2546" s="11">
        <v>38231</v>
      </c>
      <c r="H2546" s="12">
        <f>(PrincipalesVariables[[#This Row],[Base monetaria]]-C2545)/C2545</f>
        <v>-2.3588506837035013E-2</v>
      </c>
      <c r="I2546" s="12">
        <f>(PrincipalesVariables[[#This Row],[Dólar  mayorista]]-E2545)/E2545</f>
        <v>1.3744037513137822E-3</v>
      </c>
      <c r="J2546" s="12">
        <f>(PrincipalesVariables[[#This Row],[Reservas internacionales]]-F2545)/F2545</f>
        <v>-4.4487765864387296E-2</v>
      </c>
    </row>
    <row r="2547" spans="1:10" ht="15.75" thickBot="1" x14ac:dyDescent="0.3">
      <c r="A2547" s="14">
        <v>44735</v>
      </c>
      <c r="B2547" s="15">
        <v>44735</v>
      </c>
      <c r="C2547" s="16">
        <v>3878247</v>
      </c>
      <c r="D2547" s="10">
        <f>PrincipalesVariables[[#This Row],[Base monetaria]]/1000000</f>
        <v>3.878247</v>
      </c>
      <c r="E2547" s="10">
        <v>124.03</v>
      </c>
      <c r="F2547" s="11">
        <v>38085</v>
      </c>
      <c r="H2547" s="12">
        <f>(PrincipalesVariables[[#This Row],[Base monetaria]]-C2546)/C2546</f>
        <v>8.1033034725361327E-3</v>
      </c>
      <c r="I2547" s="12">
        <f>(PrincipalesVariables[[#This Row],[Dólar  mayorista]]-E2546)/E2546</f>
        <v>1.3725173583077805E-3</v>
      </c>
      <c r="J2547" s="12">
        <f>(PrincipalesVariables[[#This Row],[Reservas internacionales]]-F2546)/F2546</f>
        <v>-3.8188904292328217E-3</v>
      </c>
    </row>
    <row r="2548" spans="1:10" ht="15.75" thickBot="1" x14ac:dyDescent="0.3">
      <c r="A2548" s="14">
        <v>44736</v>
      </c>
      <c r="B2548" s="15">
        <v>44736</v>
      </c>
      <c r="C2548" s="16">
        <v>3866038</v>
      </c>
      <c r="D2548" s="10">
        <f>PrincipalesVariables[[#This Row],[Base monetaria]]/1000000</f>
        <v>3.8660380000000001</v>
      </c>
      <c r="E2548" s="10">
        <v>124.26</v>
      </c>
      <c r="F2548" s="11">
        <v>38006</v>
      </c>
      <c r="H2548" s="12">
        <f>(PrincipalesVariables[[#This Row],[Base monetaria]]-C2547)/C2547</f>
        <v>-3.1480717963554153E-3</v>
      </c>
      <c r="I2548" s="12">
        <f>(PrincipalesVariables[[#This Row],[Dólar  mayorista]]-E2547)/E2547</f>
        <v>1.8543900669193258E-3</v>
      </c>
      <c r="J2548" s="12">
        <f>(PrincipalesVariables[[#This Row],[Reservas internacionales]]-F2547)/F2547</f>
        <v>-2.0743074701325983E-3</v>
      </c>
    </row>
    <row r="2549" spans="1:10" ht="15.75" thickBot="1" x14ac:dyDescent="0.3">
      <c r="A2549" s="14">
        <v>44739</v>
      </c>
      <c r="B2549" s="15">
        <v>44739</v>
      </c>
      <c r="C2549" s="16">
        <v>3926648</v>
      </c>
      <c r="D2549" s="10">
        <f>PrincipalesVariables[[#This Row],[Base monetaria]]/1000000</f>
        <v>3.9266480000000001</v>
      </c>
      <c r="E2549" s="10">
        <v>124.71</v>
      </c>
      <c r="F2549" s="11">
        <v>38119</v>
      </c>
      <c r="H2549" s="12">
        <f>(PrincipalesVariables[[#This Row],[Base monetaria]]-C2548)/C2548</f>
        <v>1.567754895321774E-2</v>
      </c>
      <c r="I2549" s="12">
        <f>(PrincipalesVariables[[#This Row],[Dólar  mayorista]]-E2548)/E2548</f>
        <v>3.6214389183968181E-3</v>
      </c>
      <c r="J2549" s="12">
        <f>(PrincipalesVariables[[#This Row],[Reservas internacionales]]-F2548)/F2548</f>
        <v>2.9732147555649106E-3</v>
      </c>
    </row>
    <row r="2550" spans="1:10" ht="15.75" thickBot="1" x14ac:dyDescent="0.3">
      <c r="A2550" s="14">
        <v>44740</v>
      </c>
      <c r="B2550" s="15">
        <v>44740</v>
      </c>
      <c r="C2550" s="16">
        <v>3952805</v>
      </c>
      <c r="D2550" s="10">
        <f>PrincipalesVariables[[#This Row],[Base monetaria]]/1000000</f>
        <v>3.9528050000000001</v>
      </c>
      <c r="E2550" s="10">
        <v>124.88</v>
      </c>
      <c r="F2550" s="11">
        <v>42164</v>
      </c>
      <c r="H2550" s="12">
        <f>(PrincipalesVariables[[#This Row],[Base monetaria]]-C2549)/C2549</f>
        <v>6.6614068793535864E-3</v>
      </c>
      <c r="I2550" s="12">
        <f>(PrincipalesVariables[[#This Row],[Dólar  mayorista]]-E2549)/E2549</f>
        <v>1.3631625370860534E-3</v>
      </c>
      <c r="J2550" s="12">
        <f>(PrincipalesVariables[[#This Row],[Reservas internacionales]]-F2549)/F2549</f>
        <v>0.10611506073086913</v>
      </c>
    </row>
    <row r="2551" spans="1:10" ht="15.75" thickBot="1" x14ac:dyDescent="0.3">
      <c r="A2551" s="14">
        <v>44741</v>
      </c>
      <c r="B2551" s="15">
        <v>44741</v>
      </c>
      <c r="C2551" s="16">
        <v>3947825</v>
      </c>
      <c r="D2551" s="10">
        <f>PrincipalesVariables[[#This Row],[Base monetaria]]/1000000</f>
        <v>3.9478249999999999</v>
      </c>
      <c r="E2551" s="10">
        <v>125.05</v>
      </c>
      <c r="F2551" s="11">
        <v>42472</v>
      </c>
      <c r="H2551" s="12">
        <f>(PrincipalesVariables[[#This Row],[Base monetaria]]-C2550)/C2550</f>
        <v>-1.2598648301649083E-3</v>
      </c>
      <c r="I2551" s="12">
        <f>(PrincipalesVariables[[#This Row],[Dólar  mayorista]]-E2550)/E2550</f>
        <v>1.3613068545804108E-3</v>
      </c>
      <c r="J2551" s="12">
        <f>(PrincipalesVariables[[#This Row],[Reservas internacionales]]-F2550)/F2550</f>
        <v>7.3048097903424727E-3</v>
      </c>
    </row>
    <row r="2552" spans="1:10" ht="15.75" thickBot="1" x14ac:dyDescent="0.3">
      <c r="A2552" s="14">
        <v>44742</v>
      </c>
      <c r="B2552" s="15">
        <v>44742</v>
      </c>
      <c r="C2552" s="16">
        <v>3981921</v>
      </c>
      <c r="D2552" s="10">
        <f>PrincipalesVariables[[#This Row],[Base monetaria]]/1000000</f>
        <v>3.9819209999999998</v>
      </c>
      <c r="E2552" s="10">
        <v>125.22</v>
      </c>
      <c r="F2552" s="11">
        <v>42787</v>
      </c>
      <c r="H2552" s="12">
        <f>(PrincipalesVariables[[#This Row],[Base monetaria]]-C2551)/C2551</f>
        <v>8.6366543603123239E-3</v>
      </c>
      <c r="I2552" s="12">
        <f>(PrincipalesVariables[[#This Row],[Dólar  mayorista]]-E2551)/E2551</f>
        <v>1.3594562175130085E-3</v>
      </c>
      <c r="J2552" s="12">
        <f>(PrincipalesVariables[[#This Row],[Reservas internacionales]]-F2551)/F2551</f>
        <v>7.4166509700508568E-3</v>
      </c>
    </row>
    <row r="2553" spans="1:10" ht="15.75" thickBot="1" x14ac:dyDescent="0.3">
      <c r="A2553" s="14">
        <v>44743</v>
      </c>
      <c r="B2553" s="15">
        <v>44743</v>
      </c>
      <c r="C2553" s="16">
        <v>4165267</v>
      </c>
      <c r="D2553" s="10">
        <f>PrincipalesVariables[[#This Row],[Base monetaria]]/1000000</f>
        <v>4.1652670000000001</v>
      </c>
      <c r="E2553" s="10">
        <v>125.41</v>
      </c>
      <c r="F2553" s="11">
        <v>42358</v>
      </c>
      <c r="H2553" s="12">
        <f>(PrincipalesVariables[[#This Row],[Base monetaria]]-C2552)/C2552</f>
        <v>4.6044610126619791E-2</v>
      </c>
      <c r="I2553" s="12">
        <f>(PrincipalesVariables[[#This Row],[Dólar  mayorista]]-E2552)/E2552</f>
        <v>1.5173295000798412E-3</v>
      </c>
      <c r="J2553" s="12">
        <f>(PrincipalesVariables[[#This Row],[Reservas internacionales]]-F2552)/F2552</f>
        <v>-1.0026409890854699E-2</v>
      </c>
    </row>
    <row r="2554" spans="1:10" ht="15.75" thickBot="1" x14ac:dyDescent="0.3">
      <c r="A2554" s="14">
        <v>44746</v>
      </c>
      <c r="B2554" s="15">
        <v>44746</v>
      </c>
      <c r="C2554" s="16">
        <v>4244391</v>
      </c>
      <c r="D2554" s="10">
        <f>PrincipalesVariables[[#This Row],[Base monetaria]]/1000000</f>
        <v>4.2443910000000002</v>
      </c>
      <c r="E2554" s="10">
        <v>125.99</v>
      </c>
      <c r="F2554" s="11">
        <v>42367</v>
      </c>
      <c r="H2554" s="12">
        <f>(PrincipalesVariables[[#This Row],[Base monetaria]]-C2553)/C2553</f>
        <v>1.8996141183746443E-2</v>
      </c>
      <c r="I2554" s="12">
        <f>(PrincipalesVariables[[#This Row],[Dólar  mayorista]]-E2553)/E2553</f>
        <v>4.624830555777038E-3</v>
      </c>
      <c r="J2554" s="12">
        <f>(PrincipalesVariables[[#This Row],[Reservas internacionales]]-F2553)/F2553</f>
        <v>2.1247462108692572E-4</v>
      </c>
    </row>
    <row r="2555" spans="1:10" ht="15.75" thickBot="1" x14ac:dyDescent="0.3">
      <c r="A2555" s="14">
        <v>44747</v>
      </c>
      <c r="B2555" s="15">
        <v>44747</v>
      </c>
      <c r="C2555" s="16">
        <v>4239681</v>
      </c>
      <c r="D2555" s="10">
        <f>PrincipalesVariables[[#This Row],[Base monetaria]]/1000000</f>
        <v>4.239681</v>
      </c>
      <c r="E2555" s="10">
        <v>126.18</v>
      </c>
      <c r="F2555" s="11">
        <v>42316</v>
      </c>
      <c r="H2555" s="12">
        <f>(PrincipalesVariables[[#This Row],[Base monetaria]]-C2554)/C2554</f>
        <v>-1.1096998367963744E-3</v>
      </c>
      <c r="I2555" s="12">
        <f>(PrincipalesVariables[[#This Row],[Dólar  mayorista]]-E2554)/E2554</f>
        <v>1.5080561949362009E-3</v>
      </c>
      <c r="J2555" s="12">
        <f>(PrincipalesVariables[[#This Row],[Reservas internacionales]]-F2554)/F2554</f>
        <v>-1.2037670828711025E-3</v>
      </c>
    </row>
    <row r="2556" spans="1:10" ht="15.75" thickBot="1" x14ac:dyDescent="0.3">
      <c r="A2556" s="14">
        <v>44748</v>
      </c>
      <c r="B2556" s="15">
        <v>44748</v>
      </c>
      <c r="C2556" s="16">
        <v>4275879</v>
      </c>
      <c r="D2556" s="10">
        <f>PrincipalesVariables[[#This Row],[Base monetaria]]/1000000</f>
        <v>4.2758789999999998</v>
      </c>
      <c r="E2556" s="10">
        <v>126.38</v>
      </c>
      <c r="F2556" s="11">
        <v>42275</v>
      </c>
      <c r="H2556" s="12">
        <f>(PrincipalesVariables[[#This Row],[Base monetaria]]-C2555)/C2555</f>
        <v>8.53790650758866E-3</v>
      </c>
      <c r="I2556" s="12">
        <f>(PrincipalesVariables[[#This Row],[Dólar  mayorista]]-E2555)/E2555</f>
        <v>1.5850372483752467E-3</v>
      </c>
      <c r="J2556" s="12">
        <f>(PrincipalesVariables[[#This Row],[Reservas internacionales]]-F2555)/F2555</f>
        <v>-9.6890065223556099E-4</v>
      </c>
    </row>
    <row r="2557" spans="1:10" ht="15.75" thickBot="1" x14ac:dyDescent="0.3">
      <c r="A2557" s="14">
        <v>44749</v>
      </c>
      <c r="B2557" s="15">
        <v>44749</v>
      </c>
      <c r="C2557" s="16">
        <v>4197586</v>
      </c>
      <c r="D2557" s="10">
        <f>PrincipalesVariables[[#This Row],[Base monetaria]]/1000000</f>
        <v>4.1975860000000003</v>
      </c>
      <c r="E2557" s="10">
        <v>126.57</v>
      </c>
      <c r="F2557" s="11">
        <v>42211</v>
      </c>
      <c r="H2557" s="12">
        <f>(PrincipalesVariables[[#This Row],[Base monetaria]]-C2556)/C2556</f>
        <v>-1.831038717419272E-2</v>
      </c>
      <c r="I2557" s="12">
        <f>(PrincipalesVariables[[#This Row],[Dólar  mayorista]]-E2556)/E2556</f>
        <v>1.503402437094459E-3</v>
      </c>
      <c r="J2557" s="12">
        <f>(PrincipalesVariables[[#This Row],[Reservas internacionales]]-F2556)/F2556</f>
        <v>-1.5138971023063276E-3</v>
      </c>
    </row>
    <row r="2558" spans="1:10" ht="15.75" thickBot="1" x14ac:dyDescent="0.3">
      <c r="A2558" s="14">
        <v>44750</v>
      </c>
      <c r="B2558" s="15">
        <v>44750</v>
      </c>
      <c r="C2558" s="16">
        <v>4209474</v>
      </c>
      <c r="D2558" s="10">
        <f>PrincipalesVariables[[#This Row],[Base monetaria]]/1000000</f>
        <v>4.2094740000000002</v>
      </c>
      <c r="E2558" s="10">
        <v>126.78</v>
      </c>
      <c r="F2558" s="11">
        <v>40455</v>
      </c>
      <c r="H2558" s="12">
        <f>(PrincipalesVariables[[#This Row],[Base monetaria]]-C2557)/C2557</f>
        <v>2.8321039759518925E-3</v>
      </c>
      <c r="I2558" s="12">
        <f>(PrincipalesVariables[[#This Row],[Dólar  mayorista]]-E2557)/E2557</f>
        <v>1.6591609386111083E-3</v>
      </c>
      <c r="J2558" s="12">
        <f>(PrincipalesVariables[[#This Row],[Reservas internacionales]]-F2557)/F2557</f>
        <v>-4.1600530667361586E-2</v>
      </c>
    </row>
    <row r="2559" spans="1:10" ht="15.75" thickBot="1" x14ac:dyDescent="0.3">
      <c r="A2559" s="14">
        <v>44753</v>
      </c>
      <c r="B2559" s="15">
        <v>44753</v>
      </c>
      <c r="C2559" s="16">
        <v>4311437</v>
      </c>
      <c r="D2559" s="10">
        <f>PrincipalesVariables[[#This Row],[Base monetaria]]/1000000</f>
        <v>4.3114369999999997</v>
      </c>
      <c r="E2559" s="10">
        <v>127.37</v>
      </c>
      <c r="F2559" s="11">
        <v>40457</v>
      </c>
      <c r="H2559" s="12">
        <f>(PrincipalesVariables[[#This Row],[Base monetaria]]-C2558)/C2558</f>
        <v>2.4222266249892505E-2</v>
      </c>
      <c r="I2559" s="12">
        <f>(PrincipalesVariables[[#This Row],[Dólar  mayorista]]-E2558)/E2558</f>
        <v>4.6537308723773735E-3</v>
      </c>
      <c r="J2559" s="12">
        <f>(PrincipalesVariables[[#This Row],[Reservas internacionales]]-F2558)/F2558</f>
        <v>4.9437646768013842E-5</v>
      </c>
    </row>
    <row r="2560" spans="1:10" ht="15.75" thickBot="1" x14ac:dyDescent="0.3">
      <c r="A2560" s="14">
        <v>44754</v>
      </c>
      <c r="B2560" s="15">
        <v>44754</v>
      </c>
      <c r="C2560" s="16">
        <v>4206334</v>
      </c>
      <c r="D2560" s="10">
        <f>PrincipalesVariables[[#This Row],[Base monetaria]]/1000000</f>
        <v>4.206334</v>
      </c>
      <c r="E2560" s="10">
        <v>127.57</v>
      </c>
      <c r="F2560" s="11">
        <v>40397</v>
      </c>
      <c r="H2560" s="12">
        <f>(PrincipalesVariables[[#This Row],[Base monetaria]]-C2559)/C2559</f>
        <v>-2.437771907602964E-2</v>
      </c>
      <c r="I2560" s="12">
        <f>(PrincipalesVariables[[#This Row],[Dólar  mayorista]]-E2559)/E2559</f>
        <v>1.5702284682420399E-3</v>
      </c>
      <c r="J2560" s="12">
        <f>(PrincipalesVariables[[#This Row],[Reservas internacionales]]-F2559)/F2559</f>
        <v>-1.4830560842375856E-3</v>
      </c>
    </row>
    <row r="2561" spans="1:10" ht="15.75" thickBot="1" x14ac:dyDescent="0.3">
      <c r="A2561" s="14">
        <v>44755</v>
      </c>
      <c r="B2561" s="15">
        <v>44755</v>
      </c>
      <c r="C2561" s="16">
        <v>4199211</v>
      </c>
      <c r="D2561" s="10">
        <f>PrincipalesVariables[[#This Row],[Base monetaria]]/1000000</f>
        <v>4.199211</v>
      </c>
      <c r="E2561" s="10">
        <v>127.79</v>
      </c>
      <c r="F2561" s="11">
        <v>40403</v>
      </c>
      <c r="H2561" s="12">
        <f>(PrincipalesVariables[[#This Row],[Base monetaria]]-C2560)/C2560</f>
        <v>-1.6933985746257906E-3</v>
      </c>
      <c r="I2561" s="12">
        <f>(PrincipalesVariables[[#This Row],[Dólar  mayorista]]-E2560)/E2560</f>
        <v>1.7245433879439765E-3</v>
      </c>
      <c r="J2561" s="12">
        <f>(PrincipalesVariables[[#This Row],[Reservas internacionales]]-F2560)/F2560</f>
        <v>1.485258806347006E-4</v>
      </c>
    </row>
    <row r="2562" spans="1:10" ht="15.75" thickBot="1" x14ac:dyDescent="0.3">
      <c r="A2562" s="14">
        <v>44756</v>
      </c>
      <c r="B2562" s="15">
        <v>44756</v>
      </c>
      <c r="C2562" s="16">
        <v>4193033</v>
      </c>
      <c r="D2562" s="10">
        <f>PrincipalesVariables[[#This Row],[Base monetaria]]/1000000</f>
        <v>4.1930329999999998</v>
      </c>
      <c r="E2562" s="10">
        <v>128.02000000000001</v>
      </c>
      <c r="F2562" s="11">
        <v>40132</v>
      </c>
      <c r="H2562" s="12">
        <f>(PrincipalesVariables[[#This Row],[Base monetaria]]-C2561)/C2561</f>
        <v>-1.471228761784059E-3</v>
      </c>
      <c r="I2562" s="12">
        <f>(PrincipalesVariables[[#This Row],[Dólar  mayorista]]-E2561)/E2561</f>
        <v>1.7998278425542214E-3</v>
      </c>
      <c r="J2562" s="12">
        <f>(PrincipalesVariables[[#This Row],[Reservas internacionales]]-F2561)/F2561</f>
        <v>-6.7074227161349406E-3</v>
      </c>
    </row>
    <row r="2563" spans="1:10" ht="15.75" thickBot="1" x14ac:dyDescent="0.3">
      <c r="A2563" s="14">
        <v>44757</v>
      </c>
      <c r="B2563" s="15">
        <v>44757</v>
      </c>
      <c r="C2563" s="16">
        <v>4123504</v>
      </c>
      <c r="D2563" s="10">
        <f>PrincipalesVariables[[#This Row],[Base monetaria]]/1000000</f>
        <v>4.1235039999999996</v>
      </c>
      <c r="E2563" s="10">
        <v>128.22999999999999</v>
      </c>
      <c r="F2563" s="11">
        <v>40147</v>
      </c>
      <c r="H2563" s="12">
        <f>(PrincipalesVariables[[#This Row],[Base monetaria]]-C2562)/C2562</f>
        <v>-1.6582030239208706E-2</v>
      </c>
      <c r="I2563" s="12">
        <f>(PrincipalesVariables[[#This Row],[Dólar  mayorista]]-E2562)/E2562</f>
        <v>1.6403686923916539E-3</v>
      </c>
      <c r="J2563" s="12">
        <f>(PrincipalesVariables[[#This Row],[Reservas internacionales]]-F2562)/F2562</f>
        <v>3.7376657031795078E-4</v>
      </c>
    </row>
    <row r="2564" spans="1:10" ht="15.75" thickBot="1" x14ac:dyDescent="0.3">
      <c r="A2564" s="14">
        <v>44760</v>
      </c>
      <c r="B2564" s="15">
        <v>44760</v>
      </c>
      <c r="C2564" s="16">
        <v>4170578</v>
      </c>
      <c r="D2564" s="10">
        <f>PrincipalesVariables[[#This Row],[Base monetaria]]/1000000</f>
        <v>4.1705779999999999</v>
      </c>
      <c r="E2564" s="10">
        <v>128.9</v>
      </c>
      <c r="F2564" s="11">
        <v>40014</v>
      </c>
      <c r="H2564" s="12">
        <f>(PrincipalesVariables[[#This Row],[Base monetaria]]-C2563)/C2563</f>
        <v>1.1416018997435192E-2</v>
      </c>
      <c r="I2564" s="12">
        <f>(PrincipalesVariables[[#This Row],[Dólar  mayorista]]-E2563)/E2563</f>
        <v>5.2249863526477106E-3</v>
      </c>
      <c r="J2564" s="12">
        <f>(PrincipalesVariables[[#This Row],[Reservas internacionales]]-F2563)/F2563</f>
        <v>-3.3128253667770941E-3</v>
      </c>
    </row>
    <row r="2565" spans="1:10" ht="15.75" thickBot="1" x14ac:dyDescent="0.3">
      <c r="A2565" s="14">
        <v>44761</v>
      </c>
      <c r="B2565" s="15">
        <v>44761</v>
      </c>
      <c r="C2565" s="16">
        <v>4263166</v>
      </c>
      <c r="D2565" s="10">
        <f>PrincipalesVariables[[#This Row],[Base monetaria]]/1000000</f>
        <v>4.263166</v>
      </c>
      <c r="E2565" s="10">
        <v>129.13</v>
      </c>
      <c r="F2565" s="11">
        <v>39864</v>
      </c>
      <c r="H2565" s="12">
        <f>(PrincipalesVariables[[#This Row],[Base monetaria]]-C2564)/C2564</f>
        <v>2.2200280153014763E-2</v>
      </c>
      <c r="I2565" s="12">
        <f>(PrincipalesVariables[[#This Row],[Dólar  mayorista]]-E2564)/E2564</f>
        <v>1.7843289371605102E-3</v>
      </c>
      <c r="J2565" s="12">
        <f>(PrincipalesVariables[[#This Row],[Reservas internacionales]]-F2564)/F2564</f>
        <v>-3.748687959214275E-3</v>
      </c>
    </row>
    <row r="2566" spans="1:10" ht="15.75" thickBot="1" x14ac:dyDescent="0.3">
      <c r="A2566" s="14">
        <v>44762</v>
      </c>
      <c r="B2566" s="15">
        <v>44762</v>
      </c>
      <c r="C2566" s="16">
        <v>4162219</v>
      </c>
      <c r="D2566" s="10">
        <f>PrincipalesVariables[[#This Row],[Base monetaria]]/1000000</f>
        <v>4.1622190000000003</v>
      </c>
      <c r="E2566" s="10">
        <v>129.38999999999999</v>
      </c>
      <c r="F2566" s="11">
        <v>39747</v>
      </c>
      <c r="H2566" s="12">
        <f>(PrincipalesVariables[[#This Row],[Base monetaria]]-C2565)/C2565</f>
        <v>-2.3678880906819015E-2</v>
      </c>
      <c r="I2566" s="12">
        <f>(PrincipalesVariables[[#This Row],[Dólar  mayorista]]-E2565)/E2565</f>
        <v>2.01347479284435E-3</v>
      </c>
      <c r="J2566" s="12">
        <f>(PrincipalesVariables[[#This Row],[Reservas internacionales]]-F2565)/F2565</f>
        <v>-2.9349789283564117E-3</v>
      </c>
    </row>
    <row r="2567" spans="1:10" ht="15.75" thickBot="1" x14ac:dyDescent="0.3">
      <c r="A2567" s="14">
        <v>44763</v>
      </c>
      <c r="B2567" s="15">
        <v>44763</v>
      </c>
      <c r="C2567" s="16">
        <v>4166839</v>
      </c>
      <c r="D2567" s="10">
        <f>PrincipalesVariables[[#This Row],[Base monetaria]]/1000000</f>
        <v>4.1668390000000004</v>
      </c>
      <c r="E2567" s="10">
        <v>129.61000000000001</v>
      </c>
      <c r="F2567" s="11">
        <v>39681</v>
      </c>
      <c r="H2567" s="12">
        <f>(PrincipalesVariables[[#This Row],[Base monetaria]]-C2566)/C2566</f>
        <v>1.1099848422199794E-3</v>
      </c>
      <c r="I2567" s="12">
        <f>(PrincipalesVariables[[#This Row],[Dólar  mayorista]]-E2566)/E2566</f>
        <v>1.7002859571839193E-3</v>
      </c>
      <c r="J2567" s="12">
        <f>(PrincipalesVariables[[#This Row],[Reservas internacionales]]-F2566)/F2566</f>
        <v>-1.6605026794475055E-3</v>
      </c>
    </row>
    <row r="2568" spans="1:10" ht="15.75" thickBot="1" x14ac:dyDescent="0.3">
      <c r="A2568" s="14">
        <v>44764</v>
      </c>
      <c r="B2568" s="15">
        <v>44764</v>
      </c>
      <c r="C2568" s="16">
        <v>4203303</v>
      </c>
      <c r="D2568" s="10">
        <f>PrincipalesVariables[[#This Row],[Base monetaria]]/1000000</f>
        <v>4.203303</v>
      </c>
      <c r="E2568" s="10">
        <v>129.76</v>
      </c>
      <c r="F2568" s="11">
        <v>39718</v>
      </c>
      <c r="H2568" s="12">
        <f>(PrincipalesVariables[[#This Row],[Base monetaria]]-C2567)/C2567</f>
        <v>8.7509980587202919E-3</v>
      </c>
      <c r="I2568" s="12">
        <f>(PrincipalesVariables[[#This Row],[Dólar  mayorista]]-E2567)/E2567</f>
        <v>1.1573181081704902E-3</v>
      </c>
      <c r="J2568" s="12">
        <f>(PrincipalesVariables[[#This Row],[Reservas internacionales]]-F2567)/F2567</f>
        <v>9.3243617852372675E-4</v>
      </c>
    </row>
    <row r="2569" spans="1:10" ht="15.75" thickBot="1" x14ac:dyDescent="0.3">
      <c r="A2569" s="14">
        <v>44767</v>
      </c>
      <c r="B2569" s="15">
        <v>44767</v>
      </c>
      <c r="C2569" s="16">
        <v>4204825</v>
      </c>
      <c r="D2569" s="10">
        <f>PrincipalesVariables[[#This Row],[Base monetaria]]/1000000</f>
        <v>4.2048249999999996</v>
      </c>
      <c r="E2569" s="10">
        <v>130.4</v>
      </c>
      <c r="F2569" s="11">
        <v>39760</v>
      </c>
      <c r="H2569" s="12">
        <f>(PrincipalesVariables[[#This Row],[Base monetaria]]-C2568)/C2568</f>
        <v>3.6209618959185194E-4</v>
      </c>
      <c r="I2569" s="12">
        <f>(PrincipalesVariables[[#This Row],[Dólar  mayorista]]-E2568)/E2568</f>
        <v>4.9321824907522724E-3</v>
      </c>
      <c r="J2569" s="12">
        <f>(PrincipalesVariables[[#This Row],[Reservas internacionales]]-F2568)/F2568</f>
        <v>1.0574550581600281E-3</v>
      </c>
    </row>
    <row r="2570" spans="1:10" ht="15.75" thickBot="1" x14ac:dyDescent="0.3">
      <c r="A2570" s="14">
        <v>44768</v>
      </c>
      <c r="B2570" s="15">
        <v>44768</v>
      </c>
      <c r="C2570" s="16">
        <v>4226162</v>
      </c>
      <c r="D2570" s="10">
        <f>PrincipalesVariables[[#This Row],[Base monetaria]]/1000000</f>
        <v>4.2261620000000004</v>
      </c>
      <c r="E2570" s="10">
        <v>130.62</v>
      </c>
      <c r="F2570" s="11">
        <v>39464</v>
      </c>
      <c r="H2570" s="12">
        <f>(PrincipalesVariables[[#This Row],[Base monetaria]]-C2569)/C2569</f>
        <v>5.0744085663493727E-3</v>
      </c>
      <c r="I2570" s="12">
        <f>(PrincipalesVariables[[#This Row],[Dólar  mayorista]]-E2569)/E2569</f>
        <v>1.687116564417169E-3</v>
      </c>
      <c r="J2570" s="12">
        <f>(PrincipalesVariables[[#This Row],[Reservas internacionales]]-F2569)/F2569</f>
        <v>-7.4446680080482901E-3</v>
      </c>
    </row>
    <row r="2571" spans="1:10" ht="15.75" thickBot="1" x14ac:dyDescent="0.3">
      <c r="A2571" s="14">
        <v>44769</v>
      </c>
      <c r="B2571" s="15">
        <v>44769</v>
      </c>
      <c r="C2571" s="16">
        <v>4209981</v>
      </c>
      <c r="D2571" s="10">
        <f>PrincipalesVariables[[#This Row],[Base monetaria]]/1000000</f>
        <v>4.209981</v>
      </c>
      <c r="E2571" s="10">
        <v>130.88999999999999</v>
      </c>
      <c r="F2571" s="11">
        <v>39354</v>
      </c>
      <c r="H2571" s="12">
        <f>(PrincipalesVariables[[#This Row],[Base monetaria]]-C2570)/C2570</f>
        <v>-3.8287694603283073E-3</v>
      </c>
      <c r="I2571" s="12">
        <f>(PrincipalesVariables[[#This Row],[Dólar  mayorista]]-E2570)/E2570</f>
        <v>2.0670647680292591E-3</v>
      </c>
      <c r="J2571" s="12">
        <f>(PrincipalesVariables[[#This Row],[Reservas internacionales]]-F2570)/F2570</f>
        <v>-2.7873504966551793E-3</v>
      </c>
    </row>
    <row r="2572" spans="1:10" ht="15.75" thickBot="1" x14ac:dyDescent="0.3">
      <c r="A2572" s="14">
        <v>44770</v>
      </c>
      <c r="B2572" s="15">
        <v>44770</v>
      </c>
      <c r="C2572" s="16">
        <v>4245775</v>
      </c>
      <c r="D2572" s="10">
        <f>PrincipalesVariables[[#This Row],[Base monetaria]]/1000000</f>
        <v>4.2457750000000001</v>
      </c>
      <c r="E2572" s="10">
        <v>131.13</v>
      </c>
      <c r="F2572" s="11">
        <v>39217</v>
      </c>
      <c r="H2572" s="12">
        <f>(PrincipalesVariables[[#This Row],[Base monetaria]]-C2571)/C2571</f>
        <v>8.5021761380870836E-3</v>
      </c>
      <c r="I2572" s="12">
        <f>(PrincipalesVariables[[#This Row],[Dólar  mayorista]]-E2571)/E2571</f>
        <v>1.833600733440363E-3</v>
      </c>
      <c r="J2572" s="12">
        <f>(PrincipalesVariables[[#This Row],[Reservas internacionales]]-F2571)/F2571</f>
        <v>-3.4812217309549221E-3</v>
      </c>
    </row>
    <row r="2573" spans="1:10" ht="15.75" thickBot="1" x14ac:dyDescent="0.3">
      <c r="A2573" s="14">
        <v>44771</v>
      </c>
      <c r="B2573" s="15">
        <v>44771</v>
      </c>
      <c r="C2573" s="16">
        <v>4316999</v>
      </c>
      <c r="D2573" s="10">
        <f>PrincipalesVariables[[#This Row],[Base monetaria]]/1000000</f>
        <v>4.316999</v>
      </c>
      <c r="E2573" s="10">
        <v>131.22999999999999</v>
      </c>
      <c r="F2573" s="11">
        <v>38232</v>
      </c>
      <c r="H2573" s="12">
        <f>(PrincipalesVariables[[#This Row],[Base monetaria]]-C2572)/C2572</f>
        <v>1.677526482208784E-2</v>
      </c>
      <c r="I2573" s="12">
        <f>(PrincipalesVariables[[#This Row],[Dólar  mayorista]]-E2572)/E2572</f>
        <v>7.6260199801719147E-4</v>
      </c>
      <c r="J2573" s="12">
        <f>(PrincipalesVariables[[#This Row],[Reservas internacionales]]-F2572)/F2572</f>
        <v>-2.5116658591937169E-2</v>
      </c>
    </row>
    <row r="2574" spans="1:10" ht="15.75" thickBot="1" x14ac:dyDescent="0.3">
      <c r="A2574" s="14">
        <v>44774</v>
      </c>
      <c r="B2574" s="15">
        <v>44774</v>
      </c>
      <c r="C2574" s="16">
        <v>4367335</v>
      </c>
      <c r="D2574" s="10">
        <f>PrincipalesVariables[[#This Row],[Base monetaria]]/1000000</f>
        <v>4.3673349999999997</v>
      </c>
      <c r="E2574" s="10">
        <v>131.94</v>
      </c>
      <c r="F2574" s="11">
        <v>38039</v>
      </c>
      <c r="H2574" s="12">
        <f>(PrincipalesVariables[[#This Row],[Base monetaria]]-C2573)/C2573</f>
        <v>1.1659951739622827E-2</v>
      </c>
      <c r="I2574" s="12">
        <f>(PrincipalesVariables[[#This Row],[Dólar  mayorista]]-E2573)/E2573</f>
        <v>5.4103482435419337E-3</v>
      </c>
      <c r="J2574" s="12">
        <f>(PrincipalesVariables[[#This Row],[Reservas internacionales]]-F2573)/F2573</f>
        <v>-5.0481272232684666E-3</v>
      </c>
    </row>
    <row r="2575" spans="1:10" ht="15.75" thickBot="1" x14ac:dyDescent="0.3">
      <c r="A2575" s="14">
        <v>44775</v>
      </c>
      <c r="B2575" s="15">
        <v>44775</v>
      </c>
      <c r="C2575" s="16">
        <v>4390176</v>
      </c>
      <c r="D2575" s="10">
        <f>PrincipalesVariables[[#This Row],[Base monetaria]]/1000000</f>
        <v>4.3901760000000003</v>
      </c>
      <c r="E2575" s="10">
        <v>132.18</v>
      </c>
      <c r="F2575" s="11">
        <v>38010</v>
      </c>
      <c r="H2575" s="12">
        <f>(PrincipalesVariables[[#This Row],[Base monetaria]]-C2574)/C2574</f>
        <v>5.2299628949920261E-3</v>
      </c>
      <c r="I2575" s="12">
        <f>(PrincipalesVariables[[#This Row],[Dólar  mayorista]]-E2574)/E2574</f>
        <v>1.8190086402911103E-3</v>
      </c>
      <c r="J2575" s="12">
        <f>(PrincipalesVariables[[#This Row],[Reservas internacionales]]-F2574)/F2574</f>
        <v>-7.6237545676805386E-4</v>
      </c>
    </row>
    <row r="2576" spans="1:10" ht="15.75" thickBot="1" x14ac:dyDescent="0.3">
      <c r="A2576" s="14">
        <v>44776</v>
      </c>
      <c r="B2576" s="15">
        <v>44776</v>
      </c>
      <c r="C2576" s="16">
        <v>4355886</v>
      </c>
      <c r="D2576" s="10">
        <f>PrincipalesVariables[[#This Row],[Base monetaria]]/1000000</f>
        <v>4.3558859999999999</v>
      </c>
      <c r="E2576" s="10">
        <v>132.41</v>
      </c>
      <c r="F2576" s="11">
        <v>37819</v>
      </c>
      <c r="H2576" s="12">
        <f>(PrincipalesVariables[[#This Row],[Base monetaria]]-C2575)/C2575</f>
        <v>-7.8106208042684391E-3</v>
      </c>
      <c r="I2576" s="12">
        <f>(PrincipalesVariables[[#This Row],[Dólar  mayorista]]-E2575)/E2575</f>
        <v>1.740051444999166E-3</v>
      </c>
      <c r="J2576" s="12">
        <f>(PrincipalesVariables[[#This Row],[Reservas internacionales]]-F2575)/F2575</f>
        <v>-5.0249934227834777E-3</v>
      </c>
    </row>
    <row r="2577" spans="1:10" ht="15.75" thickBot="1" x14ac:dyDescent="0.3">
      <c r="A2577" s="14">
        <v>44777</v>
      </c>
      <c r="B2577" s="15">
        <v>44777</v>
      </c>
      <c r="C2577" s="16">
        <v>4357891</v>
      </c>
      <c r="D2577" s="10">
        <f>PrincipalesVariables[[#This Row],[Base monetaria]]/1000000</f>
        <v>4.3578910000000004</v>
      </c>
      <c r="E2577" s="10">
        <v>132.63999999999999</v>
      </c>
      <c r="F2577" s="11">
        <v>37334</v>
      </c>
      <c r="H2577" s="12">
        <f>(PrincipalesVariables[[#This Row],[Base monetaria]]-C2576)/C2576</f>
        <v>4.6029671116278064E-4</v>
      </c>
      <c r="I2577" s="12">
        <f>(PrincipalesVariables[[#This Row],[Dólar  mayorista]]-E2576)/E2576</f>
        <v>1.7370289253076791E-3</v>
      </c>
      <c r="J2577" s="12">
        <f>(PrincipalesVariables[[#This Row],[Reservas internacionales]]-F2576)/F2576</f>
        <v>-1.2824241783230651E-2</v>
      </c>
    </row>
    <row r="2578" spans="1:10" ht="15.75" thickBot="1" x14ac:dyDescent="0.3">
      <c r="A2578" s="14">
        <v>44778</v>
      </c>
      <c r="B2578" s="15">
        <v>44778</v>
      </c>
      <c r="C2578" s="16">
        <v>4301029</v>
      </c>
      <c r="D2578" s="10">
        <f>PrincipalesVariables[[#This Row],[Base monetaria]]/1000000</f>
        <v>4.3010289999999998</v>
      </c>
      <c r="E2578" s="10">
        <v>132.88999999999999</v>
      </c>
      <c r="F2578" s="11">
        <v>37213</v>
      </c>
      <c r="H2578" s="12">
        <f>(PrincipalesVariables[[#This Row],[Base monetaria]]-C2577)/C2577</f>
        <v>-1.3048054666810161E-2</v>
      </c>
      <c r="I2578" s="12">
        <f>(PrincipalesVariables[[#This Row],[Dólar  mayorista]]-E2577)/E2577</f>
        <v>1.8848009650180944E-3</v>
      </c>
      <c r="J2578" s="12">
        <f>(PrincipalesVariables[[#This Row],[Reservas internacionales]]-F2577)/F2577</f>
        <v>-3.2410135533294049E-3</v>
      </c>
    </row>
    <row r="2579" spans="1:10" ht="15.75" thickBot="1" x14ac:dyDescent="0.3">
      <c r="A2579" s="14">
        <v>44781</v>
      </c>
      <c r="B2579" s="15">
        <v>44781</v>
      </c>
      <c r="C2579" s="16">
        <v>4364294</v>
      </c>
      <c r="D2579" s="10">
        <f>PrincipalesVariables[[#This Row],[Base monetaria]]/1000000</f>
        <v>4.3642940000000001</v>
      </c>
      <c r="E2579" s="10">
        <v>133.56</v>
      </c>
      <c r="F2579" s="11">
        <v>37155</v>
      </c>
      <c r="H2579" s="12">
        <f>(PrincipalesVariables[[#This Row],[Base monetaria]]-C2578)/C2578</f>
        <v>1.4709270734979931E-2</v>
      </c>
      <c r="I2579" s="12">
        <f>(PrincipalesVariables[[#This Row],[Dólar  mayorista]]-E2578)/E2578</f>
        <v>5.0417638648507486E-3</v>
      </c>
      <c r="J2579" s="12">
        <f>(PrincipalesVariables[[#This Row],[Reservas internacionales]]-F2578)/F2578</f>
        <v>-1.5585951146104857E-3</v>
      </c>
    </row>
    <row r="2580" spans="1:10" ht="15.75" thickBot="1" x14ac:dyDescent="0.3">
      <c r="A2580" s="14">
        <v>44782</v>
      </c>
      <c r="B2580" s="15">
        <v>44782</v>
      </c>
      <c r="C2580" s="16">
        <v>4368592</v>
      </c>
      <c r="D2580" s="10">
        <f>PrincipalesVariables[[#This Row],[Base monetaria]]/1000000</f>
        <v>4.3685919999999996</v>
      </c>
      <c r="E2580" s="10">
        <v>133.80000000000001</v>
      </c>
      <c r="F2580" s="11">
        <v>37054</v>
      </c>
      <c r="H2580" s="12">
        <f>(PrincipalesVariables[[#This Row],[Base monetaria]]-C2579)/C2579</f>
        <v>9.8480991427250309E-4</v>
      </c>
      <c r="I2580" s="12">
        <f>(PrincipalesVariables[[#This Row],[Dólar  mayorista]]-E2579)/E2579</f>
        <v>1.7969451931716762E-3</v>
      </c>
      <c r="J2580" s="12">
        <f>(PrincipalesVariables[[#This Row],[Reservas internacionales]]-F2579)/F2579</f>
        <v>-2.7183420804736914E-3</v>
      </c>
    </row>
    <row r="2581" spans="1:10" ht="15.75" thickBot="1" x14ac:dyDescent="0.3">
      <c r="A2581" s="14">
        <v>44783</v>
      </c>
      <c r="B2581" s="15">
        <v>44783</v>
      </c>
      <c r="C2581" s="16">
        <v>4411665</v>
      </c>
      <c r="D2581" s="10">
        <f>PrincipalesVariables[[#This Row],[Base monetaria]]/1000000</f>
        <v>4.4116650000000002</v>
      </c>
      <c r="E2581" s="10">
        <v>134.04</v>
      </c>
      <c r="F2581" s="11">
        <v>37081</v>
      </c>
      <c r="H2581" s="12">
        <f>(PrincipalesVariables[[#This Row],[Base monetaria]]-C2580)/C2580</f>
        <v>9.8596985024007738E-3</v>
      </c>
      <c r="I2581" s="12">
        <f>(PrincipalesVariables[[#This Row],[Dólar  mayorista]]-E2580)/E2580</f>
        <v>1.7937219730940258E-3</v>
      </c>
      <c r="J2581" s="12">
        <f>(PrincipalesVariables[[#This Row],[Reservas internacionales]]-F2580)/F2580</f>
        <v>7.2866627084795159E-4</v>
      </c>
    </row>
    <row r="2582" spans="1:10" ht="15.75" thickBot="1" x14ac:dyDescent="0.3">
      <c r="A2582" s="14">
        <v>44784</v>
      </c>
      <c r="B2582" s="15">
        <v>44784</v>
      </c>
      <c r="C2582" s="16">
        <v>4312801</v>
      </c>
      <c r="D2582" s="10">
        <f>PrincipalesVariables[[#This Row],[Base monetaria]]/1000000</f>
        <v>4.3128010000000003</v>
      </c>
      <c r="E2582" s="10">
        <v>134.22999999999999</v>
      </c>
      <c r="F2582" s="11">
        <v>37010</v>
      </c>
      <c r="H2582" s="12">
        <f>(PrincipalesVariables[[#This Row],[Base monetaria]]-C2581)/C2581</f>
        <v>-2.2409679792096633E-2</v>
      </c>
      <c r="I2582" s="12">
        <f>(PrincipalesVariables[[#This Row],[Dólar  mayorista]]-E2581)/E2581</f>
        <v>1.4174873172187238E-3</v>
      </c>
      <c r="J2582" s="12">
        <f>(PrincipalesVariables[[#This Row],[Reservas internacionales]]-F2581)/F2581</f>
        <v>-1.9147272187912947E-3</v>
      </c>
    </row>
    <row r="2583" spans="1:10" ht="15.75" thickBot="1" x14ac:dyDescent="0.3">
      <c r="A2583" s="14">
        <v>44785</v>
      </c>
      <c r="B2583" s="15">
        <v>44785</v>
      </c>
      <c r="C2583" s="16">
        <v>4275295</v>
      </c>
      <c r="D2583" s="10">
        <f>PrincipalesVariables[[#This Row],[Base monetaria]]/1000000</f>
        <v>4.2752949999999998</v>
      </c>
      <c r="E2583" s="10">
        <v>134.52000000000001</v>
      </c>
      <c r="F2583" s="11">
        <v>37018</v>
      </c>
      <c r="H2583" s="12">
        <f>(PrincipalesVariables[[#This Row],[Base monetaria]]-C2582)/C2582</f>
        <v>-8.6964364922007768E-3</v>
      </c>
      <c r="I2583" s="12">
        <f>(PrincipalesVariables[[#This Row],[Dólar  mayorista]]-E2582)/E2582</f>
        <v>2.1604708336438985E-3</v>
      </c>
      <c r="J2583" s="12">
        <f>(PrincipalesVariables[[#This Row],[Reservas internacionales]]-F2582)/F2582</f>
        <v>2.1615779519048906E-4</v>
      </c>
    </row>
    <row r="2584" spans="1:10" ht="15.75" thickBot="1" x14ac:dyDescent="0.3">
      <c r="A2584" s="14">
        <v>44789</v>
      </c>
      <c r="B2584" s="15">
        <v>44789</v>
      </c>
      <c r="C2584" s="16">
        <v>4363998</v>
      </c>
      <c r="D2584" s="10">
        <f>PrincipalesVariables[[#This Row],[Base monetaria]]/1000000</f>
        <v>4.3639979999999996</v>
      </c>
      <c r="E2584" s="10">
        <v>135.4</v>
      </c>
      <c r="F2584" s="11">
        <v>36867</v>
      </c>
      <c r="H2584" s="12">
        <f>(PrincipalesVariables[[#This Row],[Base monetaria]]-C2583)/C2583</f>
        <v>2.0747808045994486E-2</v>
      </c>
      <c r="I2584" s="12">
        <f>(PrincipalesVariables[[#This Row],[Dólar  mayorista]]-E2583)/E2583</f>
        <v>6.5417781742491479E-3</v>
      </c>
      <c r="J2584" s="12">
        <f>(PrincipalesVariables[[#This Row],[Reservas internacionales]]-F2583)/F2583</f>
        <v>-4.0790966556810198E-3</v>
      </c>
    </row>
    <row r="2585" spans="1:10" ht="15.75" thickBot="1" x14ac:dyDescent="0.3">
      <c r="A2585" s="14">
        <v>44790</v>
      </c>
      <c r="B2585" s="15">
        <v>44790</v>
      </c>
      <c r="C2585" s="16">
        <v>4360112</v>
      </c>
      <c r="D2585" s="10">
        <f>PrincipalesVariables[[#This Row],[Base monetaria]]/1000000</f>
        <v>4.360112</v>
      </c>
      <c r="E2585" s="10">
        <v>135.57</v>
      </c>
      <c r="F2585" s="11">
        <v>36952</v>
      </c>
      <c r="H2585" s="12">
        <f>(PrincipalesVariables[[#This Row],[Base monetaria]]-C2584)/C2584</f>
        <v>-8.9046786914201155E-4</v>
      </c>
      <c r="I2585" s="12">
        <f>(PrincipalesVariables[[#This Row],[Dólar  mayorista]]-E2584)/E2584</f>
        <v>1.2555391432790804E-3</v>
      </c>
      <c r="J2585" s="12">
        <f>(PrincipalesVariables[[#This Row],[Reservas internacionales]]-F2584)/F2584</f>
        <v>2.3055849404616593E-3</v>
      </c>
    </row>
    <row r="2586" spans="1:10" ht="15.75" thickBot="1" x14ac:dyDescent="0.3">
      <c r="A2586" s="14">
        <v>44791</v>
      </c>
      <c r="B2586" s="15">
        <v>44791</v>
      </c>
      <c r="C2586" s="16">
        <v>4256380</v>
      </c>
      <c r="D2586" s="10">
        <f>PrincipalesVariables[[#This Row],[Base monetaria]]/1000000</f>
        <v>4.2563800000000001</v>
      </c>
      <c r="E2586" s="10">
        <v>135.77000000000001</v>
      </c>
      <c r="F2586" s="11">
        <v>37122</v>
      </c>
      <c r="H2586" s="12">
        <f>(PrincipalesVariables[[#This Row],[Base monetaria]]-C2585)/C2585</f>
        <v>-2.3791131970921846E-2</v>
      </c>
      <c r="I2586" s="12">
        <f>(PrincipalesVariables[[#This Row],[Dólar  mayorista]]-E2585)/E2585</f>
        <v>1.4752526370142146E-3</v>
      </c>
      <c r="J2586" s="12">
        <f>(PrincipalesVariables[[#This Row],[Reservas internacionales]]-F2585)/F2585</f>
        <v>4.6005628924009525E-3</v>
      </c>
    </row>
    <row r="2587" spans="1:10" ht="15.75" thickBot="1" x14ac:dyDescent="0.3">
      <c r="A2587" s="14">
        <v>44792</v>
      </c>
      <c r="B2587" s="15">
        <v>44792</v>
      </c>
      <c r="C2587" s="16">
        <v>4246467</v>
      </c>
      <c r="D2587" s="10">
        <f>PrincipalesVariables[[#This Row],[Base monetaria]]/1000000</f>
        <v>4.246467</v>
      </c>
      <c r="E2587" s="10">
        <v>136.06</v>
      </c>
      <c r="F2587" s="11">
        <v>37066</v>
      </c>
      <c r="H2587" s="12">
        <f>(PrincipalesVariables[[#This Row],[Base monetaria]]-C2586)/C2586</f>
        <v>-2.3289743866853991E-3</v>
      </c>
      <c r="I2587" s="12">
        <f>(PrincipalesVariables[[#This Row],[Dólar  mayorista]]-E2586)/E2586</f>
        <v>2.1359652353243868E-3</v>
      </c>
      <c r="J2587" s="12">
        <f>(PrincipalesVariables[[#This Row],[Reservas internacionales]]-F2586)/F2586</f>
        <v>-1.5085394105921017E-3</v>
      </c>
    </row>
    <row r="2588" spans="1:10" ht="15.75" thickBot="1" x14ac:dyDescent="0.3">
      <c r="A2588" s="14">
        <v>44795</v>
      </c>
      <c r="B2588" s="15">
        <v>44795</v>
      </c>
      <c r="C2588" s="16">
        <v>4289601</v>
      </c>
      <c r="D2588" s="10">
        <f>PrincipalesVariables[[#This Row],[Base monetaria]]/1000000</f>
        <v>4.2896010000000002</v>
      </c>
      <c r="E2588" s="10">
        <v>136.69</v>
      </c>
      <c r="F2588" s="11">
        <v>36981</v>
      </c>
      <c r="H2588" s="12">
        <f>(PrincipalesVariables[[#This Row],[Base monetaria]]-C2587)/C2587</f>
        <v>1.015762044070989E-2</v>
      </c>
      <c r="I2588" s="12">
        <f>(PrincipalesVariables[[#This Row],[Dólar  mayorista]]-E2587)/E2587</f>
        <v>4.6303101572835181E-3</v>
      </c>
      <c r="J2588" s="12">
        <f>(PrincipalesVariables[[#This Row],[Reservas internacionales]]-F2587)/F2587</f>
        <v>-2.2932067123509416E-3</v>
      </c>
    </row>
    <row r="2589" spans="1:10" ht="15.75" thickBot="1" x14ac:dyDescent="0.3">
      <c r="A2589" s="14">
        <v>44796</v>
      </c>
      <c r="B2589" s="15">
        <v>44796</v>
      </c>
      <c r="C2589" s="16">
        <v>4147066</v>
      </c>
      <c r="D2589" s="10">
        <f>PrincipalesVariables[[#This Row],[Base monetaria]]/1000000</f>
        <v>4.1470659999999997</v>
      </c>
      <c r="E2589" s="10">
        <v>136.9</v>
      </c>
      <c r="F2589" s="11">
        <v>37024</v>
      </c>
      <c r="H2589" s="12">
        <f>(PrincipalesVariables[[#This Row],[Base monetaria]]-C2588)/C2588</f>
        <v>-3.3228032164296865E-2</v>
      </c>
      <c r="I2589" s="12">
        <f>(PrincipalesVariables[[#This Row],[Dólar  mayorista]]-E2588)/E2588</f>
        <v>1.5363230667935325E-3</v>
      </c>
      <c r="J2589" s="12">
        <f>(PrincipalesVariables[[#This Row],[Reservas internacionales]]-F2588)/F2588</f>
        <v>1.1627592547524405E-3</v>
      </c>
    </row>
    <row r="2590" spans="1:10" ht="15.75" thickBot="1" x14ac:dyDescent="0.3">
      <c r="A2590" s="14">
        <v>44797</v>
      </c>
      <c r="B2590" s="15">
        <v>44797</v>
      </c>
      <c r="C2590" s="16">
        <v>4193081</v>
      </c>
      <c r="D2590" s="10">
        <f>PrincipalesVariables[[#This Row],[Base monetaria]]/1000000</f>
        <v>4.1930810000000003</v>
      </c>
      <c r="E2590" s="10">
        <v>137.15</v>
      </c>
      <c r="F2590" s="11">
        <v>37004</v>
      </c>
      <c r="H2590" s="12">
        <f>(PrincipalesVariables[[#This Row],[Base monetaria]]-C2589)/C2589</f>
        <v>1.1095796401600553E-2</v>
      </c>
      <c r="I2590" s="12">
        <f>(PrincipalesVariables[[#This Row],[Dólar  mayorista]]-E2589)/E2589</f>
        <v>1.8261504747991233E-3</v>
      </c>
      <c r="J2590" s="12">
        <f>(PrincipalesVariables[[#This Row],[Reservas internacionales]]-F2589)/F2589</f>
        <v>-5.4019014693172001E-4</v>
      </c>
    </row>
    <row r="2591" spans="1:10" ht="15.75" thickBot="1" x14ac:dyDescent="0.3">
      <c r="A2591" s="14">
        <v>44798</v>
      </c>
      <c r="B2591" s="15">
        <v>44798</v>
      </c>
      <c r="C2591" s="16">
        <v>4236604</v>
      </c>
      <c r="D2591" s="10">
        <f>PrincipalesVariables[[#This Row],[Base monetaria]]/1000000</f>
        <v>4.2366039999999998</v>
      </c>
      <c r="E2591" s="10">
        <v>137.38999999999999</v>
      </c>
      <c r="F2591" s="11">
        <v>37027</v>
      </c>
      <c r="H2591" s="12">
        <f>(PrincipalesVariables[[#This Row],[Base monetaria]]-C2590)/C2590</f>
        <v>1.0379718397998989E-2</v>
      </c>
      <c r="I2591" s="12">
        <f>(PrincipalesVariables[[#This Row],[Dólar  mayorista]]-E2590)/E2590</f>
        <v>1.7499088589134572E-3</v>
      </c>
      <c r="J2591" s="12">
        <f>(PrincipalesVariables[[#This Row],[Reservas internacionales]]-F2590)/F2590</f>
        <v>6.2155442654848129E-4</v>
      </c>
    </row>
    <row r="2592" spans="1:10" ht="15.75" thickBot="1" x14ac:dyDescent="0.3">
      <c r="A2592" s="14">
        <v>44799</v>
      </c>
      <c r="B2592" s="15">
        <v>44799</v>
      </c>
      <c r="C2592" s="16">
        <v>4211668</v>
      </c>
      <c r="D2592" s="10">
        <f>PrincipalesVariables[[#This Row],[Base monetaria]]/1000000</f>
        <v>4.2116680000000004</v>
      </c>
      <c r="E2592" s="10">
        <v>137.65</v>
      </c>
      <c r="F2592" s="11">
        <v>36932</v>
      </c>
      <c r="H2592" s="12">
        <f>(PrincipalesVariables[[#This Row],[Base monetaria]]-C2591)/C2591</f>
        <v>-5.8858463052010529E-3</v>
      </c>
      <c r="I2592" s="12">
        <f>(PrincipalesVariables[[#This Row],[Dólar  mayorista]]-E2591)/E2591</f>
        <v>1.8924230293326978E-3</v>
      </c>
      <c r="J2592" s="12">
        <f>(PrincipalesVariables[[#This Row],[Reservas internacionales]]-F2591)/F2591</f>
        <v>-2.5656953034272289E-3</v>
      </c>
    </row>
    <row r="2593" spans="1:10" ht="15.75" thickBot="1" x14ac:dyDescent="0.3">
      <c r="A2593" s="14">
        <v>44802</v>
      </c>
      <c r="B2593" s="15">
        <v>44802</v>
      </c>
      <c r="C2593" s="16">
        <v>4340968</v>
      </c>
      <c r="D2593" s="10">
        <f>PrincipalesVariables[[#This Row],[Base monetaria]]/1000000</f>
        <v>4.3409680000000002</v>
      </c>
      <c r="E2593" s="10">
        <v>138.33000000000001</v>
      </c>
      <c r="F2593" s="11">
        <v>36841</v>
      </c>
      <c r="H2593" s="12">
        <f>(PrincipalesVariables[[#This Row],[Base monetaria]]-C2592)/C2592</f>
        <v>3.070042557960409E-2</v>
      </c>
      <c r="I2593" s="12">
        <f>(PrincipalesVariables[[#This Row],[Dólar  mayorista]]-E2592)/E2592</f>
        <v>4.9400653832183568E-3</v>
      </c>
      <c r="J2593" s="12">
        <f>(PrincipalesVariables[[#This Row],[Reservas internacionales]]-F2592)/F2592</f>
        <v>-2.4639878695981803E-3</v>
      </c>
    </row>
    <row r="2594" spans="1:10" ht="15.75" thickBot="1" x14ac:dyDescent="0.3">
      <c r="A2594" s="14">
        <v>44803</v>
      </c>
      <c r="B2594" s="15">
        <v>44803</v>
      </c>
      <c r="C2594" s="16">
        <v>4218733</v>
      </c>
      <c r="D2594" s="10">
        <f>PrincipalesVariables[[#This Row],[Base monetaria]]/1000000</f>
        <v>4.2187330000000003</v>
      </c>
      <c r="E2594" s="10">
        <v>138.57</v>
      </c>
      <c r="F2594" s="11">
        <v>36846</v>
      </c>
      <c r="H2594" s="12">
        <f>(PrincipalesVariables[[#This Row],[Base monetaria]]-C2593)/C2593</f>
        <v>-2.8158466037989684E-2</v>
      </c>
      <c r="I2594" s="12">
        <f>(PrincipalesVariables[[#This Row],[Dólar  mayorista]]-E2593)/E2593</f>
        <v>1.7349815658207232E-3</v>
      </c>
      <c r="J2594" s="12">
        <f>(PrincipalesVariables[[#This Row],[Reservas internacionales]]-F2593)/F2593</f>
        <v>1.3571835726500366E-4</v>
      </c>
    </row>
    <row r="2595" spans="1:10" ht="15.75" thickBot="1" x14ac:dyDescent="0.3">
      <c r="A2595" s="14">
        <v>44804</v>
      </c>
      <c r="B2595" s="15">
        <v>44804</v>
      </c>
      <c r="C2595" s="16">
        <v>4191384</v>
      </c>
      <c r="D2595" s="10">
        <f>PrincipalesVariables[[#This Row],[Base monetaria]]/1000000</f>
        <v>4.1913840000000002</v>
      </c>
      <c r="E2595" s="10">
        <v>138.71</v>
      </c>
      <c r="F2595" s="11">
        <v>36734</v>
      </c>
      <c r="H2595" s="12">
        <f>(PrincipalesVariables[[#This Row],[Base monetaria]]-C2594)/C2594</f>
        <v>-6.4827520490156644E-3</v>
      </c>
      <c r="I2595" s="12">
        <f>(PrincipalesVariables[[#This Row],[Dólar  mayorista]]-E2594)/E2594</f>
        <v>1.0103196940175708E-3</v>
      </c>
      <c r="J2595" s="12">
        <f>(PrincipalesVariables[[#This Row],[Reservas internacionales]]-F2594)/F2594</f>
        <v>-3.0396786625413886E-3</v>
      </c>
    </row>
    <row r="2596" spans="1:10" ht="15.75" thickBot="1" x14ac:dyDescent="0.3">
      <c r="A2596" s="14">
        <v>44805</v>
      </c>
      <c r="B2596" s="15">
        <v>44805</v>
      </c>
      <c r="C2596" s="16">
        <v>4318493</v>
      </c>
      <c r="D2596" s="10">
        <f>PrincipalesVariables[[#This Row],[Base monetaria]]/1000000</f>
        <v>4.3184930000000001</v>
      </c>
      <c r="E2596" s="10">
        <v>139.01</v>
      </c>
      <c r="F2596" s="11">
        <v>36642</v>
      </c>
      <c r="H2596" s="12">
        <f>(PrincipalesVariables[[#This Row],[Base monetaria]]-C2595)/C2595</f>
        <v>3.0326259774814238E-2</v>
      </c>
      <c r="I2596" s="12">
        <f>(PrincipalesVariables[[#This Row],[Dólar  mayorista]]-E2595)/E2595</f>
        <v>2.162785667940184E-3</v>
      </c>
      <c r="J2596" s="12">
        <f>(PrincipalesVariables[[#This Row],[Reservas internacionales]]-F2595)/F2595</f>
        <v>-2.504491751510862E-3</v>
      </c>
    </row>
    <row r="2597" spans="1:10" ht="15.75" thickBot="1" x14ac:dyDescent="0.3">
      <c r="A2597" s="14">
        <v>44809</v>
      </c>
      <c r="B2597" s="15">
        <v>44809</v>
      </c>
      <c r="C2597" s="16">
        <v>4408378</v>
      </c>
      <c r="D2597" s="10">
        <f>PrincipalesVariables[[#This Row],[Base monetaria]]/1000000</f>
        <v>4.4083779999999999</v>
      </c>
      <c r="E2597" s="10">
        <v>140.19999999999999</v>
      </c>
      <c r="F2597" s="11">
        <v>36577</v>
      </c>
      <c r="H2597" s="12">
        <f>(PrincipalesVariables[[#This Row],[Base monetaria]]-C2596)/C2596</f>
        <v>2.0813973763532789E-2</v>
      </c>
      <c r="I2597" s="12">
        <f>(PrincipalesVariables[[#This Row],[Dólar  mayorista]]-E2596)/E2596</f>
        <v>8.5605352132939912E-3</v>
      </c>
      <c r="J2597" s="12">
        <f>(PrincipalesVariables[[#This Row],[Reservas internacionales]]-F2596)/F2596</f>
        <v>-1.7739206375197861E-3</v>
      </c>
    </row>
    <row r="2598" spans="1:10" ht="15.75" thickBot="1" x14ac:dyDescent="0.3">
      <c r="A2598" s="14">
        <v>44810</v>
      </c>
      <c r="B2598" s="15">
        <v>44810</v>
      </c>
      <c r="C2598" s="16">
        <v>4393837</v>
      </c>
      <c r="D2598" s="10">
        <f>PrincipalesVariables[[#This Row],[Base monetaria]]/1000000</f>
        <v>4.3938370000000004</v>
      </c>
      <c r="E2598" s="10">
        <v>140.58000000000001</v>
      </c>
      <c r="F2598" s="11">
        <v>36630</v>
      </c>
      <c r="H2598" s="12">
        <f>(PrincipalesVariables[[#This Row],[Base monetaria]]-C2597)/C2597</f>
        <v>-3.298492098454352E-3</v>
      </c>
      <c r="I2598" s="12">
        <f>(PrincipalesVariables[[#This Row],[Dólar  mayorista]]-E2597)/E2597</f>
        <v>2.7104136947219966E-3</v>
      </c>
      <c r="J2598" s="12">
        <f>(PrincipalesVariables[[#This Row],[Reservas internacionales]]-F2597)/F2597</f>
        <v>1.4489980042102961E-3</v>
      </c>
    </row>
    <row r="2599" spans="1:10" ht="15.75" thickBot="1" x14ac:dyDescent="0.3">
      <c r="A2599" s="14">
        <v>44811</v>
      </c>
      <c r="B2599" s="15">
        <v>44811</v>
      </c>
      <c r="C2599" s="16">
        <v>4254565</v>
      </c>
      <c r="D2599" s="10">
        <f>PrincipalesVariables[[#This Row],[Base monetaria]]/1000000</f>
        <v>4.2545650000000004</v>
      </c>
      <c r="E2599" s="10">
        <v>140.82</v>
      </c>
      <c r="F2599" s="11">
        <v>36861</v>
      </c>
      <c r="H2599" s="12">
        <f>(PrincipalesVariables[[#This Row],[Base monetaria]]-C2598)/C2598</f>
        <v>-3.1697124859206199E-2</v>
      </c>
      <c r="I2599" s="12">
        <f>(PrincipalesVariables[[#This Row],[Dólar  mayorista]]-E2598)/E2598</f>
        <v>1.707212974818471E-3</v>
      </c>
      <c r="J2599" s="12">
        <f>(PrincipalesVariables[[#This Row],[Reservas internacionales]]-F2598)/F2598</f>
        <v>6.3063063063063061E-3</v>
      </c>
    </row>
    <row r="2600" spans="1:10" ht="15.75" thickBot="1" x14ac:dyDescent="0.3">
      <c r="A2600" s="14">
        <v>44812</v>
      </c>
      <c r="B2600" s="15">
        <v>44812</v>
      </c>
      <c r="C2600" s="16">
        <v>4228921</v>
      </c>
      <c r="D2600" s="10">
        <f>PrincipalesVariables[[#This Row],[Base monetaria]]/1000000</f>
        <v>4.2289209999999997</v>
      </c>
      <c r="E2600" s="10">
        <v>141.18</v>
      </c>
      <c r="F2600" s="11">
        <v>37284</v>
      </c>
      <c r="H2600" s="12">
        <f>(PrincipalesVariables[[#This Row],[Base monetaria]]-C2599)/C2599</f>
        <v>-6.0274082074195596E-3</v>
      </c>
      <c r="I2600" s="12">
        <f>(PrincipalesVariables[[#This Row],[Dólar  mayorista]]-E2599)/E2599</f>
        <v>2.5564550489988189E-3</v>
      </c>
      <c r="J2600" s="12">
        <f>(PrincipalesVariables[[#This Row],[Reservas internacionales]]-F2599)/F2599</f>
        <v>1.1475543257101001E-2</v>
      </c>
    </row>
    <row r="2601" spans="1:10" ht="15.75" thickBot="1" x14ac:dyDescent="0.3">
      <c r="A2601" s="14">
        <v>44813</v>
      </c>
      <c r="B2601" s="15">
        <v>44813</v>
      </c>
      <c r="C2601" s="16">
        <v>4143840</v>
      </c>
      <c r="D2601" s="10">
        <f>PrincipalesVariables[[#This Row],[Base monetaria]]/1000000</f>
        <v>4.14384</v>
      </c>
      <c r="E2601" s="10">
        <v>141.38</v>
      </c>
      <c r="F2601" s="11">
        <v>37508</v>
      </c>
      <c r="H2601" s="12">
        <f>(PrincipalesVariables[[#This Row],[Base monetaria]]-C2600)/C2600</f>
        <v>-2.0118843553710273E-2</v>
      </c>
      <c r="I2601" s="12">
        <f>(PrincipalesVariables[[#This Row],[Dólar  mayorista]]-E2600)/E2600</f>
        <v>1.4166312508853138E-3</v>
      </c>
      <c r="J2601" s="12">
        <f>(PrincipalesVariables[[#This Row],[Reservas internacionales]]-F2600)/F2600</f>
        <v>6.0079390623323679E-3</v>
      </c>
    </row>
    <row r="2602" spans="1:10" ht="15.75" thickBot="1" x14ac:dyDescent="0.3">
      <c r="A2602" s="14">
        <v>44816</v>
      </c>
      <c r="B2602" s="15">
        <v>44816</v>
      </c>
      <c r="C2602" s="16">
        <v>4276589</v>
      </c>
      <c r="D2602" s="10">
        <f>PrincipalesVariables[[#This Row],[Base monetaria]]/1000000</f>
        <v>4.2765890000000004</v>
      </c>
      <c r="E2602" s="10">
        <v>142.28</v>
      </c>
      <c r="F2602" s="11">
        <v>37652</v>
      </c>
      <c r="H2602" s="12">
        <f>(PrincipalesVariables[[#This Row],[Base monetaria]]-C2601)/C2601</f>
        <v>3.2035261979227E-2</v>
      </c>
      <c r="I2602" s="12">
        <f>(PrincipalesVariables[[#This Row],[Dólar  mayorista]]-E2601)/E2601</f>
        <v>6.3658226057434269E-3</v>
      </c>
      <c r="J2602" s="12">
        <f>(PrincipalesVariables[[#This Row],[Reservas internacionales]]-F2601)/F2601</f>
        <v>3.8391809747253917E-3</v>
      </c>
    </row>
    <row r="2603" spans="1:10" ht="15.75" thickBot="1" x14ac:dyDescent="0.3">
      <c r="A2603" s="14">
        <v>44817</v>
      </c>
      <c r="B2603" s="15">
        <v>44817</v>
      </c>
      <c r="C2603" s="16">
        <v>4173625</v>
      </c>
      <c r="D2603" s="10">
        <f>PrincipalesVariables[[#This Row],[Base monetaria]]/1000000</f>
        <v>4.1736250000000004</v>
      </c>
      <c r="E2603" s="10">
        <v>142.58000000000001</v>
      </c>
      <c r="F2603" s="11">
        <v>37753</v>
      </c>
      <c r="H2603" s="12">
        <f>(PrincipalesVariables[[#This Row],[Base monetaria]]-C2602)/C2602</f>
        <v>-2.4076197174898031E-2</v>
      </c>
      <c r="I2603" s="12">
        <f>(PrincipalesVariables[[#This Row],[Dólar  mayorista]]-E2602)/E2602</f>
        <v>2.1085184143942322E-3</v>
      </c>
      <c r="J2603" s="12">
        <f>(PrincipalesVariables[[#This Row],[Reservas internacionales]]-F2602)/F2602</f>
        <v>2.6824604270689473E-3</v>
      </c>
    </row>
    <row r="2604" spans="1:10" ht="15.75" thickBot="1" x14ac:dyDescent="0.3">
      <c r="A2604" s="14">
        <v>44818</v>
      </c>
      <c r="B2604" s="15">
        <v>44818</v>
      </c>
      <c r="C2604" s="16">
        <v>4107049</v>
      </c>
      <c r="D2604" s="10">
        <f>PrincipalesVariables[[#This Row],[Base monetaria]]/1000000</f>
        <v>4.1070489999999999</v>
      </c>
      <c r="E2604" s="10">
        <v>142.88</v>
      </c>
      <c r="F2604" s="11">
        <v>37922</v>
      </c>
      <c r="H2604" s="12">
        <f>(PrincipalesVariables[[#This Row],[Base monetaria]]-C2603)/C2603</f>
        <v>-1.5951600826619547E-2</v>
      </c>
      <c r="I2604" s="12">
        <f>(PrincipalesVariables[[#This Row],[Dólar  mayorista]]-E2603)/E2603</f>
        <v>2.1040819189225902E-3</v>
      </c>
      <c r="J2604" s="12">
        <f>(PrincipalesVariables[[#This Row],[Reservas internacionales]]-F2603)/F2603</f>
        <v>4.4764654464545866E-3</v>
      </c>
    </row>
    <row r="2605" spans="1:10" ht="15.75" thickBot="1" x14ac:dyDescent="0.3">
      <c r="A2605" s="14">
        <v>44819</v>
      </c>
      <c r="B2605" s="15">
        <v>44819</v>
      </c>
      <c r="C2605" s="16">
        <v>4264815</v>
      </c>
      <c r="D2605" s="10">
        <f>PrincipalesVariables[[#This Row],[Base monetaria]]/1000000</f>
        <v>4.2648149999999996</v>
      </c>
      <c r="E2605" s="10">
        <v>143.18</v>
      </c>
      <c r="F2605" s="11">
        <v>37916</v>
      </c>
      <c r="H2605" s="12">
        <f>(PrincipalesVariables[[#This Row],[Base monetaria]]-C2604)/C2604</f>
        <v>3.8413469135625114E-2</v>
      </c>
      <c r="I2605" s="12">
        <f>(PrincipalesVariables[[#This Row],[Dólar  mayorista]]-E2604)/E2604</f>
        <v>2.0996640537514796E-3</v>
      </c>
      <c r="J2605" s="12">
        <f>(PrincipalesVariables[[#This Row],[Reservas internacionales]]-F2604)/F2604</f>
        <v>-1.5821950319075997E-4</v>
      </c>
    </row>
    <row r="2606" spans="1:10" ht="15.75" thickBot="1" x14ac:dyDescent="0.3">
      <c r="A2606" s="14">
        <v>44820</v>
      </c>
      <c r="B2606" s="15">
        <v>44820</v>
      </c>
      <c r="C2606" s="16">
        <v>4110170</v>
      </c>
      <c r="D2606" s="10">
        <f>PrincipalesVariables[[#This Row],[Base monetaria]]/1000000</f>
        <v>4.1101700000000001</v>
      </c>
      <c r="E2606" s="10">
        <v>143.5</v>
      </c>
      <c r="F2606" s="11">
        <v>38120</v>
      </c>
      <c r="H2606" s="12">
        <f>(PrincipalesVariables[[#This Row],[Base monetaria]]-C2605)/C2605</f>
        <v>-3.6260658434187652E-2</v>
      </c>
      <c r="I2606" s="12">
        <f>(PrincipalesVariables[[#This Row],[Dólar  mayorista]]-E2605)/E2605</f>
        <v>2.2349490152255426E-3</v>
      </c>
      <c r="J2606" s="12">
        <f>(PrincipalesVariables[[#This Row],[Reservas internacionales]]-F2605)/F2605</f>
        <v>5.380314379153919E-3</v>
      </c>
    </row>
    <row r="2607" spans="1:10" ht="15.75" thickBot="1" x14ac:dyDescent="0.3">
      <c r="A2607" s="14">
        <v>44823</v>
      </c>
      <c r="B2607" s="15">
        <v>44823</v>
      </c>
      <c r="C2607" s="16">
        <v>4284228</v>
      </c>
      <c r="D2607" s="10">
        <f>PrincipalesVariables[[#This Row],[Base monetaria]]/1000000</f>
        <v>4.2842279999999997</v>
      </c>
      <c r="E2607" s="10">
        <v>144.35</v>
      </c>
      <c r="F2607" s="11">
        <v>38251</v>
      </c>
      <c r="H2607" s="12">
        <f>(PrincipalesVariables[[#This Row],[Base monetaria]]-C2606)/C2606</f>
        <v>4.2348126719819378E-2</v>
      </c>
      <c r="I2607" s="12">
        <f>(PrincipalesVariables[[#This Row],[Dólar  mayorista]]-E2606)/E2606</f>
        <v>5.9233449477351522E-3</v>
      </c>
      <c r="J2607" s="12">
        <f>(PrincipalesVariables[[#This Row],[Reservas internacionales]]-F2606)/F2606</f>
        <v>3.4365162644281219E-3</v>
      </c>
    </row>
    <row r="2608" spans="1:10" ht="15.75" thickBot="1" x14ac:dyDescent="0.3">
      <c r="A2608" s="14">
        <v>44824</v>
      </c>
      <c r="B2608" s="15">
        <v>44824</v>
      </c>
      <c r="C2608" s="16">
        <v>4062769</v>
      </c>
      <c r="D2608" s="10">
        <f>PrincipalesVariables[[#This Row],[Base monetaria]]/1000000</f>
        <v>4.0627690000000003</v>
      </c>
      <c r="E2608" s="10">
        <v>144.63</v>
      </c>
      <c r="F2608" s="11">
        <v>38341</v>
      </c>
      <c r="H2608" s="12">
        <f>(PrincipalesVariables[[#This Row],[Base monetaria]]-C2607)/C2607</f>
        <v>-5.1691693345919033E-2</v>
      </c>
      <c r="I2608" s="12">
        <f>(PrincipalesVariables[[#This Row],[Dólar  mayorista]]-E2607)/E2607</f>
        <v>1.9397298233460418E-3</v>
      </c>
      <c r="J2608" s="12">
        <f>(PrincipalesVariables[[#This Row],[Reservas internacionales]]-F2607)/F2607</f>
        <v>2.3528796632767772E-3</v>
      </c>
    </row>
    <row r="2609" spans="1:10" ht="15.75" thickBot="1" x14ac:dyDescent="0.3">
      <c r="A2609" s="14">
        <v>44825</v>
      </c>
      <c r="B2609" s="15">
        <v>44825</v>
      </c>
      <c r="C2609" s="16">
        <v>4032015</v>
      </c>
      <c r="D2609" s="10">
        <f>PrincipalesVariables[[#This Row],[Base monetaria]]/1000000</f>
        <v>4.0320150000000003</v>
      </c>
      <c r="E2609" s="10">
        <v>144.9</v>
      </c>
      <c r="F2609" s="11">
        <v>37593</v>
      </c>
      <c r="H2609" s="12">
        <f>(PrincipalesVariables[[#This Row],[Base monetaria]]-C2608)/C2608</f>
        <v>-7.5697141530813097E-3</v>
      </c>
      <c r="I2609" s="12">
        <f>(PrincipalesVariables[[#This Row],[Dólar  mayorista]]-E2608)/E2608</f>
        <v>1.8668326073429458E-3</v>
      </c>
      <c r="J2609" s="12">
        <f>(PrincipalesVariables[[#This Row],[Reservas internacionales]]-F2608)/F2608</f>
        <v>-1.9509141649930884E-2</v>
      </c>
    </row>
    <row r="2610" spans="1:10" ht="15.75" thickBot="1" x14ac:dyDescent="0.3">
      <c r="A2610" s="14">
        <v>44826</v>
      </c>
      <c r="B2610" s="15">
        <v>44826</v>
      </c>
      <c r="C2610" s="16">
        <v>4082464</v>
      </c>
      <c r="D2610" s="10">
        <f>PrincipalesVariables[[#This Row],[Base monetaria]]/1000000</f>
        <v>4.0824639999999999</v>
      </c>
      <c r="E2610" s="10">
        <v>145.16999999999999</v>
      </c>
      <c r="F2610" s="11">
        <v>36141</v>
      </c>
      <c r="H2610" s="12">
        <f>(PrincipalesVariables[[#This Row],[Base monetaria]]-C2609)/C2609</f>
        <v>1.251210622976353E-2</v>
      </c>
      <c r="I2610" s="12">
        <f>(PrincipalesVariables[[#This Row],[Dólar  mayorista]]-E2609)/E2609</f>
        <v>1.8633540372669552E-3</v>
      </c>
      <c r="J2610" s="12">
        <f>(PrincipalesVariables[[#This Row],[Reservas internacionales]]-F2609)/F2609</f>
        <v>-3.8624211954353206E-2</v>
      </c>
    </row>
    <row r="2611" spans="1:10" ht="15.75" thickBot="1" x14ac:dyDescent="0.3">
      <c r="A2611" s="14">
        <v>44827</v>
      </c>
      <c r="B2611" s="15">
        <v>44827</v>
      </c>
      <c r="C2611" s="16">
        <v>4070898</v>
      </c>
      <c r="D2611" s="10">
        <f>PrincipalesVariables[[#This Row],[Base monetaria]]/1000000</f>
        <v>4.0708979999999997</v>
      </c>
      <c r="E2611" s="10">
        <v>145.46</v>
      </c>
      <c r="F2611" s="11">
        <v>36075</v>
      </c>
      <c r="H2611" s="12">
        <f>(PrincipalesVariables[[#This Row],[Base monetaria]]-C2610)/C2610</f>
        <v>-2.8330929556267979E-3</v>
      </c>
      <c r="I2611" s="12">
        <f>(PrincipalesVariables[[#This Row],[Dólar  mayorista]]-E2610)/E2610</f>
        <v>1.9976579183028208E-3</v>
      </c>
      <c r="J2611" s="12">
        <f>(PrincipalesVariables[[#This Row],[Reservas internacionales]]-F2610)/F2610</f>
        <v>-1.8261807918983979E-3</v>
      </c>
    </row>
    <row r="2612" spans="1:10" ht="15.75" thickBot="1" x14ac:dyDescent="0.3">
      <c r="A2612" s="14">
        <v>44830</v>
      </c>
      <c r="B2612" s="15">
        <v>44830</v>
      </c>
      <c r="C2612" s="16">
        <v>4094919</v>
      </c>
      <c r="D2612" s="10">
        <f>PrincipalesVariables[[#This Row],[Base monetaria]]/1000000</f>
        <v>4.094919</v>
      </c>
      <c r="E2612" s="10">
        <v>146.26</v>
      </c>
      <c r="F2612" s="11">
        <v>36309</v>
      </c>
      <c r="H2612" s="12">
        <f>(PrincipalesVariables[[#This Row],[Base monetaria]]-C2611)/C2611</f>
        <v>5.9006636864888289E-3</v>
      </c>
      <c r="I2612" s="12">
        <f>(PrincipalesVariables[[#This Row],[Dólar  mayorista]]-E2611)/E2611</f>
        <v>5.4997937577339678E-3</v>
      </c>
      <c r="J2612" s="12">
        <f>(PrincipalesVariables[[#This Row],[Reservas internacionales]]-F2611)/F2611</f>
        <v>6.4864864864864862E-3</v>
      </c>
    </row>
    <row r="2613" spans="1:10" ht="15.75" thickBot="1" x14ac:dyDescent="0.3">
      <c r="A2613" s="14">
        <v>44831</v>
      </c>
      <c r="B2613" s="15">
        <v>44831</v>
      </c>
      <c r="C2613" s="16">
        <v>4168042</v>
      </c>
      <c r="D2613" s="10">
        <f>PrincipalesVariables[[#This Row],[Base monetaria]]/1000000</f>
        <v>4.1680419999999998</v>
      </c>
      <c r="E2613" s="10">
        <v>146.56</v>
      </c>
      <c r="F2613" s="11">
        <v>36570</v>
      </c>
      <c r="H2613" s="12">
        <f>(PrincipalesVariables[[#This Row],[Base monetaria]]-C2612)/C2612</f>
        <v>1.7857007672190828E-2</v>
      </c>
      <c r="I2613" s="12">
        <f>(PrincipalesVariables[[#This Row],[Dólar  mayorista]]-E2612)/E2612</f>
        <v>2.0511418022700081E-3</v>
      </c>
      <c r="J2613" s="12">
        <f>(PrincipalesVariables[[#This Row],[Reservas internacionales]]-F2612)/F2612</f>
        <v>7.1883004213831279E-3</v>
      </c>
    </row>
    <row r="2614" spans="1:10" ht="15.75" thickBot="1" x14ac:dyDescent="0.3">
      <c r="A2614" s="14">
        <v>44832</v>
      </c>
      <c r="B2614" s="15">
        <v>44832</v>
      </c>
      <c r="C2614" s="16">
        <v>4038943</v>
      </c>
      <c r="D2614" s="10">
        <f>PrincipalesVariables[[#This Row],[Base monetaria]]/1000000</f>
        <v>4.0389429999999997</v>
      </c>
      <c r="E2614" s="10">
        <v>146.84</v>
      </c>
      <c r="F2614" s="11">
        <v>36839</v>
      </c>
      <c r="H2614" s="12">
        <f>(PrincipalesVariables[[#This Row],[Base monetaria]]-C2613)/C2613</f>
        <v>-3.0973536255152898E-2</v>
      </c>
      <c r="I2614" s="12">
        <f>(PrincipalesVariables[[#This Row],[Dólar  mayorista]]-E2613)/E2613</f>
        <v>1.9104803493449859E-3</v>
      </c>
      <c r="J2614" s="12">
        <f>(PrincipalesVariables[[#This Row],[Reservas internacionales]]-F2613)/F2613</f>
        <v>7.3557560842220397E-3</v>
      </c>
    </row>
    <row r="2615" spans="1:10" ht="15.75" thickBot="1" x14ac:dyDescent="0.3">
      <c r="A2615" s="14">
        <v>44833</v>
      </c>
      <c r="B2615" s="15">
        <v>44833</v>
      </c>
      <c r="C2615" s="16">
        <v>4178355</v>
      </c>
      <c r="D2615" s="10">
        <f>PrincipalesVariables[[#This Row],[Base monetaria]]/1000000</f>
        <v>4.1783549999999998</v>
      </c>
      <c r="E2615" s="10">
        <v>147.09</v>
      </c>
      <c r="F2615" s="11">
        <v>37278</v>
      </c>
      <c r="H2615" s="12">
        <f>(PrincipalesVariables[[#This Row],[Base monetaria]]-C2614)/C2614</f>
        <v>3.4516951588571564E-2</v>
      </c>
      <c r="I2615" s="12">
        <f>(PrincipalesVariables[[#This Row],[Dólar  mayorista]]-E2614)/E2614</f>
        <v>1.7025333696540452E-3</v>
      </c>
      <c r="J2615" s="12">
        <f>(PrincipalesVariables[[#This Row],[Reservas internacionales]]-F2614)/F2614</f>
        <v>1.1916718694861423E-2</v>
      </c>
    </row>
    <row r="2616" spans="1:10" ht="15.75" thickBot="1" x14ac:dyDescent="0.3">
      <c r="A2616" s="14">
        <v>44834</v>
      </c>
      <c r="B2616" s="15">
        <v>44834</v>
      </c>
      <c r="C2616" s="16">
        <v>4099049</v>
      </c>
      <c r="D2616" s="10">
        <f>PrincipalesVariables[[#This Row],[Base monetaria]]/1000000</f>
        <v>4.0990489999999999</v>
      </c>
      <c r="E2616" s="10">
        <v>147.32</v>
      </c>
      <c r="F2616" s="11">
        <v>37625</v>
      </c>
      <c r="H2616" s="12">
        <f>(PrincipalesVariables[[#This Row],[Base monetaria]]-C2615)/C2615</f>
        <v>-1.8980196752071091E-2</v>
      </c>
      <c r="I2616" s="12">
        <f>(PrincipalesVariables[[#This Row],[Dólar  mayorista]]-E2615)/E2615</f>
        <v>1.5636685022774475E-3</v>
      </c>
      <c r="J2616" s="12">
        <f>(PrincipalesVariables[[#This Row],[Reservas internacionales]]-F2615)/F2615</f>
        <v>9.3084392939535385E-3</v>
      </c>
    </row>
    <row r="2617" spans="1:10" ht="15.75" thickBot="1" x14ac:dyDescent="0.3">
      <c r="A2617" s="14">
        <v>44837</v>
      </c>
      <c r="B2617" s="15">
        <v>44837</v>
      </c>
      <c r="C2617" s="16">
        <v>4190658</v>
      </c>
      <c r="D2617" s="10">
        <f>PrincipalesVariables[[#This Row],[Base monetaria]]/1000000</f>
        <v>4.190658</v>
      </c>
      <c r="E2617" s="10">
        <v>148.24</v>
      </c>
      <c r="F2617" s="11">
        <v>37671</v>
      </c>
      <c r="H2617" s="12">
        <f>(PrincipalesVariables[[#This Row],[Base monetaria]]-C2616)/C2616</f>
        <v>2.2348842377829588E-2</v>
      </c>
      <c r="I2617" s="12">
        <f>(PrincipalesVariables[[#This Row],[Dólar  mayorista]]-E2616)/E2616</f>
        <v>6.2449090415423293E-3</v>
      </c>
      <c r="J2617" s="12">
        <f>(PrincipalesVariables[[#This Row],[Reservas internacionales]]-F2616)/F2616</f>
        <v>1.2225913621262457E-3</v>
      </c>
    </row>
    <row r="2618" spans="1:10" ht="15.75" thickBot="1" x14ac:dyDescent="0.3">
      <c r="A2618" s="14">
        <v>44838</v>
      </c>
      <c r="B2618" s="15">
        <v>44838</v>
      </c>
      <c r="C2618" s="16">
        <v>4156690</v>
      </c>
      <c r="D2618" s="10">
        <f>PrincipalesVariables[[#This Row],[Base monetaria]]/1000000</f>
        <v>4.1566900000000002</v>
      </c>
      <c r="E2618" s="10">
        <v>148.58000000000001</v>
      </c>
      <c r="F2618" s="11">
        <v>37752</v>
      </c>
      <c r="H2618" s="12">
        <f>(PrincipalesVariables[[#This Row],[Base monetaria]]-C2617)/C2617</f>
        <v>-8.1056483253942463E-3</v>
      </c>
      <c r="I2618" s="12">
        <f>(PrincipalesVariables[[#This Row],[Dólar  mayorista]]-E2617)/E2617</f>
        <v>2.2935779816513988E-3</v>
      </c>
      <c r="J2618" s="12">
        <f>(PrincipalesVariables[[#This Row],[Reservas internacionales]]-F2617)/F2617</f>
        <v>2.1501951102970455E-3</v>
      </c>
    </row>
    <row r="2619" spans="1:10" ht="15.75" thickBot="1" x14ac:dyDescent="0.3">
      <c r="A2619" s="14">
        <v>44839</v>
      </c>
      <c r="B2619" s="15">
        <v>44839</v>
      </c>
      <c r="C2619" s="16">
        <v>4296449</v>
      </c>
      <c r="D2619" s="10">
        <f>PrincipalesVariables[[#This Row],[Base monetaria]]/1000000</f>
        <v>4.296449</v>
      </c>
      <c r="E2619" s="10">
        <v>148.91</v>
      </c>
      <c r="F2619" s="11">
        <v>37832</v>
      </c>
      <c r="H2619" s="12">
        <f>(PrincipalesVariables[[#This Row],[Base monetaria]]-C2618)/C2618</f>
        <v>3.3622666111737948E-2</v>
      </c>
      <c r="I2619" s="12">
        <f>(PrincipalesVariables[[#This Row],[Dólar  mayorista]]-E2618)/E2618</f>
        <v>2.2210257100550817E-3</v>
      </c>
      <c r="J2619" s="12">
        <f>(PrincipalesVariables[[#This Row],[Reservas internacionales]]-F2618)/F2618</f>
        <v>2.1190930281839372E-3</v>
      </c>
    </row>
    <row r="2620" spans="1:10" ht="15.75" thickBot="1" x14ac:dyDescent="0.3">
      <c r="A2620" s="14">
        <v>44840</v>
      </c>
      <c r="B2620" s="15">
        <v>44840</v>
      </c>
      <c r="C2620" s="16">
        <v>4312375</v>
      </c>
      <c r="D2620" s="10">
        <f>PrincipalesVariables[[#This Row],[Base monetaria]]/1000000</f>
        <v>4.3123750000000003</v>
      </c>
      <c r="E2620" s="10">
        <v>149.19999999999999</v>
      </c>
      <c r="F2620" s="11">
        <v>36547</v>
      </c>
      <c r="H2620" s="12">
        <f>(PrincipalesVariables[[#This Row],[Base monetaria]]-C2619)/C2619</f>
        <v>3.7067820425658493E-3</v>
      </c>
      <c r="I2620" s="12">
        <f>(PrincipalesVariables[[#This Row],[Dólar  mayorista]]-E2619)/E2619</f>
        <v>1.9474850580887251E-3</v>
      </c>
      <c r="J2620" s="12">
        <f>(PrincipalesVariables[[#This Row],[Reservas internacionales]]-F2619)/F2619</f>
        <v>-3.3965954747303871E-2</v>
      </c>
    </row>
    <row r="2621" spans="1:10" ht="15.75" thickBot="1" x14ac:dyDescent="0.3">
      <c r="A2621" s="14">
        <v>44845</v>
      </c>
      <c r="B2621" s="15">
        <v>44845</v>
      </c>
      <c r="C2621" s="16">
        <v>4351187</v>
      </c>
      <c r="D2621" s="10">
        <f>PrincipalesVariables[[#This Row],[Base monetaria]]/1000000</f>
        <v>4.3511870000000004</v>
      </c>
      <c r="E2621" s="10">
        <v>150.72999999999999</v>
      </c>
      <c r="F2621" s="11">
        <v>40123</v>
      </c>
      <c r="H2621" s="12">
        <f>(PrincipalesVariables[[#This Row],[Base monetaria]]-C2620)/C2620</f>
        <v>9.0001449317371526E-3</v>
      </c>
      <c r="I2621" s="12">
        <f>(PrincipalesVariables[[#This Row],[Dólar  mayorista]]-E2620)/E2620</f>
        <v>1.0254691689008052E-2</v>
      </c>
      <c r="J2621" s="12">
        <f>(PrincipalesVariables[[#This Row],[Reservas internacionales]]-F2620)/F2620</f>
        <v>9.7846608476755956E-2</v>
      </c>
    </row>
    <row r="2622" spans="1:10" ht="15.75" thickBot="1" x14ac:dyDescent="0.3">
      <c r="A2622" s="14">
        <v>44846</v>
      </c>
      <c r="B2622" s="15">
        <v>44846</v>
      </c>
      <c r="C2622" s="16">
        <v>4173239</v>
      </c>
      <c r="D2622" s="10">
        <f>PrincipalesVariables[[#This Row],[Base monetaria]]/1000000</f>
        <v>4.1732389999999997</v>
      </c>
      <c r="E2622" s="10">
        <v>151.03</v>
      </c>
      <c r="F2622" s="11">
        <v>40074</v>
      </c>
      <c r="H2622" s="12">
        <f>(PrincipalesVariables[[#This Row],[Base monetaria]]-C2621)/C2621</f>
        <v>-4.0896426653232787E-2</v>
      </c>
      <c r="I2622" s="12">
        <f>(PrincipalesVariables[[#This Row],[Dólar  mayorista]]-E2621)/E2621</f>
        <v>1.990313806143511E-3</v>
      </c>
      <c r="J2622" s="12">
        <f>(PrincipalesVariables[[#This Row],[Reservas internacionales]]-F2621)/F2621</f>
        <v>-1.2212446726316576E-3</v>
      </c>
    </row>
    <row r="2623" spans="1:10" ht="15.75" thickBot="1" x14ac:dyDescent="0.3">
      <c r="A2623" s="14">
        <v>44847</v>
      </c>
      <c r="B2623" s="15">
        <v>44847</v>
      </c>
      <c r="C2623" s="16">
        <v>4209231</v>
      </c>
      <c r="D2623" s="10">
        <f>PrincipalesVariables[[#This Row],[Base monetaria]]/1000000</f>
        <v>4.2092309999999999</v>
      </c>
      <c r="E2623" s="10">
        <v>151.32</v>
      </c>
      <c r="F2623" s="11">
        <v>40052</v>
      </c>
      <c r="H2623" s="12">
        <f>(PrincipalesVariables[[#This Row],[Base monetaria]]-C2622)/C2622</f>
        <v>8.6244760963846076E-3</v>
      </c>
      <c r="I2623" s="12">
        <f>(PrincipalesVariables[[#This Row],[Dólar  mayorista]]-E2622)/E2622</f>
        <v>1.9201483149042708E-3</v>
      </c>
      <c r="J2623" s="12">
        <f>(PrincipalesVariables[[#This Row],[Reservas internacionales]]-F2622)/F2622</f>
        <v>-5.4898437889903679E-4</v>
      </c>
    </row>
    <row r="2624" spans="1:10" ht="15.75" thickBot="1" x14ac:dyDescent="0.3">
      <c r="A2624" s="14">
        <v>44848</v>
      </c>
      <c r="B2624" s="15">
        <v>44848</v>
      </c>
      <c r="C2624" s="16">
        <v>4137413</v>
      </c>
      <c r="D2624" s="10">
        <f>PrincipalesVariables[[#This Row],[Base monetaria]]/1000000</f>
        <v>4.1374129999999996</v>
      </c>
      <c r="E2624" s="10">
        <v>151.63</v>
      </c>
      <c r="F2624" s="11">
        <v>39263</v>
      </c>
      <c r="H2624" s="12">
        <f>(PrincipalesVariables[[#This Row],[Base monetaria]]-C2623)/C2623</f>
        <v>-1.7062023918383191E-2</v>
      </c>
      <c r="I2624" s="12">
        <f>(PrincipalesVariables[[#This Row],[Dólar  mayorista]]-E2623)/E2623</f>
        <v>2.0486386465768062E-3</v>
      </c>
      <c r="J2624" s="12">
        <f>(PrincipalesVariables[[#This Row],[Reservas internacionales]]-F2623)/F2623</f>
        <v>-1.9699390791970438E-2</v>
      </c>
    </row>
    <row r="2625" spans="1:10" ht="15.75" thickBot="1" x14ac:dyDescent="0.3">
      <c r="A2625" s="14">
        <v>44851</v>
      </c>
      <c r="B2625" s="15">
        <v>44851</v>
      </c>
      <c r="C2625" s="16">
        <v>4220488</v>
      </c>
      <c r="D2625" s="10">
        <f>PrincipalesVariables[[#This Row],[Base monetaria]]/1000000</f>
        <v>4.2204879999999996</v>
      </c>
      <c r="E2625" s="10">
        <v>152.53</v>
      </c>
      <c r="F2625" s="11">
        <v>39192</v>
      </c>
      <c r="H2625" s="12">
        <f>(PrincipalesVariables[[#This Row],[Base monetaria]]-C2624)/C2624</f>
        <v>2.0078972053309642E-2</v>
      </c>
      <c r="I2625" s="12">
        <f>(PrincipalesVariables[[#This Row],[Dólar  mayorista]]-E2624)/E2624</f>
        <v>5.935500890325171E-3</v>
      </c>
      <c r="J2625" s="12">
        <f>(PrincipalesVariables[[#This Row],[Reservas internacionales]]-F2624)/F2624</f>
        <v>-1.8083182640144665E-3</v>
      </c>
    </row>
    <row r="2626" spans="1:10" ht="15.75" thickBot="1" x14ac:dyDescent="0.3">
      <c r="A2626" s="14">
        <v>44852</v>
      </c>
      <c r="B2626" s="15">
        <v>44852</v>
      </c>
      <c r="C2626" s="16">
        <v>4243316</v>
      </c>
      <c r="D2626" s="10">
        <f>PrincipalesVariables[[#This Row],[Base monetaria]]/1000000</f>
        <v>4.2433160000000001</v>
      </c>
      <c r="E2626" s="10">
        <v>152.83000000000001</v>
      </c>
      <c r="F2626" s="11">
        <v>39200</v>
      </c>
      <c r="H2626" s="12">
        <f>(PrincipalesVariables[[#This Row],[Base monetaria]]-C2625)/C2625</f>
        <v>5.4088531942277761E-3</v>
      </c>
      <c r="I2626" s="12">
        <f>(PrincipalesVariables[[#This Row],[Dólar  mayorista]]-E2625)/E2625</f>
        <v>1.9668261981250334E-3</v>
      </c>
      <c r="J2626" s="12">
        <f>(PrincipalesVariables[[#This Row],[Reservas internacionales]]-F2625)/F2625</f>
        <v>2.0412329046744235E-4</v>
      </c>
    </row>
    <row r="2627" spans="1:10" ht="15.75" thickBot="1" x14ac:dyDescent="0.3">
      <c r="A2627" s="14">
        <v>44853</v>
      </c>
      <c r="B2627" s="15">
        <v>44853</v>
      </c>
      <c r="C2627" s="16">
        <v>4164866</v>
      </c>
      <c r="D2627" s="10">
        <f>PrincipalesVariables[[#This Row],[Base monetaria]]/1000000</f>
        <v>4.164866</v>
      </c>
      <c r="E2627" s="10">
        <v>153.16999999999999</v>
      </c>
      <c r="F2627" s="11">
        <v>39085</v>
      </c>
      <c r="H2627" s="12">
        <f>(PrincipalesVariables[[#This Row],[Base monetaria]]-C2626)/C2626</f>
        <v>-1.8487899557798664E-2</v>
      </c>
      <c r="I2627" s="12">
        <f>(PrincipalesVariables[[#This Row],[Dólar  mayorista]]-E2626)/E2626</f>
        <v>2.224694104560459E-3</v>
      </c>
      <c r="J2627" s="12">
        <f>(PrincipalesVariables[[#This Row],[Reservas internacionales]]-F2626)/F2626</f>
        <v>-2.9336734693877551E-3</v>
      </c>
    </row>
    <row r="2628" spans="1:10" ht="15.75" thickBot="1" x14ac:dyDescent="0.3">
      <c r="A2628" s="14">
        <v>44854</v>
      </c>
      <c r="B2628" s="15">
        <v>44854</v>
      </c>
      <c r="C2628" s="16">
        <v>4219615</v>
      </c>
      <c r="D2628" s="10">
        <f>PrincipalesVariables[[#This Row],[Base monetaria]]/1000000</f>
        <v>4.2196150000000001</v>
      </c>
      <c r="E2628" s="10">
        <v>153.5</v>
      </c>
      <c r="F2628" s="11">
        <v>39788</v>
      </c>
      <c r="H2628" s="12">
        <f>(PrincipalesVariables[[#This Row],[Base monetaria]]-C2627)/C2627</f>
        <v>1.3145440933753931E-2</v>
      </c>
      <c r="I2628" s="12">
        <f>(PrincipalesVariables[[#This Row],[Dólar  mayorista]]-E2627)/E2627</f>
        <v>2.1544688907750376E-3</v>
      </c>
      <c r="J2628" s="12">
        <f>(PrincipalesVariables[[#This Row],[Reservas internacionales]]-F2627)/F2627</f>
        <v>1.7986439810669056E-2</v>
      </c>
    </row>
    <row r="2629" spans="1:10" ht="15.75" thickBot="1" x14ac:dyDescent="0.3">
      <c r="A2629" s="14">
        <v>44855</v>
      </c>
      <c r="B2629" s="15">
        <v>44855</v>
      </c>
      <c r="C2629" s="16">
        <v>4176078</v>
      </c>
      <c r="D2629" s="10">
        <f>PrincipalesVariables[[#This Row],[Base monetaria]]/1000000</f>
        <v>4.1760780000000004</v>
      </c>
      <c r="E2629" s="10">
        <v>153.81</v>
      </c>
      <c r="F2629" s="11">
        <v>39737</v>
      </c>
      <c r="H2629" s="12">
        <f>(PrincipalesVariables[[#This Row],[Base monetaria]]-C2628)/C2628</f>
        <v>-1.031776595732075E-2</v>
      </c>
      <c r="I2629" s="12">
        <f>(PrincipalesVariables[[#This Row],[Dólar  mayorista]]-E2628)/E2628</f>
        <v>2.0195439739413828E-3</v>
      </c>
      <c r="J2629" s="12">
        <f>(PrincipalesVariables[[#This Row],[Reservas internacionales]]-F2628)/F2628</f>
        <v>-1.2817935055795717E-3</v>
      </c>
    </row>
    <row r="2630" spans="1:10" ht="15.75" thickBot="1" x14ac:dyDescent="0.3">
      <c r="A2630" s="14">
        <v>44858</v>
      </c>
      <c r="B2630" s="15">
        <v>44858</v>
      </c>
      <c r="C2630" s="16">
        <v>4252220</v>
      </c>
      <c r="D2630" s="10">
        <f>PrincipalesVariables[[#This Row],[Base monetaria]]/1000000</f>
        <v>4.2522200000000003</v>
      </c>
      <c r="E2630" s="10">
        <v>154.74</v>
      </c>
      <c r="F2630" s="11">
        <v>39666</v>
      </c>
      <c r="H2630" s="12">
        <f>(PrincipalesVariables[[#This Row],[Base monetaria]]-C2629)/C2629</f>
        <v>1.8232896990908694E-2</v>
      </c>
      <c r="I2630" s="12">
        <f>(PrincipalesVariables[[#This Row],[Dólar  mayorista]]-E2629)/E2629</f>
        <v>6.0464209089136391E-3</v>
      </c>
      <c r="J2630" s="12">
        <f>(PrincipalesVariables[[#This Row],[Reservas internacionales]]-F2629)/F2629</f>
        <v>-1.7867478672270176E-3</v>
      </c>
    </row>
    <row r="2631" spans="1:10" ht="15.75" thickBot="1" x14ac:dyDescent="0.3">
      <c r="A2631" s="14">
        <v>44859</v>
      </c>
      <c r="B2631" s="15">
        <v>44859</v>
      </c>
      <c r="C2631" s="16">
        <v>4173457</v>
      </c>
      <c r="D2631" s="10">
        <f>PrincipalesVariables[[#This Row],[Base monetaria]]/1000000</f>
        <v>4.173457</v>
      </c>
      <c r="E2631" s="10">
        <v>155.05000000000001</v>
      </c>
      <c r="F2631" s="11">
        <v>39679</v>
      </c>
      <c r="H2631" s="12">
        <f>(PrincipalesVariables[[#This Row],[Base monetaria]]-C2630)/C2630</f>
        <v>-1.8522795151708991E-2</v>
      </c>
      <c r="I2631" s="12">
        <f>(PrincipalesVariables[[#This Row],[Dólar  mayorista]]-E2630)/E2630</f>
        <v>2.0033604756365662E-3</v>
      </c>
      <c r="J2631" s="12">
        <f>(PrincipalesVariables[[#This Row],[Reservas internacionales]]-F2630)/F2630</f>
        <v>3.2773660061513637E-4</v>
      </c>
    </row>
    <row r="2632" spans="1:10" ht="15.75" thickBot="1" x14ac:dyDescent="0.3">
      <c r="A2632" s="14">
        <v>44860</v>
      </c>
      <c r="B2632" s="15">
        <v>44860</v>
      </c>
      <c r="C2632" s="16">
        <v>4207326</v>
      </c>
      <c r="D2632" s="10">
        <f>PrincipalesVariables[[#This Row],[Base monetaria]]/1000000</f>
        <v>4.2073260000000001</v>
      </c>
      <c r="E2632" s="10">
        <v>155.4</v>
      </c>
      <c r="F2632" s="11">
        <v>39697</v>
      </c>
      <c r="H2632" s="12">
        <f>(PrincipalesVariables[[#This Row],[Base monetaria]]-C2631)/C2631</f>
        <v>8.1153346015066172E-3</v>
      </c>
      <c r="I2632" s="12">
        <f>(PrincipalesVariables[[#This Row],[Dólar  mayorista]]-E2631)/E2631</f>
        <v>2.2573363431150875E-3</v>
      </c>
      <c r="J2632" s="12">
        <f>(PrincipalesVariables[[#This Row],[Reservas internacionales]]-F2631)/F2631</f>
        <v>4.5364046472945387E-4</v>
      </c>
    </row>
    <row r="2633" spans="1:10" ht="15.75" thickBot="1" x14ac:dyDescent="0.3">
      <c r="A2633" s="14">
        <v>44861</v>
      </c>
      <c r="B2633" s="15">
        <v>44861</v>
      </c>
      <c r="C2633" s="16">
        <v>4317763</v>
      </c>
      <c r="D2633" s="10">
        <f>PrincipalesVariables[[#This Row],[Base monetaria]]/1000000</f>
        <v>4.3177630000000002</v>
      </c>
      <c r="E2633" s="10">
        <v>155.69999999999999</v>
      </c>
      <c r="F2633" s="11">
        <v>39706</v>
      </c>
      <c r="H2633" s="12">
        <f>(PrincipalesVariables[[#This Row],[Base monetaria]]-C2632)/C2632</f>
        <v>2.6248738509922931E-2</v>
      </c>
      <c r="I2633" s="12">
        <f>(PrincipalesVariables[[#This Row],[Dólar  mayorista]]-E2632)/E2632</f>
        <v>1.9305019305018206E-3</v>
      </c>
      <c r="J2633" s="12">
        <f>(PrincipalesVariables[[#This Row],[Reservas internacionales]]-F2632)/F2632</f>
        <v>2.2671738418520292E-4</v>
      </c>
    </row>
    <row r="2634" spans="1:10" ht="15.75" thickBot="1" x14ac:dyDescent="0.3">
      <c r="A2634" s="14">
        <v>44862</v>
      </c>
      <c r="B2634" s="15">
        <v>44862</v>
      </c>
      <c r="C2634" s="16">
        <v>4267843</v>
      </c>
      <c r="D2634" s="10">
        <f>PrincipalesVariables[[#This Row],[Base monetaria]]/1000000</f>
        <v>4.2678430000000001</v>
      </c>
      <c r="E2634" s="10">
        <v>156.02000000000001</v>
      </c>
      <c r="F2634" s="11">
        <v>38940</v>
      </c>
      <c r="H2634" s="12">
        <f>(PrincipalesVariables[[#This Row],[Base monetaria]]-C2633)/C2633</f>
        <v>-1.1561542400543986E-2</v>
      </c>
      <c r="I2634" s="12">
        <f>(PrincipalesVariables[[#This Row],[Dólar  mayorista]]-E2633)/E2633</f>
        <v>2.0552344251767605E-3</v>
      </c>
      <c r="J2634" s="12">
        <f>(PrincipalesVariables[[#This Row],[Reservas internacionales]]-F2633)/F2633</f>
        <v>-1.9291794690978692E-2</v>
      </c>
    </row>
    <row r="2635" spans="1:10" ht="15.75" thickBot="1" x14ac:dyDescent="0.3">
      <c r="A2635" s="14">
        <v>44865</v>
      </c>
      <c r="B2635" s="15">
        <v>44865</v>
      </c>
      <c r="C2635" s="16">
        <v>4298889</v>
      </c>
      <c r="D2635" s="10">
        <f>PrincipalesVariables[[#This Row],[Base monetaria]]/1000000</f>
        <v>4.298889</v>
      </c>
      <c r="E2635" s="10">
        <v>156.9</v>
      </c>
      <c r="F2635" s="11">
        <v>38676</v>
      </c>
      <c r="H2635" s="12">
        <f>(PrincipalesVariables[[#This Row],[Base monetaria]]-C2634)/C2634</f>
        <v>7.2744006750013997E-3</v>
      </c>
      <c r="I2635" s="12">
        <f>(PrincipalesVariables[[#This Row],[Dólar  mayorista]]-E2634)/E2634</f>
        <v>5.6403025253172374E-3</v>
      </c>
      <c r="J2635" s="12">
        <f>(PrincipalesVariables[[#This Row],[Reservas internacionales]]-F2634)/F2634</f>
        <v>-6.7796610169491523E-3</v>
      </c>
    </row>
    <row r="2636" spans="1:10" ht="15.75" thickBot="1" x14ac:dyDescent="0.3">
      <c r="A2636" s="14">
        <v>44866</v>
      </c>
      <c r="B2636" s="15">
        <v>44866</v>
      </c>
      <c r="C2636" s="16">
        <v>4342580</v>
      </c>
      <c r="D2636" s="10">
        <f>PrincipalesVariables[[#This Row],[Base monetaria]]/1000000</f>
        <v>4.3425799999999999</v>
      </c>
      <c r="E2636" s="10">
        <v>157.24</v>
      </c>
      <c r="F2636" s="11">
        <v>38746</v>
      </c>
      <c r="H2636" s="12">
        <f>(PrincipalesVariables[[#This Row],[Base monetaria]]-C2635)/C2635</f>
        <v>1.0163323593607557E-2</v>
      </c>
      <c r="I2636" s="12">
        <f>(PrincipalesVariables[[#This Row],[Dólar  mayorista]]-E2635)/E2635</f>
        <v>2.1669853409815388E-3</v>
      </c>
      <c r="J2636" s="12">
        <f>(PrincipalesVariables[[#This Row],[Reservas internacionales]]-F2635)/F2635</f>
        <v>1.8099079532526631E-3</v>
      </c>
    </row>
    <row r="2637" spans="1:10" ht="15.75" thickBot="1" x14ac:dyDescent="0.3">
      <c r="A2637" s="14">
        <v>44867</v>
      </c>
      <c r="B2637" s="15">
        <v>44867</v>
      </c>
      <c r="C2637" s="16">
        <v>4277608</v>
      </c>
      <c r="D2637" s="10">
        <f>PrincipalesVariables[[#This Row],[Base monetaria]]/1000000</f>
        <v>4.2776079999999999</v>
      </c>
      <c r="E2637" s="10">
        <v>157.59</v>
      </c>
      <c r="F2637" s="11">
        <v>38653</v>
      </c>
      <c r="H2637" s="12">
        <f>(PrincipalesVariables[[#This Row],[Base monetaria]]-C2636)/C2636</f>
        <v>-1.4961612681861934E-2</v>
      </c>
      <c r="I2637" s="12">
        <f>(PrincipalesVariables[[#This Row],[Dólar  mayorista]]-E2636)/E2636</f>
        <v>2.2258967183922305E-3</v>
      </c>
      <c r="J2637" s="12">
        <f>(PrincipalesVariables[[#This Row],[Reservas internacionales]]-F2636)/F2636</f>
        <v>-2.4002477675114852E-3</v>
      </c>
    </row>
    <row r="2638" spans="1:10" ht="15.75" thickBot="1" x14ac:dyDescent="0.3">
      <c r="A2638" s="14">
        <v>44868</v>
      </c>
      <c r="B2638" s="15">
        <v>44868</v>
      </c>
      <c r="C2638" s="16">
        <v>4307762</v>
      </c>
      <c r="D2638" s="10">
        <f>PrincipalesVariables[[#This Row],[Base monetaria]]/1000000</f>
        <v>4.3077620000000003</v>
      </c>
      <c r="E2638" s="10">
        <v>157.94</v>
      </c>
      <c r="F2638" s="11">
        <v>38485</v>
      </c>
      <c r="H2638" s="12">
        <f>(PrincipalesVariables[[#This Row],[Base monetaria]]-C2637)/C2637</f>
        <v>7.0492667864844091E-3</v>
      </c>
      <c r="I2638" s="12">
        <f>(PrincipalesVariables[[#This Row],[Dólar  mayorista]]-E2637)/E2637</f>
        <v>2.2209531061615222E-3</v>
      </c>
      <c r="J2638" s="12">
        <f>(PrincipalesVariables[[#This Row],[Reservas internacionales]]-F2637)/F2637</f>
        <v>-4.3463638009986292E-3</v>
      </c>
    </row>
    <row r="2639" spans="1:10" ht="15.75" thickBot="1" x14ac:dyDescent="0.3">
      <c r="A2639" s="14">
        <v>44869</v>
      </c>
      <c r="B2639" s="15">
        <v>44869</v>
      </c>
      <c r="C2639" s="16">
        <v>4324787</v>
      </c>
      <c r="D2639" s="10">
        <f>PrincipalesVariables[[#This Row],[Base monetaria]]/1000000</f>
        <v>4.3247869999999997</v>
      </c>
      <c r="E2639" s="10">
        <v>158.27000000000001</v>
      </c>
      <c r="F2639" s="11">
        <v>38266</v>
      </c>
      <c r="H2639" s="12">
        <f>(PrincipalesVariables[[#This Row],[Base monetaria]]-C2638)/C2638</f>
        <v>3.9521682024215819E-3</v>
      </c>
      <c r="I2639" s="12">
        <f>(PrincipalesVariables[[#This Row],[Dólar  mayorista]]-E2638)/E2638</f>
        <v>2.0894010383690799E-3</v>
      </c>
      <c r="J2639" s="12">
        <f>(PrincipalesVariables[[#This Row],[Reservas internacionales]]-F2638)/F2638</f>
        <v>-5.6905287774457582E-3</v>
      </c>
    </row>
    <row r="2640" spans="1:10" ht="15.75" thickBot="1" x14ac:dyDescent="0.3">
      <c r="A2640" s="14">
        <v>44872</v>
      </c>
      <c r="B2640" s="15">
        <v>44872</v>
      </c>
      <c r="C2640" s="16">
        <v>4413457</v>
      </c>
      <c r="D2640" s="10">
        <f>PrincipalesVariables[[#This Row],[Base monetaria]]/1000000</f>
        <v>4.4134570000000002</v>
      </c>
      <c r="E2640" s="10">
        <v>159.33000000000001</v>
      </c>
      <c r="F2640" s="11">
        <v>38014</v>
      </c>
      <c r="H2640" s="12">
        <f>(PrincipalesVariables[[#This Row],[Base monetaria]]-C2639)/C2639</f>
        <v>2.0502743834551852E-2</v>
      </c>
      <c r="I2640" s="12">
        <f>(PrincipalesVariables[[#This Row],[Dólar  mayorista]]-E2639)/E2639</f>
        <v>6.6974158084286486E-3</v>
      </c>
      <c r="J2640" s="12">
        <f>(PrincipalesVariables[[#This Row],[Reservas internacionales]]-F2639)/F2639</f>
        <v>-6.5854805832854229E-3</v>
      </c>
    </row>
    <row r="2641" spans="1:10" ht="15.75" thickBot="1" x14ac:dyDescent="0.3">
      <c r="A2641" s="14">
        <v>44873</v>
      </c>
      <c r="B2641" s="15">
        <v>44873</v>
      </c>
      <c r="C2641" s="16">
        <v>4339970</v>
      </c>
      <c r="D2641" s="10">
        <f>PrincipalesVariables[[#This Row],[Base monetaria]]/1000000</f>
        <v>4.3399700000000001</v>
      </c>
      <c r="E2641" s="10">
        <v>159.71</v>
      </c>
      <c r="F2641" s="11">
        <v>37837</v>
      </c>
      <c r="H2641" s="12">
        <f>(PrincipalesVariables[[#This Row],[Base monetaria]]-C2640)/C2640</f>
        <v>-1.6650666359726628E-2</v>
      </c>
      <c r="I2641" s="12">
        <f>(PrincipalesVariables[[#This Row],[Dólar  mayorista]]-E2640)/E2640</f>
        <v>2.3849871336220135E-3</v>
      </c>
      <c r="J2641" s="12">
        <f>(PrincipalesVariables[[#This Row],[Reservas internacionales]]-F2640)/F2640</f>
        <v>-4.6561793023622879E-3</v>
      </c>
    </row>
    <row r="2642" spans="1:10" ht="15.75" thickBot="1" x14ac:dyDescent="0.3">
      <c r="A2642" s="14">
        <v>44874</v>
      </c>
      <c r="B2642" s="15">
        <v>44874</v>
      </c>
      <c r="C2642" s="16">
        <v>4341793</v>
      </c>
      <c r="D2642" s="10">
        <f>PrincipalesVariables[[#This Row],[Base monetaria]]/1000000</f>
        <v>4.341793</v>
      </c>
      <c r="E2642" s="10">
        <v>160.05000000000001</v>
      </c>
      <c r="F2642" s="11">
        <v>37828</v>
      </c>
      <c r="H2642" s="12">
        <f>(PrincipalesVariables[[#This Row],[Base monetaria]]-C2641)/C2641</f>
        <v>4.2004898651373167E-4</v>
      </c>
      <c r="I2642" s="12">
        <f>(PrincipalesVariables[[#This Row],[Dólar  mayorista]]-E2641)/E2641</f>
        <v>2.1288585561330124E-3</v>
      </c>
      <c r="J2642" s="12">
        <f>(PrincipalesVariables[[#This Row],[Reservas internacionales]]-F2641)/F2641</f>
        <v>-2.3786240981050295E-4</v>
      </c>
    </row>
    <row r="2643" spans="1:10" ht="15.75" thickBot="1" x14ac:dyDescent="0.3">
      <c r="A2643" s="14">
        <v>44875</v>
      </c>
      <c r="B2643" s="15">
        <v>44875</v>
      </c>
      <c r="C2643" s="16">
        <v>4382879</v>
      </c>
      <c r="D2643" s="10">
        <f>PrincipalesVariables[[#This Row],[Base monetaria]]/1000000</f>
        <v>4.382879</v>
      </c>
      <c r="E2643" s="10">
        <v>160.36000000000001</v>
      </c>
      <c r="F2643" s="11">
        <v>37803</v>
      </c>
      <c r="H2643" s="12">
        <f>(PrincipalesVariables[[#This Row],[Base monetaria]]-C2642)/C2642</f>
        <v>9.4629108296963946E-3</v>
      </c>
      <c r="I2643" s="12">
        <f>(PrincipalesVariables[[#This Row],[Dólar  mayorista]]-E2642)/E2642</f>
        <v>1.936894720399889E-3</v>
      </c>
      <c r="J2643" s="12">
        <f>(PrincipalesVariables[[#This Row],[Reservas internacionales]]-F2642)/F2642</f>
        <v>-6.6088611610447289E-4</v>
      </c>
    </row>
    <row r="2644" spans="1:10" ht="15.75" thickBot="1" x14ac:dyDescent="0.3">
      <c r="A2644" s="14">
        <v>44876</v>
      </c>
      <c r="B2644" s="15">
        <v>44876</v>
      </c>
      <c r="C2644" s="16">
        <v>4338392</v>
      </c>
      <c r="D2644" s="10">
        <f>PrincipalesVariables[[#This Row],[Base monetaria]]/1000000</f>
        <v>4.3383919999999998</v>
      </c>
      <c r="E2644" s="10">
        <v>160.71</v>
      </c>
      <c r="F2644" s="11">
        <v>38086</v>
      </c>
      <c r="H2644" s="12">
        <f>(PrincipalesVariables[[#This Row],[Base monetaria]]-C2643)/C2643</f>
        <v>-1.0150177543117207E-2</v>
      </c>
      <c r="I2644" s="12">
        <f>(PrincipalesVariables[[#This Row],[Dólar  mayorista]]-E2643)/E2643</f>
        <v>2.1825891743576594E-3</v>
      </c>
      <c r="J2644" s="12">
        <f>(PrincipalesVariables[[#This Row],[Reservas internacionales]]-F2643)/F2643</f>
        <v>7.4861783456339447E-3</v>
      </c>
    </row>
    <row r="2645" spans="1:10" ht="15.75" thickBot="1" x14ac:dyDescent="0.3">
      <c r="A2645" s="14">
        <v>44879</v>
      </c>
      <c r="B2645" s="15">
        <v>44879</v>
      </c>
      <c r="C2645" s="16">
        <v>4361042</v>
      </c>
      <c r="D2645" s="10">
        <f>PrincipalesVariables[[#This Row],[Base monetaria]]/1000000</f>
        <v>4.3610420000000003</v>
      </c>
      <c r="E2645" s="10">
        <v>161.76</v>
      </c>
      <c r="F2645" s="11">
        <v>38007</v>
      </c>
      <c r="H2645" s="12">
        <f>(PrincipalesVariables[[#This Row],[Base monetaria]]-C2644)/C2644</f>
        <v>5.2208283622134652E-3</v>
      </c>
      <c r="I2645" s="12">
        <f>(PrincipalesVariables[[#This Row],[Dólar  mayorista]]-E2644)/E2644</f>
        <v>6.5335075602014989E-3</v>
      </c>
      <c r="J2645" s="12">
        <f>(PrincipalesVariables[[#This Row],[Reservas internacionales]]-F2644)/F2644</f>
        <v>-2.0742530063540409E-3</v>
      </c>
    </row>
    <row r="2646" spans="1:10" ht="15.75" thickBot="1" x14ac:dyDescent="0.3">
      <c r="A2646" s="14">
        <v>44880</v>
      </c>
      <c r="B2646" s="15">
        <v>44880</v>
      </c>
      <c r="C2646" s="16">
        <v>4397890</v>
      </c>
      <c r="D2646" s="10">
        <f>PrincipalesVariables[[#This Row],[Base monetaria]]/1000000</f>
        <v>4.3978900000000003</v>
      </c>
      <c r="E2646" s="10">
        <v>162.13</v>
      </c>
      <c r="F2646" s="11">
        <v>37867</v>
      </c>
      <c r="H2646" s="12">
        <f>(PrincipalesVariables[[#This Row],[Base monetaria]]-C2645)/C2645</f>
        <v>8.4493568280241283E-3</v>
      </c>
      <c r="I2646" s="12">
        <f>(PrincipalesVariables[[#This Row],[Dólar  mayorista]]-E2645)/E2645</f>
        <v>2.2873392680514623E-3</v>
      </c>
      <c r="J2646" s="12">
        <f>(PrincipalesVariables[[#This Row],[Reservas internacionales]]-F2645)/F2645</f>
        <v>-3.6835319809508773E-3</v>
      </c>
    </row>
    <row r="2647" spans="1:10" ht="15.75" thickBot="1" x14ac:dyDescent="0.3">
      <c r="A2647" s="14">
        <v>44881</v>
      </c>
      <c r="B2647" s="15">
        <v>44881</v>
      </c>
      <c r="C2647" s="16">
        <v>4379574</v>
      </c>
      <c r="D2647" s="10">
        <f>PrincipalesVariables[[#This Row],[Base monetaria]]/1000000</f>
        <v>4.3795739999999999</v>
      </c>
      <c r="E2647" s="10">
        <v>162.46</v>
      </c>
      <c r="F2647" s="11">
        <v>37790</v>
      </c>
      <c r="H2647" s="12">
        <f>(PrincipalesVariables[[#This Row],[Base monetaria]]-C2646)/C2646</f>
        <v>-4.1647244474054606E-3</v>
      </c>
      <c r="I2647" s="12">
        <f>(PrincipalesVariables[[#This Row],[Dólar  mayorista]]-E2646)/E2646</f>
        <v>2.0354036883982762E-3</v>
      </c>
      <c r="J2647" s="12">
        <f>(PrincipalesVariables[[#This Row],[Reservas internacionales]]-F2646)/F2646</f>
        <v>-2.0334328042886946E-3</v>
      </c>
    </row>
    <row r="2648" spans="1:10" ht="15.75" thickBot="1" x14ac:dyDescent="0.3">
      <c r="A2648" s="14">
        <v>44882</v>
      </c>
      <c r="B2648" s="15">
        <v>44882</v>
      </c>
      <c r="C2648" s="16">
        <v>4414724</v>
      </c>
      <c r="D2648" s="10">
        <f>PrincipalesVariables[[#This Row],[Base monetaria]]/1000000</f>
        <v>4.4147239999999996</v>
      </c>
      <c r="E2648" s="10">
        <v>162.80000000000001</v>
      </c>
      <c r="F2648" s="11">
        <v>37617</v>
      </c>
      <c r="H2648" s="12">
        <f>(PrincipalesVariables[[#This Row],[Base monetaria]]-C2647)/C2647</f>
        <v>8.0258947559739835E-3</v>
      </c>
      <c r="I2648" s="12">
        <f>(PrincipalesVariables[[#This Row],[Dólar  mayorista]]-E2647)/E2647</f>
        <v>2.0928228487012398E-3</v>
      </c>
      <c r="J2648" s="12">
        <f>(PrincipalesVariables[[#This Row],[Reservas internacionales]]-F2647)/F2647</f>
        <v>-4.5779306694892826E-3</v>
      </c>
    </row>
    <row r="2649" spans="1:10" ht="15.75" thickBot="1" x14ac:dyDescent="0.3">
      <c r="A2649" s="14">
        <v>44883</v>
      </c>
      <c r="B2649" s="15">
        <v>44883</v>
      </c>
      <c r="C2649" s="16">
        <v>4354483</v>
      </c>
      <c r="D2649" s="10">
        <f>PrincipalesVariables[[#This Row],[Base monetaria]]/1000000</f>
        <v>4.3544830000000001</v>
      </c>
      <c r="E2649" s="10">
        <v>163.15</v>
      </c>
      <c r="F2649" s="11">
        <v>37564</v>
      </c>
      <c r="H2649" s="12">
        <f>(PrincipalesVariables[[#This Row],[Base monetaria]]-C2648)/C2648</f>
        <v>-1.3645473646823674E-2</v>
      </c>
      <c r="I2649" s="12">
        <f>(PrincipalesVariables[[#This Row],[Dólar  mayorista]]-E2648)/E2648</f>
        <v>2.1498771498771148E-3</v>
      </c>
      <c r="J2649" s="12">
        <f>(PrincipalesVariables[[#This Row],[Reservas internacionales]]-F2648)/F2648</f>
        <v>-1.4089374484940319E-3</v>
      </c>
    </row>
    <row r="2650" spans="1:10" ht="15.75" thickBot="1" x14ac:dyDescent="0.3">
      <c r="A2650" s="14">
        <v>44887</v>
      </c>
      <c r="B2650" s="15">
        <v>44887</v>
      </c>
      <c r="C2650" s="16">
        <v>4597931</v>
      </c>
      <c r="D2650" s="10">
        <f>PrincipalesVariables[[#This Row],[Base monetaria]]/1000000</f>
        <v>4.597931</v>
      </c>
      <c r="E2650" s="10">
        <v>164.52</v>
      </c>
      <c r="F2650" s="11">
        <v>37588</v>
      </c>
      <c r="H2650" s="12">
        <f>(PrincipalesVariables[[#This Row],[Base monetaria]]-C2649)/C2649</f>
        <v>5.5907440676654381E-2</v>
      </c>
      <c r="I2650" s="12">
        <f>(PrincipalesVariables[[#This Row],[Dólar  mayorista]]-E2649)/E2649</f>
        <v>8.3971805087343209E-3</v>
      </c>
      <c r="J2650" s="12">
        <f>(PrincipalesVariables[[#This Row],[Reservas internacionales]]-F2649)/F2649</f>
        <v>6.3890959429240761E-4</v>
      </c>
    </row>
    <row r="2651" spans="1:10" ht="15.75" thickBot="1" x14ac:dyDescent="0.3">
      <c r="A2651" s="14">
        <v>44888</v>
      </c>
      <c r="B2651" s="15">
        <v>44888</v>
      </c>
      <c r="C2651" s="16">
        <v>4458330</v>
      </c>
      <c r="D2651" s="10">
        <f>PrincipalesVariables[[#This Row],[Base monetaria]]/1000000</f>
        <v>4.4583300000000001</v>
      </c>
      <c r="E2651" s="10">
        <v>164.85</v>
      </c>
      <c r="F2651" s="11">
        <v>37604</v>
      </c>
      <c r="H2651" s="12">
        <f>(PrincipalesVariables[[#This Row],[Base monetaria]]-C2650)/C2650</f>
        <v>-3.0361699642730611E-2</v>
      </c>
      <c r="I2651" s="12">
        <f>(PrincipalesVariables[[#This Row],[Dólar  mayorista]]-E2650)/E2650</f>
        <v>2.0058351568197426E-3</v>
      </c>
      <c r="J2651" s="12">
        <f>(PrincipalesVariables[[#This Row],[Reservas internacionales]]-F2650)/F2650</f>
        <v>4.2566776630839631E-4</v>
      </c>
    </row>
    <row r="2652" spans="1:10" ht="15.75" thickBot="1" x14ac:dyDescent="0.3">
      <c r="A2652" s="14">
        <v>44889</v>
      </c>
      <c r="B2652" s="15">
        <v>44889</v>
      </c>
      <c r="C2652" s="16">
        <v>4430268</v>
      </c>
      <c r="D2652" s="10">
        <f>PrincipalesVariables[[#This Row],[Base monetaria]]/1000000</f>
        <v>4.4302679999999999</v>
      </c>
      <c r="E2652" s="10">
        <v>165.21</v>
      </c>
      <c r="F2652" s="11">
        <v>37622</v>
      </c>
      <c r="H2652" s="12">
        <f>(PrincipalesVariables[[#This Row],[Base monetaria]]-C2651)/C2651</f>
        <v>-6.2942850798393124E-3</v>
      </c>
      <c r="I2652" s="12">
        <f>(PrincipalesVariables[[#This Row],[Dólar  mayorista]]-E2651)/E2651</f>
        <v>2.1838034576888909E-3</v>
      </c>
      <c r="J2652" s="12">
        <f>(PrincipalesVariables[[#This Row],[Reservas internacionales]]-F2651)/F2651</f>
        <v>4.786724816508882E-4</v>
      </c>
    </row>
    <row r="2653" spans="1:10" ht="15.75" thickBot="1" x14ac:dyDescent="0.3">
      <c r="A2653" s="14">
        <v>44890</v>
      </c>
      <c r="B2653" s="15">
        <v>44890</v>
      </c>
      <c r="C2653" s="16">
        <v>4428452</v>
      </c>
      <c r="D2653" s="10">
        <f>PrincipalesVariables[[#This Row],[Base monetaria]]/1000000</f>
        <v>4.4284520000000001</v>
      </c>
      <c r="E2653" s="10">
        <v>165.59</v>
      </c>
      <c r="F2653" s="11">
        <v>37538</v>
      </c>
      <c r="H2653" s="12">
        <f>(PrincipalesVariables[[#This Row],[Base monetaria]]-C2652)/C2652</f>
        <v>-4.0990748189500046E-4</v>
      </c>
      <c r="I2653" s="12">
        <f>(PrincipalesVariables[[#This Row],[Dólar  mayorista]]-E2652)/E2652</f>
        <v>2.3001028993402061E-3</v>
      </c>
      <c r="J2653" s="12">
        <f>(PrincipalesVariables[[#This Row],[Reservas internacionales]]-F2652)/F2652</f>
        <v>-2.2327361650098347E-3</v>
      </c>
    </row>
    <row r="2654" spans="1:10" ht="15.75" thickBot="1" x14ac:dyDescent="0.3">
      <c r="A2654" s="14">
        <v>44893</v>
      </c>
      <c r="B2654" s="15">
        <v>44893</v>
      </c>
      <c r="C2654" s="16">
        <v>4567312</v>
      </c>
      <c r="D2654" s="10">
        <f>PrincipalesVariables[[#This Row],[Base monetaria]]/1000000</f>
        <v>4.5673120000000003</v>
      </c>
      <c r="E2654" s="10">
        <v>166.63</v>
      </c>
      <c r="F2654" s="11">
        <v>37658</v>
      </c>
      <c r="H2654" s="12">
        <f>(PrincipalesVariables[[#This Row],[Base monetaria]]-C2653)/C2653</f>
        <v>3.1356329480369212E-2</v>
      </c>
      <c r="I2654" s="12">
        <f>(PrincipalesVariables[[#This Row],[Dólar  mayorista]]-E2653)/E2653</f>
        <v>6.2805724983392231E-3</v>
      </c>
      <c r="J2654" s="12">
        <f>(PrincipalesVariables[[#This Row],[Reservas internacionales]]-F2653)/F2653</f>
        <v>3.196760615909212E-3</v>
      </c>
    </row>
    <row r="2655" spans="1:10" ht="15.75" thickBot="1" x14ac:dyDescent="0.3">
      <c r="A2655" s="14">
        <v>44894</v>
      </c>
      <c r="B2655" s="15">
        <v>44894</v>
      </c>
      <c r="C2655" s="16">
        <v>4436473</v>
      </c>
      <c r="D2655" s="10">
        <f>PrincipalesVariables[[#This Row],[Base monetaria]]/1000000</f>
        <v>4.4364730000000003</v>
      </c>
      <c r="E2655" s="10">
        <v>166.96</v>
      </c>
      <c r="F2655" s="11">
        <v>37861</v>
      </c>
      <c r="H2655" s="12">
        <f>(PrincipalesVariables[[#This Row],[Base monetaria]]-C2654)/C2654</f>
        <v>-2.8646827718360385E-2</v>
      </c>
      <c r="I2655" s="12">
        <f>(PrincipalesVariables[[#This Row],[Dólar  mayorista]]-E2654)/E2654</f>
        <v>1.9804356958531629E-3</v>
      </c>
      <c r="J2655" s="12">
        <f>(PrincipalesVariables[[#This Row],[Reservas internacionales]]-F2654)/F2654</f>
        <v>5.3906208508152321E-3</v>
      </c>
    </row>
    <row r="2656" spans="1:10" ht="15.75" thickBot="1" x14ac:dyDescent="0.3">
      <c r="A2656" s="14">
        <v>44895</v>
      </c>
      <c r="B2656" s="15">
        <v>44895</v>
      </c>
      <c r="C2656" s="16">
        <v>4507746</v>
      </c>
      <c r="D2656" s="10">
        <f>PrincipalesVariables[[#This Row],[Base monetaria]]/1000000</f>
        <v>4.507746</v>
      </c>
      <c r="E2656" s="10">
        <v>167.26</v>
      </c>
      <c r="F2656" s="11">
        <v>38009</v>
      </c>
      <c r="H2656" s="12">
        <f>(PrincipalesVariables[[#This Row],[Base monetaria]]-C2655)/C2655</f>
        <v>1.6065239211418621E-2</v>
      </c>
      <c r="I2656" s="12">
        <f>(PrincipalesVariables[[#This Row],[Dólar  mayorista]]-E2655)/E2655</f>
        <v>1.7968375658839418E-3</v>
      </c>
      <c r="J2656" s="12">
        <f>(PrincipalesVariables[[#This Row],[Reservas internacionales]]-F2655)/F2655</f>
        <v>3.9090356831568106E-3</v>
      </c>
    </row>
    <row r="2657" spans="1:10" ht="15.75" thickBot="1" x14ac:dyDescent="0.3">
      <c r="A2657" s="14">
        <v>44896</v>
      </c>
      <c r="B2657" s="15">
        <v>44896</v>
      </c>
      <c r="C2657" s="16">
        <v>4550659</v>
      </c>
      <c r="D2657" s="10">
        <f>PrincipalesVariables[[#This Row],[Base monetaria]]/1000000</f>
        <v>4.5506589999999996</v>
      </c>
      <c r="E2657" s="10">
        <v>167.69</v>
      </c>
      <c r="F2657" s="11">
        <v>38188</v>
      </c>
      <c r="H2657" s="12">
        <f>(PrincipalesVariables[[#This Row],[Base monetaria]]-C2656)/C2656</f>
        <v>9.519835412199357E-3</v>
      </c>
      <c r="I2657" s="12">
        <f>(PrincipalesVariables[[#This Row],[Dólar  mayorista]]-E2656)/E2656</f>
        <v>2.5708477818964896E-3</v>
      </c>
      <c r="J2657" s="12">
        <f>(PrincipalesVariables[[#This Row],[Reservas internacionales]]-F2656)/F2656</f>
        <v>4.7094109289905024E-3</v>
      </c>
    </row>
    <row r="2658" spans="1:10" ht="15.75" thickBot="1" x14ac:dyDescent="0.3">
      <c r="A2658" s="14">
        <v>44897</v>
      </c>
      <c r="B2658" s="15">
        <v>44897</v>
      </c>
      <c r="C2658" s="16">
        <v>4413760</v>
      </c>
      <c r="D2658" s="10">
        <f>PrincipalesVariables[[#This Row],[Base monetaria]]/1000000</f>
        <v>4.4137599999999999</v>
      </c>
      <c r="E2658" s="10">
        <v>168.09</v>
      </c>
      <c r="F2658" s="11">
        <v>38294</v>
      </c>
      <c r="H2658" s="12">
        <f>(PrincipalesVariables[[#This Row],[Base monetaria]]-C2657)/C2657</f>
        <v>-3.0083335182882302E-2</v>
      </c>
      <c r="I2658" s="12">
        <f>(PrincipalesVariables[[#This Row],[Dólar  mayorista]]-E2657)/E2657</f>
        <v>2.385353926888936E-3</v>
      </c>
      <c r="J2658" s="12">
        <f>(PrincipalesVariables[[#This Row],[Reservas internacionales]]-F2657)/F2657</f>
        <v>2.7757410704933485E-3</v>
      </c>
    </row>
    <row r="2659" spans="1:10" ht="15.75" thickBot="1" x14ac:dyDescent="0.3">
      <c r="A2659" s="14">
        <v>44900</v>
      </c>
      <c r="B2659" s="15">
        <v>44900</v>
      </c>
      <c r="C2659" s="16">
        <v>4618287</v>
      </c>
      <c r="D2659" s="10">
        <f>PrincipalesVariables[[#This Row],[Base monetaria]]/1000000</f>
        <v>4.6182869999999996</v>
      </c>
      <c r="E2659" s="10">
        <v>169.14</v>
      </c>
      <c r="F2659" s="11">
        <v>38568</v>
      </c>
      <c r="H2659" s="12">
        <f>(PrincipalesVariables[[#This Row],[Base monetaria]]-C2658)/C2658</f>
        <v>4.6338495976219821E-2</v>
      </c>
      <c r="I2659" s="12">
        <f>(PrincipalesVariables[[#This Row],[Dólar  mayorista]]-E2658)/E2658</f>
        <v>6.2466535784400194E-3</v>
      </c>
      <c r="J2659" s="12">
        <f>(PrincipalesVariables[[#This Row],[Reservas internacionales]]-F2658)/F2658</f>
        <v>7.1551679114221552E-3</v>
      </c>
    </row>
    <row r="2660" spans="1:10" ht="15.75" thickBot="1" x14ac:dyDescent="0.3">
      <c r="A2660" s="14">
        <v>44901</v>
      </c>
      <c r="B2660" s="15">
        <v>44901</v>
      </c>
      <c r="C2660" s="16">
        <v>4599417</v>
      </c>
      <c r="D2660" s="10">
        <f>PrincipalesVariables[[#This Row],[Base monetaria]]/1000000</f>
        <v>4.5994169999999999</v>
      </c>
      <c r="E2660" s="10">
        <v>169.51</v>
      </c>
      <c r="F2660" s="11">
        <v>38702</v>
      </c>
      <c r="H2660" s="12">
        <f>(PrincipalesVariables[[#This Row],[Base monetaria]]-C2659)/C2659</f>
        <v>-4.0859305625657307E-3</v>
      </c>
      <c r="I2660" s="12">
        <f>(PrincipalesVariables[[#This Row],[Dólar  mayorista]]-E2659)/E2659</f>
        <v>2.1875369516377238E-3</v>
      </c>
      <c r="J2660" s="12">
        <f>(PrincipalesVariables[[#This Row],[Reservas internacionales]]-F2659)/F2659</f>
        <v>3.4743829081103506E-3</v>
      </c>
    </row>
    <row r="2661" spans="1:10" ht="15.75" thickBot="1" x14ac:dyDescent="0.3">
      <c r="A2661" s="14">
        <v>44902</v>
      </c>
      <c r="B2661" s="15">
        <v>44902</v>
      </c>
      <c r="C2661" s="16">
        <v>4633118</v>
      </c>
      <c r="D2661" s="10">
        <f>PrincipalesVariables[[#This Row],[Base monetaria]]/1000000</f>
        <v>4.6331179999999996</v>
      </c>
      <c r="E2661" s="10">
        <v>169.87</v>
      </c>
      <c r="F2661" s="11">
        <v>39007</v>
      </c>
      <c r="H2661" s="12">
        <f>(PrincipalesVariables[[#This Row],[Base monetaria]]-C2660)/C2660</f>
        <v>7.3272329949643621E-3</v>
      </c>
      <c r="I2661" s="12">
        <f>(PrincipalesVariables[[#This Row],[Dólar  mayorista]]-E2660)/E2660</f>
        <v>2.1237685092325743E-3</v>
      </c>
      <c r="J2661" s="12">
        <f>(PrincipalesVariables[[#This Row],[Reservas internacionales]]-F2660)/F2660</f>
        <v>7.8807296780528131E-3</v>
      </c>
    </row>
    <row r="2662" spans="1:10" ht="15.75" thickBot="1" x14ac:dyDescent="0.3">
      <c r="A2662" s="14">
        <v>44907</v>
      </c>
      <c r="B2662" s="15">
        <v>44907</v>
      </c>
      <c r="C2662" s="16">
        <v>4844762</v>
      </c>
      <c r="D2662" s="10">
        <f>PrincipalesVariables[[#This Row],[Base monetaria]]/1000000</f>
        <v>4.8447620000000002</v>
      </c>
      <c r="E2662" s="10">
        <v>171.43</v>
      </c>
      <c r="F2662" s="11">
        <v>39594</v>
      </c>
      <c r="H2662" s="12">
        <f>(PrincipalesVariables[[#This Row],[Base monetaria]]-C2661)/C2661</f>
        <v>4.5680684152659183E-2</v>
      </c>
      <c r="I2662" s="12">
        <f>(PrincipalesVariables[[#This Row],[Dólar  mayorista]]-E2661)/E2661</f>
        <v>9.1834932595514351E-3</v>
      </c>
      <c r="J2662" s="12">
        <f>(PrincipalesVariables[[#This Row],[Reservas internacionales]]-F2661)/F2661</f>
        <v>1.5048581023918784E-2</v>
      </c>
    </row>
    <row r="2663" spans="1:10" ht="15.75" thickBot="1" x14ac:dyDescent="0.3">
      <c r="A2663" s="14">
        <v>44908</v>
      </c>
      <c r="B2663" s="15">
        <v>44908</v>
      </c>
      <c r="C2663" s="16">
        <v>4749008</v>
      </c>
      <c r="D2663" s="10">
        <f>PrincipalesVariables[[#This Row],[Base monetaria]]/1000000</f>
        <v>4.7490079999999999</v>
      </c>
      <c r="E2663" s="10">
        <v>171.76</v>
      </c>
      <c r="F2663" s="11">
        <v>39681</v>
      </c>
      <c r="H2663" s="12">
        <f>(PrincipalesVariables[[#This Row],[Base monetaria]]-C2662)/C2662</f>
        <v>-1.9764438376952263E-2</v>
      </c>
      <c r="I2663" s="12">
        <f>(PrincipalesVariables[[#This Row],[Dólar  mayorista]]-E2662)/E2662</f>
        <v>1.9249839584669199E-3</v>
      </c>
      <c r="J2663" s="12">
        <f>(PrincipalesVariables[[#This Row],[Reservas internacionales]]-F2662)/F2662</f>
        <v>2.1973026216093347E-3</v>
      </c>
    </row>
    <row r="2664" spans="1:10" ht="15.75" thickBot="1" x14ac:dyDescent="0.3">
      <c r="A2664" s="14">
        <v>44909</v>
      </c>
      <c r="B2664" s="15">
        <v>44909</v>
      </c>
      <c r="C2664" s="16">
        <v>4687477</v>
      </c>
      <c r="D2664" s="10">
        <f>PrincipalesVariables[[#This Row],[Base monetaria]]/1000000</f>
        <v>4.6874770000000003</v>
      </c>
      <c r="E2664" s="10">
        <v>172.1</v>
      </c>
      <c r="F2664" s="11">
        <v>39694</v>
      </c>
      <c r="H2664" s="12">
        <f>(PrincipalesVariables[[#This Row],[Base monetaria]]-C2663)/C2663</f>
        <v>-1.2956600620592763E-2</v>
      </c>
      <c r="I2664" s="12">
        <f>(PrincipalesVariables[[#This Row],[Dólar  mayorista]]-E2663)/E2663</f>
        <v>1.9795062878435227E-3</v>
      </c>
      <c r="J2664" s="12">
        <f>(PrincipalesVariables[[#This Row],[Reservas internacionales]]-F2663)/F2663</f>
        <v>3.2761271137320131E-4</v>
      </c>
    </row>
    <row r="2665" spans="1:10" ht="15.75" thickBot="1" x14ac:dyDescent="0.3">
      <c r="A2665" s="14">
        <v>44910</v>
      </c>
      <c r="B2665" s="15">
        <v>44910</v>
      </c>
      <c r="C2665" s="16">
        <v>4862243</v>
      </c>
      <c r="D2665" s="10">
        <f>PrincipalesVariables[[#This Row],[Base monetaria]]/1000000</f>
        <v>4.8622430000000003</v>
      </c>
      <c r="E2665" s="10">
        <v>172.43</v>
      </c>
      <c r="F2665" s="11">
        <v>39637</v>
      </c>
      <c r="H2665" s="12">
        <f>(PrincipalesVariables[[#This Row],[Base monetaria]]-C2664)/C2664</f>
        <v>3.728359627151237E-2</v>
      </c>
      <c r="I2665" s="12">
        <f>(PrincipalesVariables[[#This Row],[Dólar  mayorista]]-E2664)/E2664</f>
        <v>1.9174898314933905E-3</v>
      </c>
      <c r="J2665" s="12">
        <f>(PrincipalesVariables[[#This Row],[Reservas internacionales]]-F2664)/F2664</f>
        <v>-1.4359852874489848E-3</v>
      </c>
    </row>
    <row r="2666" spans="1:10" ht="15.75" thickBot="1" x14ac:dyDescent="0.3">
      <c r="A2666" s="14">
        <v>44911</v>
      </c>
      <c r="B2666" s="15">
        <v>44911</v>
      </c>
      <c r="C2666" s="16">
        <v>4781975</v>
      </c>
      <c r="D2666" s="10">
        <f>PrincipalesVariables[[#This Row],[Base monetaria]]/1000000</f>
        <v>4.7819750000000001</v>
      </c>
      <c r="E2666" s="10">
        <v>172.73</v>
      </c>
      <c r="F2666" s="11">
        <v>39794</v>
      </c>
      <c r="H2666" s="12">
        <f>(PrincipalesVariables[[#This Row],[Base monetaria]]-C2665)/C2665</f>
        <v>-1.6508430368453408E-2</v>
      </c>
      <c r="I2666" s="12">
        <f>(PrincipalesVariables[[#This Row],[Dólar  mayorista]]-E2665)/E2665</f>
        <v>1.739836455373096E-3</v>
      </c>
      <c r="J2666" s="12">
        <f>(PrincipalesVariables[[#This Row],[Reservas internacionales]]-F2665)/F2665</f>
        <v>3.9609455811489263E-3</v>
      </c>
    </row>
    <row r="2667" spans="1:10" ht="15.75" thickBot="1" x14ac:dyDescent="0.3">
      <c r="A2667" s="14">
        <v>44914</v>
      </c>
      <c r="B2667" s="15">
        <v>44914</v>
      </c>
      <c r="C2667" s="16">
        <v>4858464</v>
      </c>
      <c r="D2667" s="10">
        <f>PrincipalesVariables[[#This Row],[Base monetaria]]/1000000</f>
        <v>4.8584639999999997</v>
      </c>
      <c r="E2667" s="10">
        <v>173.65</v>
      </c>
      <c r="F2667" s="11">
        <v>39797</v>
      </c>
      <c r="H2667" s="12">
        <f>(PrincipalesVariables[[#This Row],[Base monetaria]]-C2666)/C2666</f>
        <v>1.5995273919248845E-2</v>
      </c>
      <c r="I2667" s="12">
        <f>(PrincipalesVariables[[#This Row],[Dólar  mayorista]]-E2666)/E2666</f>
        <v>5.3262316910786542E-3</v>
      </c>
      <c r="J2667" s="12">
        <f>(PrincipalesVariables[[#This Row],[Reservas internacionales]]-F2666)/F2666</f>
        <v>7.5388249484846956E-5</v>
      </c>
    </row>
    <row r="2668" spans="1:10" ht="15.75" thickBot="1" x14ac:dyDescent="0.3">
      <c r="A2668" s="14">
        <v>44915</v>
      </c>
      <c r="B2668" s="15">
        <v>44915</v>
      </c>
      <c r="C2668" s="16">
        <v>4996483</v>
      </c>
      <c r="D2668" s="10">
        <f>PrincipalesVariables[[#This Row],[Base monetaria]]/1000000</f>
        <v>4.9964829999999996</v>
      </c>
      <c r="E2668" s="10">
        <v>173.93</v>
      </c>
      <c r="F2668" s="11">
        <v>39898</v>
      </c>
      <c r="H2668" s="12">
        <f>(PrincipalesVariables[[#This Row],[Base monetaria]]-C2667)/C2667</f>
        <v>2.8407949508321973E-2</v>
      </c>
      <c r="I2668" s="12">
        <f>(PrincipalesVariables[[#This Row],[Dólar  mayorista]]-E2667)/E2667</f>
        <v>1.6124388137057364E-3</v>
      </c>
      <c r="J2668" s="12">
        <f>(PrincipalesVariables[[#This Row],[Reservas internacionales]]-F2667)/F2667</f>
        <v>2.5378797396788701E-3</v>
      </c>
    </row>
    <row r="2669" spans="1:10" ht="15.75" thickBot="1" x14ac:dyDescent="0.3">
      <c r="A2669" s="14">
        <v>44916</v>
      </c>
      <c r="B2669" s="15">
        <v>44916</v>
      </c>
      <c r="C2669" s="16">
        <v>4783516</v>
      </c>
      <c r="D2669" s="10">
        <f>PrincipalesVariables[[#This Row],[Base monetaria]]/1000000</f>
        <v>4.7835159999999997</v>
      </c>
      <c r="E2669" s="10">
        <v>174.25</v>
      </c>
      <c r="F2669" s="11">
        <v>39057</v>
      </c>
      <c r="H2669" s="12">
        <f>(PrincipalesVariables[[#This Row],[Base monetaria]]-C2668)/C2668</f>
        <v>-4.2623381286396853E-2</v>
      </c>
      <c r="I2669" s="12">
        <f>(PrincipalesVariables[[#This Row],[Dólar  mayorista]]-E2668)/E2668</f>
        <v>1.8398206174897555E-3</v>
      </c>
      <c r="J2669" s="12">
        <f>(PrincipalesVariables[[#This Row],[Reservas internacionales]]-F2668)/F2668</f>
        <v>-2.1078750814577173E-2</v>
      </c>
    </row>
    <row r="2670" spans="1:10" ht="15.75" thickBot="1" x14ac:dyDescent="0.3">
      <c r="A2670" s="14">
        <v>44917</v>
      </c>
      <c r="B2670" s="15">
        <v>44917</v>
      </c>
      <c r="C2670" s="16">
        <v>4852661</v>
      </c>
      <c r="D2670" s="10">
        <f>PrincipalesVariables[[#This Row],[Base monetaria]]/1000000</f>
        <v>4.8526610000000003</v>
      </c>
      <c r="E2670" s="10">
        <v>174.59</v>
      </c>
      <c r="F2670" s="11">
        <v>43267</v>
      </c>
      <c r="H2670" s="12">
        <f>(PrincipalesVariables[[#This Row],[Base monetaria]]-C2669)/C2669</f>
        <v>1.4454848692886154E-2</v>
      </c>
      <c r="I2670" s="12">
        <f>(PrincipalesVariables[[#This Row],[Dólar  mayorista]]-E2669)/E2669</f>
        <v>1.9512195121951415E-3</v>
      </c>
      <c r="J2670" s="12">
        <f>(PrincipalesVariables[[#This Row],[Reservas internacionales]]-F2669)/F2669</f>
        <v>0.10779117699772128</v>
      </c>
    </row>
    <row r="2671" spans="1:10" ht="15.75" thickBot="1" x14ac:dyDescent="0.3">
      <c r="A2671" s="14">
        <v>44918</v>
      </c>
      <c r="B2671" s="15">
        <v>44918</v>
      </c>
      <c r="C2671" s="16">
        <v>4839335</v>
      </c>
      <c r="D2671" s="10">
        <f>PrincipalesVariables[[#This Row],[Base monetaria]]/1000000</f>
        <v>4.8393350000000002</v>
      </c>
      <c r="E2671" s="10">
        <v>174.85</v>
      </c>
      <c r="F2671" s="11">
        <v>43470</v>
      </c>
      <c r="H2671" s="12">
        <f>(PrincipalesVariables[[#This Row],[Base monetaria]]-C2670)/C2670</f>
        <v>-2.7461221791507794E-3</v>
      </c>
      <c r="I2671" s="12">
        <f>(PrincipalesVariables[[#This Row],[Dólar  mayorista]]-E2670)/E2670</f>
        <v>1.4892032762471557E-3</v>
      </c>
      <c r="J2671" s="12">
        <f>(PrincipalesVariables[[#This Row],[Reservas internacionales]]-F2670)/F2670</f>
        <v>4.6917974437793233E-3</v>
      </c>
    </row>
    <row r="2672" spans="1:10" ht="15.75" thickBot="1" x14ac:dyDescent="0.3">
      <c r="A2672" s="14">
        <v>44921</v>
      </c>
      <c r="B2672" s="15">
        <v>44921</v>
      </c>
      <c r="C2672" s="16">
        <v>4934407</v>
      </c>
      <c r="D2672" s="10">
        <f>PrincipalesVariables[[#This Row],[Base monetaria]]/1000000</f>
        <v>4.9344070000000002</v>
      </c>
      <c r="E2672" s="10">
        <v>175.75</v>
      </c>
      <c r="F2672" s="11">
        <v>43545</v>
      </c>
      <c r="H2672" s="12">
        <f>(PrincipalesVariables[[#This Row],[Base monetaria]]-C2671)/C2671</f>
        <v>1.9645674457337631E-2</v>
      </c>
      <c r="I2672" s="12">
        <f>(PrincipalesVariables[[#This Row],[Dólar  mayorista]]-E2671)/E2671</f>
        <v>5.1472690877895667E-3</v>
      </c>
      <c r="J2672" s="12">
        <f>(PrincipalesVariables[[#This Row],[Reservas internacionales]]-F2671)/F2671</f>
        <v>1.725327812284334E-3</v>
      </c>
    </row>
    <row r="2673" spans="1:10" ht="15.75" thickBot="1" x14ac:dyDescent="0.3">
      <c r="A2673" s="14">
        <v>44922</v>
      </c>
      <c r="B2673" s="15">
        <v>44922</v>
      </c>
      <c r="C2673" s="16">
        <v>5003876</v>
      </c>
      <c r="D2673" s="10">
        <f>PrincipalesVariables[[#This Row],[Base monetaria]]/1000000</f>
        <v>5.003876</v>
      </c>
      <c r="E2673" s="10">
        <v>176.07</v>
      </c>
      <c r="F2673" s="11">
        <v>43655</v>
      </c>
      <c r="H2673" s="12">
        <f>(PrincipalesVariables[[#This Row],[Base monetaria]]-C2672)/C2672</f>
        <v>1.4078490079963002E-2</v>
      </c>
      <c r="I2673" s="12">
        <f>(PrincipalesVariables[[#This Row],[Dólar  mayorista]]-E2672)/E2672</f>
        <v>1.8207681365575714E-3</v>
      </c>
      <c r="J2673" s="12">
        <f>(PrincipalesVariables[[#This Row],[Reservas internacionales]]-F2672)/F2672</f>
        <v>2.5261224021127567E-3</v>
      </c>
    </row>
    <row r="2674" spans="1:10" ht="15.75" thickBot="1" x14ac:dyDescent="0.3">
      <c r="A2674" s="14">
        <v>44923</v>
      </c>
      <c r="B2674" s="15">
        <v>44923</v>
      </c>
      <c r="C2674" s="16">
        <v>5050523</v>
      </c>
      <c r="D2674" s="10">
        <f>PrincipalesVariables[[#This Row],[Base monetaria]]/1000000</f>
        <v>5.0505230000000001</v>
      </c>
      <c r="E2674" s="10">
        <v>176.38</v>
      </c>
      <c r="F2674" s="11">
        <v>43802</v>
      </c>
      <c r="H2674" s="12">
        <f>(PrincipalesVariables[[#This Row],[Base monetaria]]-C2673)/C2673</f>
        <v>9.3221734511406765E-3</v>
      </c>
      <c r="I2674" s="12">
        <f>(PrincipalesVariables[[#This Row],[Dólar  mayorista]]-E2673)/E2673</f>
        <v>1.7606633725223053E-3</v>
      </c>
      <c r="J2674" s="12">
        <f>(PrincipalesVariables[[#This Row],[Reservas internacionales]]-F2673)/F2673</f>
        <v>3.3673118772191042E-3</v>
      </c>
    </row>
    <row r="2675" spans="1:10" ht="15.75" thickBot="1" x14ac:dyDescent="0.3">
      <c r="A2675" s="14">
        <v>44924</v>
      </c>
      <c r="B2675" s="15">
        <v>44924</v>
      </c>
      <c r="C2675" s="16">
        <v>5169708</v>
      </c>
      <c r="D2675" s="10">
        <f>PrincipalesVariables[[#This Row],[Base monetaria]]/1000000</f>
        <v>5.169708</v>
      </c>
      <c r="E2675" s="10">
        <v>176.74</v>
      </c>
      <c r="F2675" s="11">
        <v>44170</v>
      </c>
      <c r="H2675" s="12">
        <f>(PrincipalesVariables[[#This Row],[Base monetaria]]-C2674)/C2674</f>
        <v>2.3598546130767051E-2</v>
      </c>
      <c r="I2675" s="12">
        <f>(PrincipalesVariables[[#This Row],[Dólar  mayorista]]-E2674)/E2674</f>
        <v>2.0410477378388346E-3</v>
      </c>
      <c r="J2675" s="12">
        <f>(PrincipalesVariables[[#This Row],[Reservas internacionales]]-F2674)/F2674</f>
        <v>8.4014428564905715E-3</v>
      </c>
    </row>
    <row r="2676" spans="1:10" ht="15.75" thickBot="1" x14ac:dyDescent="0.3">
      <c r="A2676" s="14">
        <v>44925</v>
      </c>
      <c r="B2676" s="15">
        <v>44925</v>
      </c>
      <c r="C2676" s="16">
        <v>5203752</v>
      </c>
      <c r="D2676" s="10">
        <f>PrincipalesVariables[[#This Row],[Base monetaria]]/1000000</f>
        <v>5.2037519999999997</v>
      </c>
      <c r="E2676" s="10">
        <v>177.13</v>
      </c>
      <c r="F2676" s="11">
        <v>44598</v>
      </c>
      <c r="H2676" s="12">
        <f>(PrincipalesVariables[[#This Row],[Base monetaria]]-C2675)/C2675</f>
        <v>6.5852848942338713E-3</v>
      </c>
      <c r="I2676" s="12">
        <f>(PrincipalesVariables[[#This Row],[Dólar  mayorista]]-E2675)/E2675</f>
        <v>2.206631209686468E-3</v>
      </c>
      <c r="J2676" s="12">
        <f>(PrincipalesVariables[[#This Row],[Reservas internacionales]]-F2675)/F2675</f>
        <v>9.6898347294543802E-3</v>
      </c>
    </row>
    <row r="2677" spans="1:10" ht="15.75" thickBot="1" x14ac:dyDescent="0.3">
      <c r="A2677" s="14">
        <v>44928</v>
      </c>
      <c r="B2677" s="15">
        <v>44928</v>
      </c>
      <c r="C2677" s="16">
        <v>5200397</v>
      </c>
      <c r="D2677" s="10">
        <f>PrincipalesVariables[[#This Row],[Base monetaria]]/1000000</f>
        <v>5.2003969999999997</v>
      </c>
      <c r="E2677" s="10">
        <v>178.14</v>
      </c>
      <c r="F2677" s="11">
        <v>44608</v>
      </c>
      <c r="H2677" s="12">
        <f>(PrincipalesVariables[[#This Row],[Base monetaria]]-C2676)/C2676</f>
        <v>-6.4472711228359843E-4</v>
      </c>
      <c r="I2677" s="12">
        <f>(PrincipalesVariables[[#This Row],[Dólar  mayorista]]-E2676)/E2676</f>
        <v>5.7020267600067231E-3</v>
      </c>
      <c r="J2677" s="12">
        <f>(PrincipalesVariables[[#This Row],[Reservas internacionales]]-F2676)/F2676</f>
        <v>2.2422530158303062E-4</v>
      </c>
    </row>
    <row r="2678" spans="1:10" ht="15.75" thickBot="1" x14ac:dyDescent="0.3">
      <c r="A2678" s="14">
        <v>44929</v>
      </c>
      <c r="B2678" s="15">
        <v>44929</v>
      </c>
      <c r="C2678" s="16">
        <v>5219463</v>
      </c>
      <c r="D2678" s="10">
        <f>PrincipalesVariables[[#This Row],[Base monetaria]]/1000000</f>
        <v>5.2194630000000002</v>
      </c>
      <c r="E2678" s="10">
        <v>178.43</v>
      </c>
      <c r="F2678" s="11">
        <v>44613</v>
      </c>
      <c r="H2678" s="12">
        <f>(PrincipalesVariables[[#This Row],[Base monetaria]]-C2677)/C2677</f>
        <v>3.6662585567986444E-3</v>
      </c>
      <c r="I2678" s="12">
        <f>(PrincipalesVariables[[#This Row],[Dólar  mayorista]]-E2677)/E2677</f>
        <v>1.6279330863367041E-3</v>
      </c>
      <c r="J2678" s="12">
        <f>(PrincipalesVariables[[#This Row],[Reservas internacionales]]-F2677)/F2677</f>
        <v>1.1208751793400287E-4</v>
      </c>
    </row>
    <row r="2679" spans="1:10" ht="15.75" thickBot="1" x14ac:dyDescent="0.3">
      <c r="A2679" s="14">
        <v>44930</v>
      </c>
      <c r="B2679" s="15">
        <v>44930</v>
      </c>
      <c r="C2679" s="16">
        <v>5247080</v>
      </c>
      <c r="D2679" s="10">
        <f>PrincipalesVariables[[#This Row],[Base monetaria]]/1000000</f>
        <v>5.2470800000000004</v>
      </c>
      <c r="E2679" s="10">
        <v>178.65</v>
      </c>
      <c r="F2679" s="11">
        <v>44694</v>
      </c>
      <c r="H2679" s="12">
        <f>(PrincipalesVariables[[#This Row],[Base monetaria]]-C2678)/C2678</f>
        <v>5.2911573470297612E-3</v>
      </c>
      <c r="I2679" s="12">
        <f>(PrincipalesVariables[[#This Row],[Dólar  mayorista]]-E2678)/E2678</f>
        <v>1.2329765174017757E-3</v>
      </c>
      <c r="J2679" s="12">
        <f>(PrincipalesVariables[[#This Row],[Reservas internacionales]]-F2678)/F2678</f>
        <v>1.8156142828323583E-3</v>
      </c>
    </row>
    <row r="2680" spans="1:10" ht="15.75" thickBot="1" x14ac:dyDescent="0.3">
      <c r="A2680" s="14">
        <v>44931</v>
      </c>
      <c r="B2680" s="15">
        <v>44931</v>
      </c>
      <c r="C2680" s="16">
        <v>5234491</v>
      </c>
      <c r="D2680" s="10">
        <f>PrincipalesVariables[[#This Row],[Base monetaria]]/1000000</f>
        <v>5.2344910000000002</v>
      </c>
      <c r="E2680" s="10">
        <v>178.94</v>
      </c>
      <c r="F2680" s="11">
        <v>44838</v>
      </c>
      <c r="H2680" s="12">
        <f>(PrincipalesVariables[[#This Row],[Base monetaria]]-C2679)/C2679</f>
        <v>-2.3992391958956218E-3</v>
      </c>
      <c r="I2680" s="12">
        <f>(PrincipalesVariables[[#This Row],[Dólar  mayorista]]-E2679)/E2679</f>
        <v>1.6232857542680774E-3</v>
      </c>
      <c r="J2680" s="12">
        <f>(PrincipalesVariables[[#This Row],[Reservas internacionales]]-F2679)/F2679</f>
        <v>3.2219089810712849E-3</v>
      </c>
    </row>
    <row r="2681" spans="1:10" ht="15.75" thickBot="1" x14ac:dyDescent="0.3">
      <c r="A2681" s="14">
        <v>44932</v>
      </c>
      <c r="B2681" s="15">
        <v>44932</v>
      </c>
      <c r="C2681" s="16">
        <v>5228618</v>
      </c>
      <c r="D2681" s="10">
        <f>PrincipalesVariables[[#This Row],[Base monetaria]]/1000000</f>
        <v>5.228618</v>
      </c>
      <c r="E2681" s="10">
        <v>179.24</v>
      </c>
      <c r="F2681" s="11">
        <v>44432</v>
      </c>
      <c r="H2681" s="12">
        <f>(PrincipalesVariables[[#This Row],[Base monetaria]]-C2680)/C2680</f>
        <v>-1.1219811057082724E-3</v>
      </c>
      <c r="I2681" s="12">
        <f>(PrincipalesVariables[[#This Row],[Dólar  mayorista]]-E2680)/E2680</f>
        <v>1.6765396222198021E-3</v>
      </c>
      <c r="J2681" s="12">
        <f>(PrincipalesVariables[[#This Row],[Reservas internacionales]]-F2680)/F2680</f>
        <v>-9.0548195726838834E-3</v>
      </c>
    </row>
    <row r="2682" spans="1:10" ht="15.75" thickBot="1" x14ac:dyDescent="0.3">
      <c r="A2682" s="14">
        <v>44935</v>
      </c>
      <c r="B2682" s="15">
        <v>44935</v>
      </c>
      <c r="C2682" s="16">
        <v>5366804</v>
      </c>
      <c r="D2682" s="10">
        <f>PrincipalesVariables[[#This Row],[Base monetaria]]/1000000</f>
        <v>5.3668040000000001</v>
      </c>
      <c r="E2682" s="10">
        <v>180.14</v>
      </c>
      <c r="F2682" s="11">
        <v>43371</v>
      </c>
      <c r="H2682" s="12">
        <f>(PrincipalesVariables[[#This Row],[Base monetaria]]-C2681)/C2681</f>
        <v>2.6428780989546378E-2</v>
      </c>
      <c r="I2682" s="12">
        <f>(PrincipalesVariables[[#This Row],[Dólar  mayorista]]-E2681)/E2681</f>
        <v>5.0212006248603952E-3</v>
      </c>
      <c r="J2682" s="12">
        <f>(PrincipalesVariables[[#This Row],[Reservas internacionales]]-F2681)/F2681</f>
        <v>-2.3879186172128197E-2</v>
      </c>
    </row>
    <row r="2683" spans="1:10" ht="15.75" thickBot="1" x14ac:dyDescent="0.3">
      <c r="A2683" s="14">
        <v>44936</v>
      </c>
      <c r="B2683" s="15">
        <v>44936</v>
      </c>
      <c r="C2683" s="16">
        <v>5303877</v>
      </c>
      <c r="D2683" s="10">
        <f>PrincipalesVariables[[#This Row],[Base monetaria]]/1000000</f>
        <v>5.303877</v>
      </c>
      <c r="E2683" s="10">
        <v>180.4</v>
      </c>
      <c r="F2683" s="11">
        <v>43395</v>
      </c>
      <c r="H2683" s="12">
        <f>(PrincipalesVariables[[#This Row],[Base monetaria]]-C2682)/C2682</f>
        <v>-1.1725227901000298E-2</v>
      </c>
      <c r="I2683" s="12">
        <f>(PrincipalesVariables[[#This Row],[Dólar  mayorista]]-E2682)/E2682</f>
        <v>1.4433218607750602E-3</v>
      </c>
      <c r="J2683" s="12">
        <f>(PrincipalesVariables[[#This Row],[Reservas internacionales]]-F2682)/F2682</f>
        <v>5.5336515182956357E-4</v>
      </c>
    </row>
    <row r="2684" spans="1:10" ht="15.75" thickBot="1" x14ac:dyDescent="0.3">
      <c r="A2684" s="14">
        <v>44937</v>
      </c>
      <c r="B2684" s="15">
        <v>44937</v>
      </c>
      <c r="C2684" s="16">
        <v>5348817</v>
      </c>
      <c r="D2684" s="10">
        <f>PrincipalesVariables[[#This Row],[Base monetaria]]/1000000</f>
        <v>5.3488170000000004</v>
      </c>
      <c r="E2684" s="10">
        <v>180.69</v>
      </c>
      <c r="F2684" s="11">
        <v>43406</v>
      </c>
      <c r="H2684" s="12">
        <f>(PrincipalesVariables[[#This Row],[Base monetaria]]-C2683)/C2683</f>
        <v>8.4730471690802785E-3</v>
      </c>
      <c r="I2684" s="12">
        <f>(PrincipalesVariables[[#This Row],[Dólar  mayorista]]-E2683)/E2683</f>
        <v>1.6075388026607098E-3</v>
      </c>
      <c r="J2684" s="12">
        <f>(PrincipalesVariables[[#This Row],[Reservas internacionales]]-F2683)/F2683</f>
        <v>2.5348542458808617E-4</v>
      </c>
    </row>
    <row r="2685" spans="1:10" ht="15.75" thickBot="1" x14ac:dyDescent="0.3">
      <c r="A2685" s="14">
        <v>44938</v>
      </c>
      <c r="B2685" s="15">
        <v>44938</v>
      </c>
      <c r="C2685" s="16">
        <v>5293072</v>
      </c>
      <c r="D2685" s="10">
        <f>PrincipalesVariables[[#This Row],[Base monetaria]]/1000000</f>
        <v>5.2930720000000004</v>
      </c>
      <c r="E2685" s="10">
        <v>180.97</v>
      </c>
      <c r="F2685" s="11">
        <v>43534</v>
      </c>
      <c r="H2685" s="12">
        <f>(PrincipalesVariables[[#This Row],[Base monetaria]]-C2684)/C2684</f>
        <v>-1.0421930681120704E-2</v>
      </c>
      <c r="I2685" s="12">
        <f>(PrincipalesVariables[[#This Row],[Dólar  mayorista]]-E2684)/E2684</f>
        <v>1.5496153633294655E-3</v>
      </c>
      <c r="J2685" s="12">
        <f>(PrincipalesVariables[[#This Row],[Reservas internacionales]]-F2684)/F2684</f>
        <v>2.9489010735842969E-3</v>
      </c>
    </row>
    <row r="2686" spans="1:10" ht="15.75" thickBot="1" x14ac:dyDescent="0.3">
      <c r="A2686" s="14">
        <v>44939</v>
      </c>
      <c r="B2686" s="15">
        <v>44939</v>
      </c>
      <c r="C2686" s="16">
        <v>5319258</v>
      </c>
      <c r="D2686" s="10">
        <f>PrincipalesVariables[[#This Row],[Base monetaria]]/1000000</f>
        <v>5.3192579999999996</v>
      </c>
      <c r="E2686" s="10">
        <v>181.28</v>
      </c>
      <c r="F2686" s="11">
        <v>43115</v>
      </c>
      <c r="H2686" s="12">
        <f>(PrincipalesVariables[[#This Row],[Base monetaria]]-C2685)/C2685</f>
        <v>4.947221575674769E-3</v>
      </c>
      <c r="I2686" s="12">
        <f>(PrincipalesVariables[[#This Row],[Dólar  mayorista]]-E2685)/E2685</f>
        <v>1.71299110349783E-3</v>
      </c>
      <c r="J2686" s="12">
        <f>(PrincipalesVariables[[#This Row],[Reservas internacionales]]-F2685)/F2685</f>
        <v>-9.6246611843616488E-3</v>
      </c>
    </row>
    <row r="2687" spans="1:10" ht="15.75" thickBot="1" x14ac:dyDescent="0.3">
      <c r="A2687" s="14">
        <v>44942</v>
      </c>
      <c r="B2687" s="15">
        <v>44942</v>
      </c>
      <c r="C2687" s="16">
        <v>5376426</v>
      </c>
      <c r="D2687" s="10">
        <f>PrincipalesVariables[[#This Row],[Base monetaria]]/1000000</f>
        <v>5.3764260000000004</v>
      </c>
      <c r="E2687" s="10">
        <v>182.16</v>
      </c>
      <c r="F2687" s="11">
        <v>42987</v>
      </c>
      <c r="H2687" s="12">
        <f>(PrincipalesVariables[[#This Row],[Base monetaria]]-C2686)/C2686</f>
        <v>1.0747363636056006E-2</v>
      </c>
      <c r="I2687" s="12">
        <f>(PrincipalesVariables[[#This Row],[Dólar  mayorista]]-E2686)/E2686</f>
        <v>4.8543689320388102E-3</v>
      </c>
      <c r="J2687" s="12">
        <f>(PrincipalesVariables[[#This Row],[Reservas internacionales]]-F2686)/F2686</f>
        <v>-2.9688043604314046E-3</v>
      </c>
    </row>
    <row r="2688" spans="1:10" ht="15.75" thickBot="1" x14ac:dyDescent="0.3">
      <c r="A2688" s="14">
        <v>44943</v>
      </c>
      <c r="B2688" s="15">
        <v>44943</v>
      </c>
      <c r="C2688" s="16">
        <v>5331754</v>
      </c>
      <c r="D2688" s="10">
        <f>PrincipalesVariables[[#This Row],[Base monetaria]]/1000000</f>
        <v>5.3317540000000001</v>
      </c>
      <c r="E2688" s="10">
        <v>182.49</v>
      </c>
      <c r="F2688" s="11">
        <v>42890</v>
      </c>
      <c r="H2688" s="12">
        <f>(PrincipalesVariables[[#This Row],[Base monetaria]]-C2687)/C2687</f>
        <v>-8.3088654061266726E-3</v>
      </c>
      <c r="I2688" s="12">
        <f>(PrincipalesVariables[[#This Row],[Dólar  mayorista]]-E2687)/E2687</f>
        <v>1.8115942028986195E-3</v>
      </c>
      <c r="J2688" s="12">
        <f>(PrincipalesVariables[[#This Row],[Reservas internacionales]]-F2687)/F2687</f>
        <v>-2.2564961499988369E-3</v>
      </c>
    </row>
    <row r="2689" spans="1:10" ht="15.75" thickBot="1" x14ac:dyDescent="0.3">
      <c r="A2689" s="14">
        <v>44944</v>
      </c>
      <c r="B2689" s="15">
        <v>44944</v>
      </c>
      <c r="C2689" s="16">
        <v>5294243</v>
      </c>
      <c r="D2689" s="10">
        <f>PrincipalesVariables[[#This Row],[Base monetaria]]/1000000</f>
        <v>5.2942429999999998</v>
      </c>
      <c r="E2689" s="10">
        <v>182.8</v>
      </c>
      <c r="F2689" s="11">
        <v>42845</v>
      </c>
      <c r="H2689" s="12">
        <f>(PrincipalesVariables[[#This Row],[Base monetaria]]-C2688)/C2688</f>
        <v>-7.0353958565980354E-3</v>
      </c>
      <c r="I2689" s="12">
        <f>(PrincipalesVariables[[#This Row],[Dólar  mayorista]]-E2688)/E2688</f>
        <v>1.6987232177105719E-3</v>
      </c>
      <c r="J2689" s="12">
        <f>(PrincipalesVariables[[#This Row],[Reservas internacionales]]-F2688)/F2688</f>
        <v>-1.049195616693868E-3</v>
      </c>
    </row>
    <row r="2690" spans="1:10" ht="15.75" thickBot="1" x14ac:dyDescent="0.3">
      <c r="A2690" s="14">
        <v>44945</v>
      </c>
      <c r="B2690" s="15">
        <v>44945</v>
      </c>
      <c r="C2690" s="16">
        <v>5302441</v>
      </c>
      <c r="D2690" s="10">
        <f>PrincipalesVariables[[#This Row],[Base monetaria]]/1000000</f>
        <v>5.302441</v>
      </c>
      <c r="E2690" s="10">
        <v>183.13</v>
      </c>
      <c r="F2690" s="11">
        <v>42816</v>
      </c>
      <c r="H2690" s="12">
        <f>(PrincipalesVariables[[#This Row],[Base monetaria]]-C2689)/C2689</f>
        <v>1.5484744466772681E-3</v>
      </c>
      <c r="I2690" s="12">
        <f>(PrincipalesVariables[[#This Row],[Dólar  mayorista]]-E2689)/E2689</f>
        <v>1.8052516411377684E-3</v>
      </c>
      <c r="J2690" s="12">
        <f>(PrincipalesVariables[[#This Row],[Reservas internacionales]]-F2689)/F2689</f>
        <v>-6.768584432255806E-4</v>
      </c>
    </row>
    <row r="2691" spans="1:10" ht="15.75" thickBot="1" x14ac:dyDescent="0.3">
      <c r="A2691" s="14">
        <v>44946</v>
      </c>
      <c r="B2691" s="15">
        <v>44946</v>
      </c>
      <c r="C2691" s="16">
        <v>5310855</v>
      </c>
      <c r="D2691" s="10">
        <f>PrincipalesVariables[[#This Row],[Base monetaria]]/1000000</f>
        <v>5.3108550000000001</v>
      </c>
      <c r="E2691" s="10">
        <v>183.44</v>
      </c>
      <c r="F2691" s="11">
        <v>42710</v>
      </c>
      <c r="H2691" s="12">
        <f>(PrincipalesVariables[[#This Row],[Base monetaria]]-C2690)/C2690</f>
        <v>1.5868163360987892E-3</v>
      </c>
      <c r="I2691" s="12">
        <f>(PrincipalesVariables[[#This Row],[Dólar  mayorista]]-E2690)/E2690</f>
        <v>1.6927865450772799E-3</v>
      </c>
      <c r="J2691" s="12">
        <f>(PrincipalesVariables[[#This Row],[Reservas internacionales]]-F2690)/F2690</f>
        <v>-2.4757100149476832E-3</v>
      </c>
    </row>
    <row r="2692" spans="1:10" ht="15.75" thickBot="1" x14ac:dyDescent="0.3">
      <c r="A2692" s="14">
        <v>44949</v>
      </c>
      <c r="B2692" s="15">
        <v>44949</v>
      </c>
      <c r="C2692" s="16">
        <v>5364495</v>
      </c>
      <c r="D2692" s="10">
        <f>PrincipalesVariables[[#This Row],[Base monetaria]]/1000000</f>
        <v>5.3644949999999998</v>
      </c>
      <c r="E2692" s="10">
        <v>184.37</v>
      </c>
      <c r="F2692" s="11">
        <v>42659</v>
      </c>
      <c r="H2692" s="12">
        <f>(PrincipalesVariables[[#This Row],[Base monetaria]]-C2691)/C2691</f>
        <v>1.0100068633016717E-2</v>
      </c>
      <c r="I2692" s="12">
        <f>(PrincipalesVariables[[#This Row],[Dólar  mayorista]]-E2691)/E2691</f>
        <v>5.0697775839511931E-3</v>
      </c>
      <c r="J2692" s="12">
        <f>(PrincipalesVariables[[#This Row],[Reservas internacionales]]-F2691)/F2691</f>
        <v>-1.1940997424490752E-3</v>
      </c>
    </row>
    <row r="2693" spans="1:10" ht="15.75" thickBot="1" x14ac:dyDescent="0.3">
      <c r="A2693" s="14">
        <v>44950</v>
      </c>
      <c r="B2693" s="15">
        <v>44950</v>
      </c>
      <c r="C2693" s="16">
        <v>5314385</v>
      </c>
      <c r="D2693" s="10">
        <f>PrincipalesVariables[[#This Row],[Base monetaria]]/1000000</f>
        <v>5.3143849999999997</v>
      </c>
      <c r="E2693" s="10">
        <v>184.69</v>
      </c>
      <c r="F2693" s="11">
        <v>42649</v>
      </c>
      <c r="H2693" s="12">
        <f>(PrincipalesVariables[[#This Row],[Base monetaria]]-C2692)/C2692</f>
        <v>-9.3410470137450033E-3</v>
      </c>
      <c r="I2693" s="12">
        <f>(PrincipalesVariables[[#This Row],[Dólar  mayorista]]-E2692)/E2692</f>
        <v>1.7356402885501609E-3</v>
      </c>
      <c r="J2693" s="12">
        <f>(PrincipalesVariables[[#This Row],[Reservas internacionales]]-F2692)/F2692</f>
        <v>-2.3441712182657821E-4</v>
      </c>
    </row>
    <row r="2694" spans="1:10" ht="15.75" thickBot="1" x14ac:dyDescent="0.3">
      <c r="A2694" s="14">
        <v>44951</v>
      </c>
      <c r="B2694" s="15">
        <v>44951</v>
      </c>
      <c r="C2694" s="16">
        <v>5245233</v>
      </c>
      <c r="D2694" s="10">
        <f>PrincipalesVariables[[#This Row],[Base monetaria]]/1000000</f>
        <v>5.2452329999999998</v>
      </c>
      <c r="E2694" s="10">
        <v>185.01</v>
      </c>
      <c r="F2694" s="11">
        <v>42481</v>
      </c>
      <c r="H2694" s="12">
        <f>(PrincipalesVariables[[#This Row],[Base monetaria]]-C2693)/C2693</f>
        <v>-1.3012230013444641E-2</v>
      </c>
      <c r="I2694" s="12">
        <f>(PrincipalesVariables[[#This Row],[Dólar  mayorista]]-E2693)/E2693</f>
        <v>1.7326330608045547E-3</v>
      </c>
      <c r="J2694" s="12">
        <f>(PrincipalesVariables[[#This Row],[Reservas internacionales]]-F2693)/F2693</f>
        <v>-3.9391310464489205E-3</v>
      </c>
    </row>
    <row r="2695" spans="1:10" ht="15.75" thickBot="1" x14ac:dyDescent="0.3">
      <c r="A2695" s="14">
        <v>44952</v>
      </c>
      <c r="B2695" s="15">
        <v>44952</v>
      </c>
      <c r="C2695" s="16">
        <v>5256841</v>
      </c>
      <c r="D2695" s="10">
        <f>PrincipalesVariables[[#This Row],[Base monetaria]]/1000000</f>
        <v>5.2568409999999997</v>
      </c>
      <c r="E2695" s="10">
        <v>185.32</v>
      </c>
      <c r="F2695" s="11">
        <v>42274</v>
      </c>
      <c r="H2695" s="12">
        <f>(PrincipalesVariables[[#This Row],[Base monetaria]]-C2694)/C2694</f>
        <v>2.2130570748716025E-3</v>
      </c>
      <c r="I2695" s="12">
        <f>(PrincipalesVariables[[#This Row],[Dólar  mayorista]]-E2694)/E2694</f>
        <v>1.6755851035079308E-3</v>
      </c>
      <c r="J2695" s="12">
        <f>(PrincipalesVariables[[#This Row],[Reservas internacionales]]-F2694)/F2694</f>
        <v>-4.8727666486193828E-3</v>
      </c>
    </row>
    <row r="2696" spans="1:10" ht="15.75" thickBot="1" x14ac:dyDescent="0.3">
      <c r="A2696" s="14">
        <v>44953</v>
      </c>
      <c r="B2696" s="15">
        <v>44953</v>
      </c>
      <c r="C2696" s="16">
        <v>5334347</v>
      </c>
      <c r="D2696" s="10">
        <f>PrincipalesVariables[[#This Row],[Base monetaria]]/1000000</f>
        <v>5.3343470000000002</v>
      </c>
      <c r="E2696" s="10">
        <v>185.63</v>
      </c>
      <c r="F2696" s="11">
        <v>42265</v>
      </c>
      <c r="H2696" s="12">
        <f>(PrincipalesVariables[[#This Row],[Base monetaria]]-C2695)/C2695</f>
        <v>1.474383569904435E-2</v>
      </c>
      <c r="I2696" s="12">
        <f>(PrincipalesVariables[[#This Row],[Dólar  mayorista]]-E2695)/E2695</f>
        <v>1.6727822145478216E-3</v>
      </c>
      <c r="J2696" s="12">
        <f>(PrincipalesVariables[[#This Row],[Reservas internacionales]]-F2695)/F2695</f>
        <v>-2.1289681600984055E-4</v>
      </c>
    </row>
    <row r="2697" spans="1:10" ht="15.75" thickBot="1" x14ac:dyDescent="0.3">
      <c r="A2697" s="14">
        <v>44956</v>
      </c>
      <c r="B2697" s="15">
        <v>44956</v>
      </c>
      <c r="C2697" s="16">
        <v>5230196</v>
      </c>
      <c r="D2697" s="10">
        <f>PrincipalesVariables[[#This Row],[Base monetaria]]/1000000</f>
        <v>5.2301960000000003</v>
      </c>
      <c r="E2697" s="10">
        <v>186.58</v>
      </c>
      <c r="F2697" s="11">
        <v>41518</v>
      </c>
      <c r="H2697" s="12">
        <f>(PrincipalesVariables[[#This Row],[Base monetaria]]-C2696)/C2696</f>
        <v>-1.9524601605407373E-2</v>
      </c>
      <c r="I2697" s="12">
        <f>(PrincipalesVariables[[#This Row],[Dólar  mayorista]]-E2696)/E2696</f>
        <v>5.1177072671444116E-3</v>
      </c>
      <c r="J2697" s="12">
        <f>(PrincipalesVariables[[#This Row],[Reservas internacionales]]-F2696)/F2696</f>
        <v>-1.7674198509404944E-2</v>
      </c>
    </row>
    <row r="2698" spans="1:10" ht="15.75" thickBot="1" x14ac:dyDescent="0.3">
      <c r="A2698" s="14">
        <v>44957</v>
      </c>
      <c r="B2698" s="15">
        <v>44957</v>
      </c>
      <c r="C2698" s="16">
        <v>5316722</v>
      </c>
      <c r="D2698" s="10">
        <f>PrincipalesVariables[[#This Row],[Base monetaria]]/1000000</f>
        <v>5.3167220000000004</v>
      </c>
      <c r="E2698" s="10">
        <v>186.88</v>
      </c>
      <c r="F2698" s="11">
        <v>41417</v>
      </c>
      <c r="H2698" s="12">
        <f>(PrincipalesVariables[[#This Row],[Base monetaria]]-C2697)/C2697</f>
        <v>1.6543548272378319E-2</v>
      </c>
      <c r="I2698" s="12">
        <f>(PrincipalesVariables[[#This Row],[Dólar  mayorista]]-E2697)/E2697</f>
        <v>1.6078893772107565E-3</v>
      </c>
      <c r="J2698" s="12">
        <f>(PrincipalesVariables[[#This Row],[Reservas internacionales]]-F2697)/F2697</f>
        <v>-2.4326798015318657E-3</v>
      </c>
    </row>
    <row r="2699" spans="1:10" ht="15.75" thickBot="1" x14ac:dyDescent="0.3">
      <c r="A2699" s="14">
        <v>44958</v>
      </c>
      <c r="B2699" s="15">
        <v>44958</v>
      </c>
      <c r="C2699" s="16">
        <v>5363106</v>
      </c>
      <c r="D2699" s="10">
        <f>PrincipalesVariables[[#This Row],[Base monetaria]]/1000000</f>
        <v>5.3631060000000002</v>
      </c>
      <c r="E2699" s="10">
        <v>187.31</v>
      </c>
      <c r="F2699" s="11">
        <v>41379</v>
      </c>
      <c r="H2699" s="12">
        <f>(PrincipalesVariables[[#This Row],[Base monetaria]]-C2698)/C2698</f>
        <v>8.7241725258533354E-3</v>
      </c>
      <c r="I2699" s="12">
        <f>(PrincipalesVariables[[#This Row],[Dólar  mayorista]]-E2698)/E2698</f>
        <v>2.3009417808219543E-3</v>
      </c>
      <c r="J2699" s="12">
        <f>(PrincipalesVariables[[#This Row],[Reservas internacionales]]-F2698)/F2698</f>
        <v>-9.1749764589419802E-4</v>
      </c>
    </row>
    <row r="2700" spans="1:10" ht="15.75" thickBot="1" x14ac:dyDescent="0.3">
      <c r="A2700" s="14">
        <v>44959</v>
      </c>
      <c r="B2700" s="15">
        <v>44959</v>
      </c>
      <c r="C2700" s="16">
        <v>5180252</v>
      </c>
      <c r="D2700" s="10">
        <f>PrincipalesVariables[[#This Row],[Base monetaria]]/1000000</f>
        <v>5.1802520000000003</v>
      </c>
      <c r="E2700" s="10">
        <v>187.61</v>
      </c>
      <c r="F2700" s="11">
        <v>41314</v>
      </c>
      <c r="H2700" s="12">
        <f>(PrincipalesVariables[[#This Row],[Base monetaria]]-C2699)/C2699</f>
        <v>-3.4094795068380153E-2</v>
      </c>
      <c r="I2700" s="12">
        <f>(PrincipalesVariables[[#This Row],[Dólar  mayorista]]-E2699)/E2699</f>
        <v>1.6016229779510511E-3</v>
      </c>
      <c r="J2700" s="12">
        <f>(PrincipalesVariables[[#This Row],[Reservas internacionales]]-F2699)/F2699</f>
        <v>-1.5708451146716933E-3</v>
      </c>
    </row>
    <row r="2701" spans="1:10" ht="15.75" thickBot="1" x14ac:dyDescent="0.3">
      <c r="A2701" s="14">
        <v>44960</v>
      </c>
      <c r="B2701" s="15">
        <v>44960</v>
      </c>
      <c r="C2701" s="16">
        <v>5232136</v>
      </c>
      <c r="D2701" s="10">
        <f>PrincipalesVariables[[#This Row],[Base monetaria]]/1000000</f>
        <v>5.2321359999999997</v>
      </c>
      <c r="E2701" s="10">
        <v>187.95</v>
      </c>
      <c r="F2701" s="11">
        <v>41022</v>
      </c>
      <c r="H2701" s="12">
        <f>(PrincipalesVariables[[#This Row],[Base monetaria]]-C2700)/C2700</f>
        <v>1.001572896453686E-2</v>
      </c>
      <c r="I2701" s="12">
        <f>(PrincipalesVariables[[#This Row],[Dólar  mayorista]]-E2700)/E2700</f>
        <v>1.8122701348540853E-3</v>
      </c>
      <c r="J2701" s="12">
        <f>(PrincipalesVariables[[#This Row],[Reservas internacionales]]-F2700)/F2700</f>
        <v>-7.0678220457956143E-3</v>
      </c>
    </row>
    <row r="2702" spans="1:10" ht="15.75" thickBot="1" x14ac:dyDescent="0.3">
      <c r="A2702" s="14">
        <v>44963</v>
      </c>
      <c r="B2702" s="15">
        <v>44963</v>
      </c>
      <c r="C2702" s="16">
        <v>5224187</v>
      </c>
      <c r="D2702" s="10">
        <f>PrincipalesVariables[[#This Row],[Base monetaria]]/1000000</f>
        <v>5.2241869999999997</v>
      </c>
      <c r="E2702" s="10">
        <v>189.1</v>
      </c>
      <c r="F2702" s="11">
        <v>40288</v>
      </c>
      <c r="H2702" s="12">
        <f>(PrincipalesVariables[[#This Row],[Base monetaria]]-C2701)/C2701</f>
        <v>-1.5192647897531715E-3</v>
      </c>
      <c r="I2702" s="12">
        <f>(PrincipalesVariables[[#This Row],[Dólar  mayorista]]-E2701)/E2701</f>
        <v>6.1186485767491658E-3</v>
      </c>
      <c r="J2702" s="12">
        <f>(PrincipalesVariables[[#This Row],[Reservas internacionales]]-F2701)/F2701</f>
        <v>-1.7892837989371555E-2</v>
      </c>
    </row>
    <row r="2703" spans="1:10" ht="15.75" thickBot="1" x14ac:dyDescent="0.3">
      <c r="A2703" s="14">
        <v>44964</v>
      </c>
      <c r="B2703" s="15">
        <v>44964</v>
      </c>
      <c r="C2703" s="16">
        <v>5232434</v>
      </c>
      <c r="D2703" s="10">
        <f>PrincipalesVariables[[#This Row],[Base monetaria]]/1000000</f>
        <v>5.2324339999999996</v>
      </c>
      <c r="E2703" s="10">
        <v>189.46</v>
      </c>
      <c r="F2703" s="11">
        <v>40287</v>
      </c>
      <c r="H2703" s="12">
        <f>(PrincipalesVariables[[#This Row],[Base monetaria]]-C2702)/C2702</f>
        <v>1.5786188358111988E-3</v>
      </c>
      <c r="I2703" s="12">
        <f>(PrincipalesVariables[[#This Row],[Dólar  mayorista]]-E2702)/E2702</f>
        <v>1.9037546271814577E-3</v>
      </c>
      <c r="J2703" s="12">
        <f>(PrincipalesVariables[[#This Row],[Reservas internacionales]]-F2702)/F2702</f>
        <v>-2.4821286735504367E-5</v>
      </c>
    </row>
    <row r="2704" spans="1:10" ht="15.75" thickBot="1" x14ac:dyDescent="0.3">
      <c r="A2704" s="14">
        <v>44965</v>
      </c>
      <c r="B2704" s="15">
        <v>44965</v>
      </c>
      <c r="C2704" s="16">
        <v>5201636</v>
      </c>
      <c r="D2704" s="10">
        <f>PrincipalesVariables[[#This Row],[Base monetaria]]/1000000</f>
        <v>5.2016359999999997</v>
      </c>
      <c r="E2704" s="10">
        <v>189.86</v>
      </c>
      <c r="F2704" s="11">
        <v>40169</v>
      </c>
      <c r="H2704" s="12">
        <f>(PrincipalesVariables[[#This Row],[Base monetaria]]-C2703)/C2703</f>
        <v>-5.8859796415970085E-3</v>
      </c>
      <c r="I2704" s="12">
        <f>(PrincipalesVariables[[#This Row],[Dólar  mayorista]]-E2703)/E2703</f>
        <v>2.1112635912593986E-3</v>
      </c>
      <c r="J2704" s="12">
        <f>(PrincipalesVariables[[#This Row],[Reservas internacionales]]-F2703)/F2703</f>
        <v>-2.9289845359545263E-3</v>
      </c>
    </row>
    <row r="2705" spans="1:10" ht="15.75" thickBot="1" x14ac:dyDescent="0.3">
      <c r="A2705" s="14">
        <v>44966</v>
      </c>
      <c r="B2705" s="15">
        <v>44966</v>
      </c>
      <c r="C2705" s="16">
        <v>5237613</v>
      </c>
      <c r="D2705" s="10">
        <f>PrincipalesVariables[[#This Row],[Base monetaria]]/1000000</f>
        <v>5.2376129999999996</v>
      </c>
      <c r="E2705" s="10">
        <v>190.2</v>
      </c>
      <c r="F2705" s="11">
        <v>40076</v>
      </c>
      <c r="H2705" s="12">
        <f>(PrincipalesVariables[[#This Row],[Base monetaria]]-C2704)/C2704</f>
        <v>6.9164778158256361E-3</v>
      </c>
      <c r="I2705" s="12">
        <f>(PrincipalesVariables[[#This Row],[Dólar  mayorista]]-E2704)/E2704</f>
        <v>1.7907932160538026E-3</v>
      </c>
      <c r="J2705" s="12">
        <f>(PrincipalesVariables[[#This Row],[Reservas internacionales]]-F2704)/F2704</f>
        <v>-2.3152182030919365E-3</v>
      </c>
    </row>
    <row r="2706" spans="1:10" ht="15.75" thickBot="1" x14ac:dyDescent="0.3">
      <c r="A2706" s="14">
        <v>44967</v>
      </c>
      <c r="B2706" s="15">
        <v>44967</v>
      </c>
      <c r="C2706" s="16">
        <v>5247218</v>
      </c>
      <c r="D2706" s="10">
        <f>PrincipalesVariables[[#This Row],[Base monetaria]]/1000000</f>
        <v>5.2472180000000002</v>
      </c>
      <c r="E2706" s="10">
        <v>190.53</v>
      </c>
      <c r="F2706" s="11">
        <v>40012</v>
      </c>
      <c r="H2706" s="12">
        <f>(PrincipalesVariables[[#This Row],[Base monetaria]]-C2705)/C2705</f>
        <v>1.833850649141126E-3</v>
      </c>
      <c r="I2706" s="12">
        <f>(PrincipalesVariables[[#This Row],[Dólar  mayorista]]-E2705)/E2705</f>
        <v>1.7350157728707283E-3</v>
      </c>
      <c r="J2706" s="12">
        <f>(PrincipalesVariables[[#This Row],[Reservas internacionales]]-F2705)/F2705</f>
        <v>-1.5969657650464117E-3</v>
      </c>
    </row>
    <row r="2707" spans="1:10" ht="15.75" thickBot="1" x14ac:dyDescent="0.3">
      <c r="A2707" s="14">
        <v>44970</v>
      </c>
      <c r="B2707" s="15">
        <v>44970</v>
      </c>
      <c r="C2707" s="16">
        <v>5207984</v>
      </c>
      <c r="D2707" s="10">
        <f>PrincipalesVariables[[#This Row],[Base monetaria]]/1000000</f>
        <v>5.2079839999999997</v>
      </c>
      <c r="E2707" s="10">
        <v>191.64</v>
      </c>
      <c r="F2707" s="11">
        <v>40008</v>
      </c>
      <c r="H2707" s="12">
        <f>(PrincipalesVariables[[#This Row],[Base monetaria]]-C2706)/C2706</f>
        <v>-7.4771050106932852E-3</v>
      </c>
      <c r="I2707" s="12">
        <f>(PrincipalesVariables[[#This Row],[Dólar  mayorista]]-E2706)/E2706</f>
        <v>5.8258541961894988E-3</v>
      </c>
      <c r="J2707" s="12">
        <f>(PrincipalesVariables[[#This Row],[Reservas internacionales]]-F2706)/F2706</f>
        <v>-9.9970008997300809E-5</v>
      </c>
    </row>
    <row r="2708" spans="1:10" ht="15.75" thickBot="1" x14ac:dyDescent="0.3">
      <c r="A2708" s="14">
        <v>44971</v>
      </c>
      <c r="B2708" s="15">
        <v>44971</v>
      </c>
      <c r="C2708" s="16">
        <v>5205435</v>
      </c>
      <c r="D2708" s="10">
        <f>PrincipalesVariables[[#This Row],[Base monetaria]]/1000000</f>
        <v>5.2054349999999996</v>
      </c>
      <c r="E2708" s="10">
        <v>192.02</v>
      </c>
      <c r="F2708" s="11">
        <v>40009</v>
      </c>
      <c r="H2708" s="12">
        <f>(PrincipalesVariables[[#This Row],[Base monetaria]]-C2707)/C2707</f>
        <v>-4.8944082777520055E-4</v>
      </c>
      <c r="I2708" s="12">
        <f>(PrincipalesVariables[[#This Row],[Dólar  mayorista]]-E2707)/E2707</f>
        <v>1.9828845752453764E-3</v>
      </c>
      <c r="J2708" s="12">
        <f>(PrincipalesVariables[[#This Row],[Reservas internacionales]]-F2707)/F2707</f>
        <v>2.4995000999800039E-5</v>
      </c>
    </row>
    <row r="2709" spans="1:10" ht="15.75" thickBot="1" x14ac:dyDescent="0.3">
      <c r="A2709" s="14">
        <v>44972</v>
      </c>
      <c r="B2709" s="15">
        <v>44972</v>
      </c>
      <c r="C2709" s="16">
        <v>5265604</v>
      </c>
      <c r="D2709" s="10">
        <f>PrincipalesVariables[[#This Row],[Base monetaria]]/1000000</f>
        <v>5.2656039999999997</v>
      </c>
      <c r="E2709" s="10">
        <v>192.38</v>
      </c>
      <c r="F2709" s="11">
        <v>39561</v>
      </c>
      <c r="H2709" s="12">
        <f>(PrincipalesVariables[[#This Row],[Base monetaria]]-C2708)/C2708</f>
        <v>1.1558880285701387E-2</v>
      </c>
      <c r="I2709" s="12">
        <f>(PrincipalesVariables[[#This Row],[Dólar  mayorista]]-E2708)/E2708</f>
        <v>1.874804707842856E-3</v>
      </c>
      <c r="J2709" s="12">
        <f>(PrincipalesVariables[[#This Row],[Reservas internacionales]]-F2708)/F2708</f>
        <v>-1.1197480566872454E-2</v>
      </c>
    </row>
    <row r="2710" spans="1:10" ht="15.75" thickBot="1" x14ac:dyDescent="0.3">
      <c r="A2710" s="14">
        <v>44973</v>
      </c>
      <c r="B2710" s="15">
        <v>44973</v>
      </c>
      <c r="C2710" s="16">
        <v>5320892</v>
      </c>
      <c r="D2710" s="10">
        <f>PrincipalesVariables[[#This Row],[Base monetaria]]/1000000</f>
        <v>5.3208919999999997</v>
      </c>
      <c r="E2710" s="10">
        <v>192.78</v>
      </c>
      <c r="F2710" s="11">
        <v>39514</v>
      </c>
      <c r="H2710" s="12">
        <f>(PrincipalesVariables[[#This Row],[Base monetaria]]-C2709)/C2709</f>
        <v>1.0499840094317765E-2</v>
      </c>
      <c r="I2710" s="12">
        <f>(PrincipalesVariables[[#This Row],[Dólar  mayorista]]-E2709)/E2709</f>
        <v>2.0792182139515837E-3</v>
      </c>
      <c r="J2710" s="12">
        <f>(PrincipalesVariables[[#This Row],[Reservas internacionales]]-F2709)/F2709</f>
        <v>-1.1880387250069514E-3</v>
      </c>
    </row>
    <row r="2711" spans="1:10" ht="15.75" thickBot="1" x14ac:dyDescent="0.3">
      <c r="A2711" s="14">
        <v>44974</v>
      </c>
      <c r="B2711" s="15">
        <v>44974</v>
      </c>
      <c r="C2711" s="16">
        <v>5297653</v>
      </c>
      <c r="D2711" s="10">
        <f>PrincipalesVariables[[#This Row],[Base monetaria]]/1000000</f>
        <v>5.2976530000000004</v>
      </c>
      <c r="E2711" s="10">
        <v>193.19</v>
      </c>
      <c r="F2711" s="11">
        <v>39335</v>
      </c>
      <c r="H2711" s="12">
        <f>(PrincipalesVariables[[#This Row],[Base monetaria]]-C2710)/C2710</f>
        <v>-4.3675007874619523E-3</v>
      </c>
      <c r="I2711" s="12">
        <f>(PrincipalesVariables[[#This Row],[Dólar  mayorista]]-E2710)/E2710</f>
        <v>2.1267766365805404E-3</v>
      </c>
      <c r="J2711" s="12">
        <f>(PrincipalesVariables[[#This Row],[Reservas internacionales]]-F2710)/F2710</f>
        <v>-4.5300399858278079E-3</v>
      </c>
    </row>
    <row r="2712" spans="1:10" ht="15.75" thickBot="1" x14ac:dyDescent="0.3">
      <c r="A2712" s="14">
        <v>44979</v>
      </c>
      <c r="B2712" s="15">
        <v>44979</v>
      </c>
      <c r="C2712" s="16">
        <v>5275992</v>
      </c>
      <c r="D2712" s="10">
        <f>PrincipalesVariables[[#This Row],[Base monetaria]]/1000000</f>
        <v>5.2759919999999996</v>
      </c>
      <c r="E2712" s="10">
        <v>194.98</v>
      </c>
      <c r="F2712" s="11">
        <v>39261</v>
      </c>
      <c r="H2712" s="12">
        <f>(PrincipalesVariables[[#This Row],[Base monetaria]]-C2711)/C2711</f>
        <v>-4.088791772507561E-3</v>
      </c>
      <c r="I2712" s="12">
        <f>(PrincipalesVariables[[#This Row],[Dólar  mayorista]]-E2711)/E2711</f>
        <v>9.2654899321910657E-3</v>
      </c>
      <c r="J2712" s="12">
        <f>(PrincipalesVariables[[#This Row],[Reservas internacionales]]-F2711)/F2711</f>
        <v>-1.8812762171094444E-3</v>
      </c>
    </row>
    <row r="2713" spans="1:10" ht="15.75" thickBot="1" x14ac:dyDescent="0.3">
      <c r="A2713" s="14">
        <v>44980</v>
      </c>
      <c r="B2713" s="15">
        <v>44980</v>
      </c>
      <c r="C2713" s="16">
        <v>5253090</v>
      </c>
      <c r="D2713" s="10">
        <f>PrincipalesVariables[[#This Row],[Base monetaria]]/1000000</f>
        <v>5.2530900000000003</v>
      </c>
      <c r="E2713" s="10">
        <v>195.35</v>
      </c>
      <c r="F2713" s="11">
        <v>39183</v>
      </c>
      <c r="H2713" s="12">
        <f>(PrincipalesVariables[[#This Row],[Base monetaria]]-C2712)/C2712</f>
        <v>-4.3407950580668054E-3</v>
      </c>
      <c r="I2713" s="12">
        <f>(PrincipalesVariables[[#This Row],[Dólar  mayorista]]-E2712)/E2712</f>
        <v>1.8976305262078396E-3</v>
      </c>
      <c r="J2713" s="12">
        <f>(PrincipalesVariables[[#This Row],[Reservas internacionales]]-F2712)/F2712</f>
        <v>-1.986704363108428E-3</v>
      </c>
    </row>
    <row r="2714" spans="1:10" ht="15.75" thickBot="1" x14ac:dyDescent="0.3">
      <c r="A2714" s="14">
        <v>44981</v>
      </c>
      <c r="B2714" s="15">
        <v>44981</v>
      </c>
      <c r="C2714" s="16">
        <v>5180430</v>
      </c>
      <c r="D2714" s="10">
        <f>PrincipalesVariables[[#This Row],[Base monetaria]]/1000000</f>
        <v>5.1804300000000003</v>
      </c>
      <c r="E2714" s="10">
        <v>195.74</v>
      </c>
      <c r="F2714" s="11">
        <v>39006</v>
      </c>
      <c r="H2714" s="12">
        <f>(PrincipalesVariables[[#This Row],[Base monetaria]]-C2713)/C2713</f>
        <v>-1.3831858963010342E-2</v>
      </c>
      <c r="I2714" s="12">
        <f>(PrincipalesVariables[[#This Row],[Dólar  mayorista]]-E2713)/E2713</f>
        <v>1.9964166879959805E-3</v>
      </c>
      <c r="J2714" s="12">
        <f>(PrincipalesVariables[[#This Row],[Reservas internacionales]]-F2713)/F2713</f>
        <v>-4.5172651404946024E-3</v>
      </c>
    </row>
    <row r="2715" spans="1:10" ht="15.75" thickBot="1" x14ac:dyDescent="0.3">
      <c r="A2715" s="14">
        <v>44984</v>
      </c>
      <c r="B2715" s="15">
        <v>44984</v>
      </c>
      <c r="C2715" s="16">
        <v>5126074</v>
      </c>
      <c r="D2715" s="10">
        <f>PrincipalesVariables[[#This Row],[Base monetaria]]/1000000</f>
        <v>5.126074</v>
      </c>
      <c r="E2715" s="10">
        <v>196.81</v>
      </c>
      <c r="F2715" s="11">
        <v>39045</v>
      </c>
      <c r="H2715" s="12">
        <f>(PrincipalesVariables[[#This Row],[Base monetaria]]-C2714)/C2714</f>
        <v>-1.0492565288981803E-2</v>
      </c>
      <c r="I2715" s="12">
        <f>(PrincipalesVariables[[#This Row],[Dólar  mayorista]]-E2714)/E2714</f>
        <v>5.4664350669254786E-3</v>
      </c>
      <c r="J2715" s="12">
        <f>(PrincipalesVariables[[#This Row],[Reservas internacionales]]-F2714)/F2714</f>
        <v>9.9984617751115203E-4</v>
      </c>
    </row>
    <row r="2716" spans="1:10" ht="15.75" thickBot="1" x14ac:dyDescent="0.3">
      <c r="A2716" s="14">
        <v>44985</v>
      </c>
      <c r="B2716" s="15">
        <v>44985</v>
      </c>
      <c r="C2716" s="16">
        <v>5219956</v>
      </c>
      <c r="D2716" s="10">
        <f>PrincipalesVariables[[#This Row],[Base monetaria]]/1000000</f>
        <v>5.2199559999999998</v>
      </c>
      <c r="E2716" s="10">
        <v>197.15</v>
      </c>
      <c r="F2716" s="11">
        <v>38709</v>
      </c>
      <c r="H2716" s="12">
        <f>(PrincipalesVariables[[#This Row],[Base monetaria]]-C2715)/C2715</f>
        <v>1.8314600998737045E-2</v>
      </c>
      <c r="I2716" s="12">
        <f>(PrincipalesVariables[[#This Row],[Dólar  mayorista]]-E2715)/E2715</f>
        <v>1.7275544941822234E-3</v>
      </c>
      <c r="J2716" s="12">
        <f>(PrincipalesVariables[[#This Row],[Reservas internacionales]]-F2715)/F2715</f>
        <v>-8.6054552439492893E-3</v>
      </c>
    </row>
    <row r="2717" spans="1:10" ht="15.75" thickBot="1" x14ac:dyDescent="0.3">
      <c r="A2717" s="14">
        <v>44986</v>
      </c>
      <c r="B2717" s="15">
        <v>44986</v>
      </c>
      <c r="C2717" s="16">
        <v>5167327</v>
      </c>
      <c r="D2717" s="10">
        <f>PrincipalesVariables[[#This Row],[Base monetaria]]/1000000</f>
        <v>5.1673270000000002</v>
      </c>
      <c r="E2717" s="10">
        <v>197.56</v>
      </c>
      <c r="F2717" s="11">
        <v>38722</v>
      </c>
      <c r="H2717" s="12">
        <f>(PrincipalesVariables[[#This Row],[Base monetaria]]-C2716)/C2716</f>
        <v>-1.0082268892687984E-2</v>
      </c>
      <c r="I2717" s="12">
        <f>(PrincipalesVariables[[#This Row],[Dólar  mayorista]]-E2716)/E2716</f>
        <v>2.0796347958407131E-3</v>
      </c>
      <c r="J2717" s="12">
        <f>(PrincipalesVariables[[#This Row],[Reservas internacionales]]-F2716)/F2716</f>
        <v>3.3583921051951745E-4</v>
      </c>
    </row>
    <row r="2718" spans="1:10" ht="15.75" thickBot="1" x14ac:dyDescent="0.3">
      <c r="A2718" s="14">
        <v>44987</v>
      </c>
      <c r="B2718" s="15">
        <v>44987</v>
      </c>
      <c r="C2718" s="16">
        <v>5151063</v>
      </c>
      <c r="D2718" s="10">
        <f>PrincipalesVariables[[#This Row],[Base monetaria]]/1000000</f>
        <v>5.1510629999999997</v>
      </c>
      <c r="E2718" s="10">
        <v>197.89</v>
      </c>
      <c r="F2718" s="11">
        <v>38584</v>
      </c>
      <c r="H2718" s="12">
        <f>(PrincipalesVariables[[#This Row],[Base monetaria]]-C2717)/C2717</f>
        <v>-3.1474687009357062E-3</v>
      </c>
      <c r="I2718" s="12">
        <f>(PrincipalesVariables[[#This Row],[Dólar  mayorista]]-E2717)/E2717</f>
        <v>1.6703786191535942E-3</v>
      </c>
      <c r="J2718" s="12">
        <f>(PrincipalesVariables[[#This Row],[Reservas internacionales]]-F2717)/F2717</f>
        <v>-3.5638655028149371E-3</v>
      </c>
    </row>
    <row r="2719" spans="1:10" ht="15.75" thickBot="1" x14ac:dyDescent="0.3">
      <c r="A2719" s="14">
        <v>44988</v>
      </c>
      <c r="B2719" s="15">
        <v>44988</v>
      </c>
      <c r="C2719" s="16">
        <v>5168951</v>
      </c>
      <c r="D2719" s="10">
        <f>PrincipalesVariables[[#This Row],[Base monetaria]]/1000000</f>
        <v>5.1689509999999999</v>
      </c>
      <c r="E2719" s="10">
        <v>198.26</v>
      </c>
      <c r="F2719" s="11">
        <v>38598</v>
      </c>
      <c r="H2719" s="12">
        <f>(PrincipalesVariables[[#This Row],[Base monetaria]]-C2718)/C2718</f>
        <v>3.4726812698660453E-3</v>
      </c>
      <c r="I2719" s="12">
        <f>(PrincipalesVariables[[#This Row],[Dólar  mayorista]]-E2718)/E2718</f>
        <v>1.8697256051341885E-3</v>
      </c>
      <c r="J2719" s="12">
        <f>(PrincipalesVariables[[#This Row],[Reservas internacionales]]-F2718)/F2718</f>
        <v>3.6284470246734398E-4</v>
      </c>
    </row>
    <row r="2720" spans="1:10" ht="15.75" thickBot="1" x14ac:dyDescent="0.3">
      <c r="A2720" s="14">
        <v>44991</v>
      </c>
      <c r="B2720" s="15">
        <v>44991</v>
      </c>
      <c r="C2720" s="16">
        <v>5136551</v>
      </c>
      <c r="D2720" s="10">
        <f>PrincipalesVariables[[#This Row],[Base monetaria]]/1000000</f>
        <v>5.1365509999999999</v>
      </c>
      <c r="E2720" s="10">
        <v>199.35</v>
      </c>
      <c r="F2720" s="11">
        <v>38517</v>
      </c>
      <c r="H2720" s="12">
        <f>(PrincipalesVariables[[#This Row],[Base monetaria]]-C2719)/C2719</f>
        <v>-6.2681963903314228E-3</v>
      </c>
      <c r="I2720" s="12">
        <f>(PrincipalesVariables[[#This Row],[Dólar  mayorista]]-E2719)/E2719</f>
        <v>5.4978311308383106E-3</v>
      </c>
      <c r="J2720" s="12">
        <f>(PrincipalesVariables[[#This Row],[Reservas internacionales]]-F2719)/F2719</f>
        <v>-2.098554329239857E-3</v>
      </c>
    </row>
    <row r="2721" spans="1:10" ht="15.75" thickBot="1" x14ac:dyDescent="0.3">
      <c r="A2721" s="14">
        <v>44992</v>
      </c>
      <c r="B2721" s="15">
        <v>44992</v>
      </c>
      <c r="C2721" s="16">
        <v>5172826</v>
      </c>
      <c r="D2721" s="10">
        <f>PrincipalesVariables[[#This Row],[Base monetaria]]/1000000</f>
        <v>5.1728259999999997</v>
      </c>
      <c r="E2721" s="10">
        <v>199.67</v>
      </c>
      <c r="F2721" s="11">
        <v>38323</v>
      </c>
      <c r="H2721" s="12">
        <f>(PrincipalesVariables[[#This Row],[Base monetaria]]-C2720)/C2720</f>
        <v>7.0621317689632595E-3</v>
      </c>
      <c r="I2721" s="12">
        <f>(PrincipalesVariables[[#This Row],[Dólar  mayorista]]-E2720)/E2720</f>
        <v>1.605216955104054E-3</v>
      </c>
      <c r="J2721" s="12">
        <f>(PrincipalesVariables[[#This Row],[Reservas internacionales]]-F2720)/F2720</f>
        <v>-5.0367370252096481E-3</v>
      </c>
    </row>
    <row r="2722" spans="1:10" ht="15.75" thickBot="1" x14ac:dyDescent="0.3">
      <c r="A2722" s="14">
        <v>44993</v>
      </c>
      <c r="B2722" s="15">
        <v>44993</v>
      </c>
      <c r="C2722" s="16">
        <v>5176588</v>
      </c>
      <c r="D2722" s="10">
        <f>PrincipalesVariables[[#This Row],[Base monetaria]]/1000000</f>
        <v>5.1765879999999997</v>
      </c>
      <c r="E2722" s="10">
        <v>200.03</v>
      </c>
      <c r="F2722" s="11">
        <v>38272</v>
      </c>
      <c r="H2722" s="12">
        <f>(PrincipalesVariables[[#This Row],[Base monetaria]]-C2721)/C2721</f>
        <v>7.2726204206366115E-4</v>
      </c>
      <c r="I2722" s="12">
        <f>(PrincipalesVariables[[#This Row],[Dólar  mayorista]]-E2721)/E2721</f>
        <v>1.8029749085992572E-3</v>
      </c>
      <c r="J2722" s="12">
        <f>(PrincipalesVariables[[#This Row],[Reservas internacionales]]-F2721)/F2721</f>
        <v>-1.3307935182527463E-3</v>
      </c>
    </row>
    <row r="2723" spans="1:10" ht="15.75" thickBot="1" x14ac:dyDescent="0.3">
      <c r="A2723" s="14">
        <v>44994</v>
      </c>
      <c r="B2723" s="15">
        <v>44994</v>
      </c>
      <c r="C2723" s="16">
        <v>5206060</v>
      </c>
      <c r="D2723" s="10">
        <f>PrincipalesVariables[[#This Row],[Base monetaria]]/1000000</f>
        <v>5.2060599999999999</v>
      </c>
      <c r="E2723" s="10">
        <v>200.36</v>
      </c>
      <c r="F2723" s="11">
        <v>38180</v>
      </c>
      <c r="H2723" s="12">
        <f>(PrincipalesVariables[[#This Row],[Base monetaria]]-C2722)/C2722</f>
        <v>5.6933254104827346E-3</v>
      </c>
      <c r="I2723" s="12">
        <f>(PrincipalesVariables[[#This Row],[Dólar  mayorista]]-E2722)/E2722</f>
        <v>1.6497525371194945E-3</v>
      </c>
      <c r="J2723" s="12">
        <f>(PrincipalesVariables[[#This Row],[Reservas internacionales]]-F2722)/F2722</f>
        <v>-2.403846153846154E-3</v>
      </c>
    </row>
    <row r="2724" spans="1:10" ht="15.75" thickBot="1" x14ac:dyDescent="0.3">
      <c r="A2724" s="14">
        <v>44995</v>
      </c>
      <c r="B2724" s="15">
        <v>44995</v>
      </c>
      <c r="C2724" s="16">
        <v>5188813</v>
      </c>
      <c r="D2724" s="10">
        <f>PrincipalesVariables[[#This Row],[Base monetaria]]/1000000</f>
        <v>5.1888129999999997</v>
      </c>
      <c r="E2724" s="10">
        <v>200.72</v>
      </c>
      <c r="F2724" s="11">
        <v>38208</v>
      </c>
      <c r="H2724" s="12">
        <f>(PrincipalesVariables[[#This Row],[Base monetaria]]-C2723)/C2723</f>
        <v>-3.3128700014982541E-3</v>
      </c>
      <c r="I2724" s="12">
        <f>(PrincipalesVariables[[#This Row],[Dólar  mayorista]]-E2723)/E2723</f>
        <v>1.7967658215211877E-3</v>
      </c>
      <c r="J2724" s="12">
        <f>(PrincipalesVariables[[#This Row],[Reservas internacionales]]-F2723)/F2723</f>
        <v>7.3336825563122049E-4</v>
      </c>
    </row>
    <row r="2725" spans="1:10" ht="15.75" thickBot="1" x14ac:dyDescent="0.3">
      <c r="A2725" s="14">
        <v>44998</v>
      </c>
      <c r="B2725" s="15">
        <v>44998</v>
      </c>
      <c r="C2725" s="16">
        <v>5161122</v>
      </c>
      <c r="D2725" s="10">
        <f>PrincipalesVariables[[#This Row],[Base monetaria]]/1000000</f>
        <v>5.1611219999999998</v>
      </c>
      <c r="E2725" s="10">
        <v>201.8</v>
      </c>
      <c r="F2725" s="11">
        <v>38331</v>
      </c>
      <c r="H2725" s="12">
        <f>(PrincipalesVariables[[#This Row],[Base monetaria]]-C2724)/C2724</f>
        <v>-5.3366733393552628E-3</v>
      </c>
      <c r="I2725" s="12">
        <f>(PrincipalesVariables[[#This Row],[Dólar  mayorista]]-E2724)/E2724</f>
        <v>5.3806297329614013E-3</v>
      </c>
      <c r="J2725" s="12">
        <f>(PrincipalesVariables[[#This Row],[Reservas internacionales]]-F2724)/F2724</f>
        <v>3.2192211055276383E-3</v>
      </c>
    </row>
    <row r="2726" spans="1:10" ht="15.75" thickBot="1" x14ac:dyDescent="0.3">
      <c r="A2726" s="14">
        <v>44999</v>
      </c>
      <c r="B2726" s="15">
        <v>44999</v>
      </c>
      <c r="C2726" s="16">
        <v>5289357</v>
      </c>
      <c r="D2726" s="10">
        <f>PrincipalesVariables[[#This Row],[Base monetaria]]/1000000</f>
        <v>5.2893569999999999</v>
      </c>
      <c r="E2726" s="10">
        <v>202.15</v>
      </c>
      <c r="F2726" s="11">
        <v>38142</v>
      </c>
      <c r="H2726" s="12">
        <f>(PrincipalesVariables[[#This Row],[Base monetaria]]-C2725)/C2725</f>
        <v>2.4846341551313843E-2</v>
      </c>
      <c r="I2726" s="12">
        <f>(PrincipalesVariables[[#This Row],[Dólar  mayorista]]-E2725)/E2725</f>
        <v>1.7343904856293078E-3</v>
      </c>
      <c r="J2726" s="12">
        <f>(PrincipalesVariables[[#This Row],[Reservas internacionales]]-F2725)/F2725</f>
        <v>-4.9307349142991312E-3</v>
      </c>
    </row>
    <row r="2727" spans="1:10" ht="15.75" thickBot="1" x14ac:dyDescent="0.3">
      <c r="A2727" s="14">
        <v>45000</v>
      </c>
      <c r="B2727" s="15">
        <v>45000</v>
      </c>
      <c r="C2727" s="16">
        <v>5225696</v>
      </c>
      <c r="D2727" s="10">
        <f>PrincipalesVariables[[#This Row],[Base monetaria]]/1000000</f>
        <v>5.2256960000000001</v>
      </c>
      <c r="E2727" s="10">
        <v>202.52</v>
      </c>
      <c r="F2727" s="11">
        <v>37783</v>
      </c>
      <c r="H2727" s="12">
        <f>(PrincipalesVariables[[#This Row],[Base monetaria]]-C2726)/C2726</f>
        <v>-1.2035678438797003E-2</v>
      </c>
      <c r="I2727" s="12">
        <f>(PrincipalesVariables[[#This Row],[Dólar  mayorista]]-E2726)/E2726</f>
        <v>1.8303240168192161E-3</v>
      </c>
      <c r="J2727" s="12">
        <f>(PrincipalesVariables[[#This Row],[Reservas internacionales]]-F2726)/F2726</f>
        <v>-9.4121965287609459E-3</v>
      </c>
    </row>
    <row r="2728" spans="1:10" ht="15.75" thickBot="1" x14ac:dyDescent="0.3">
      <c r="A2728" s="14">
        <v>45001</v>
      </c>
      <c r="B2728" s="15">
        <v>45001</v>
      </c>
      <c r="C2728" s="16">
        <v>5205042</v>
      </c>
      <c r="D2728" s="10">
        <f>PrincipalesVariables[[#This Row],[Base monetaria]]/1000000</f>
        <v>5.2050419999999997</v>
      </c>
      <c r="E2728" s="10">
        <v>202.96</v>
      </c>
      <c r="F2728" s="11">
        <v>37712</v>
      </c>
      <c r="H2728" s="12">
        <f>(PrincipalesVariables[[#This Row],[Base monetaria]]-C2727)/C2727</f>
        <v>-3.9523921789556835E-3</v>
      </c>
      <c r="I2728" s="12">
        <f>(PrincipalesVariables[[#This Row],[Dólar  mayorista]]-E2727)/E2727</f>
        <v>2.17262492593323E-3</v>
      </c>
      <c r="J2728" s="12">
        <f>(PrincipalesVariables[[#This Row],[Reservas internacionales]]-F2727)/F2727</f>
        <v>-1.8791519995765291E-3</v>
      </c>
    </row>
    <row r="2729" spans="1:10" ht="15.75" thickBot="1" x14ac:dyDescent="0.3">
      <c r="A2729" s="14">
        <v>45002</v>
      </c>
      <c r="B2729" s="15">
        <v>45002</v>
      </c>
      <c r="C2729" s="16">
        <v>5147370</v>
      </c>
      <c r="D2729" s="10">
        <f>PrincipalesVariables[[#This Row],[Base monetaria]]/1000000</f>
        <v>5.1473699999999996</v>
      </c>
      <c r="E2729" s="10">
        <v>203.34</v>
      </c>
      <c r="F2729" s="11">
        <v>37672</v>
      </c>
      <c r="H2729" s="12">
        <f>(PrincipalesVariables[[#This Row],[Base monetaria]]-C2728)/C2728</f>
        <v>-1.1080025867226432E-2</v>
      </c>
      <c r="I2729" s="12">
        <f>(PrincipalesVariables[[#This Row],[Dólar  mayorista]]-E2728)/E2728</f>
        <v>1.8722901064248888E-3</v>
      </c>
      <c r="J2729" s="12">
        <f>(PrincipalesVariables[[#This Row],[Reservas internacionales]]-F2728)/F2728</f>
        <v>-1.0606703436571913E-3</v>
      </c>
    </row>
    <row r="2730" spans="1:10" ht="15.75" thickBot="1" x14ac:dyDescent="0.3">
      <c r="A2730" s="14">
        <v>45005</v>
      </c>
      <c r="B2730" s="15">
        <v>45005</v>
      </c>
      <c r="C2730" s="16">
        <v>5075939</v>
      </c>
      <c r="D2730" s="10">
        <f>PrincipalesVariables[[#This Row],[Base monetaria]]/1000000</f>
        <v>5.075939</v>
      </c>
      <c r="E2730" s="10">
        <v>204.5</v>
      </c>
      <c r="F2730" s="11">
        <v>38008</v>
      </c>
      <c r="H2730" s="12">
        <f>(PrincipalesVariables[[#This Row],[Base monetaria]]-C2729)/C2729</f>
        <v>-1.3877183882254432E-2</v>
      </c>
      <c r="I2730" s="12">
        <f>(PrincipalesVariables[[#This Row],[Dólar  mayorista]]-E2729)/E2729</f>
        <v>5.7047309924264612E-3</v>
      </c>
      <c r="J2730" s="12">
        <f>(PrincipalesVariables[[#This Row],[Reservas internacionales]]-F2729)/F2729</f>
        <v>8.9190911021448296E-3</v>
      </c>
    </row>
    <row r="2731" spans="1:10" ht="15.75" thickBot="1" x14ac:dyDescent="0.3">
      <c r="A2731" s="14">
        <v>45006</v>
      </c>
      <c r="B2731" s="15">
        <v>45006</v>
      </c>
      <c r="C2731" s="16">
        <v>5078337</v>
      </c>
      <c r="D2731" s="10">
        <f>PrincipalesVariables[[#This Row],[Base monetaria]]/1000000</f>
        <v>5.0783370000000003</v>
      </c>
      <c r="E2731" s="10">
        <v>204.96</v>
      </c>
      <c r="F2731" s="11">
        <v>37837</v>
      </c>
      <c r="H2731" s="12">
        <f>(PrincipalesVariables[[#This Row],[Base monetaria]]-C2730)/C2730</f>
        <v>4.7242490502742446E-4</v>
      </c>
      <c r="I2731" s="12">
        <f>(PrincipalesVariables[[#This Row],[Dólar  mayorista]]-E2730)/E2730</f>
        <v>2.2493887530562738E-3</v>
      </c>
      <c r="J2731" s="12">
        <f>(PrincipalesVariables[[#This Row],[Reservas internacionales]]-F2730)/F2730</f>
        <v>-4.4990528309829508E-3</v>
      </c>
    </row>
    <row r="2732" spans="1:10" ht="15.75" thickBot="1" x14ac:dyDescent="0.3">
      <c r="A2732" s="14">
        <v>45007</v>
      </c>
      <c r="B2732" s="15">
        <v>45007</v>
      </c>
      <c r="C2732" s="16">
        <v>5093378</v>
      </c>
      <c r="D2732" s="10">
        <f>PrincipalesVariables[[#This Row],[Base monetaria]]/1000000</f>
        <v>5.0933780000000004</v>
      </c>
      <c r="E2732" s="10">
        <v>205.4</v>
      </c>
      <c r="F2732" s="11">
        <v>37596</v>
      </c>
      <c r="H2732" s="12">
        <f>(PrincipalesVariables[[#This Row],[Base monetaria]]-C2731)/C2731</f>
        <v>2.9617963518372256E-3</v>
      </c>
      <c r="I2732" s="12">
        <f>(PrincipalesVariables[[#This Row],[Dólar  mayorista]]-E2731)/E2731</f>
        <v>2.1467603434816439E-3</v>
      </c>
      <c r="J2732" s="12">
        <f>(PrincipalesVariables[[#This Row],[Reservas internacionales]]-F2731)/F2731</f>
        <v>-6.369426751592357E-3</v>
      </c>
    </row>
    <row r="2733" spans="1:10" ht="15.75" thickBot="1" x14ac:dyDescent="0.3">
      <c r="A2733" s="14">
        <v>45008</v>
      </c>
      <c r="B2733" s="15">
        <v>45008</v>
      </c>
      <c r="C2733" s="16">
        <v>5107022</v>
      </c>
      <c r="D2733" s="10">
        <f>PrincipalesVariables[[#This Row],[Base monetaria]]/1000000</f>
        <v>5.1070219999999997</v>
      </c>
      <c r="E2733" s="10">
        <v>205.79</v>
      </c>
      <c r="F2733" s="11">
        <v>37606</v>
      </c>
      <c r="H2733" s="12">
        <f>(PrincipalesVariables[[#This Row],[Base monetaria]]-C2732)/C2732</f>
        <v>2.6787723196668302E-3</v>
      </c>
      <c r="I2733" s="12">
        <f>(PrincipalesVariables[[#This Row],[Dólar  mayorista]]-E2732)/E2732</f>
        <v>1.8987341772151234E-3</v>
      </c>
      <c r="J2733" s="12">
        <f>(PrincipalesVariables[[#This Row],[Reservas internacionales]]-F2732)/F2732</f>
        <v>2.6598574316416638E-4</v>
      </c>
    </row>
    <row r="2734" spans="1:10" ht="15.75" thickBot="1" x14ac:dyDescent="0.3">
      <c r="A2734" s="14">
        <v>45012</v>
      </c>
      <c r="B2734" s="15">
        <v>45012</v>
      </c>
      <c r="C2734" s="16">
        <v>5108708</v>
      </c>
      <c r="D2734" s="10">
        <f>PrincipalesVariables[[#This Row],[Base monetaria]]/1000000</f>
        <v>5.108708</v>
      </c>
      <c r="E2734" s="10">
        <v>207.4</v>
      </c>
      <c r="F2734" s="11">
        <v>37161</v>
      </c>
      <c r="H2734" s="12">
        <f>(PrincipalesVariables[[#This Row],[Base monetaria]]-C2733)/C2733</f>
        <v>3.3013368652024607E-4</v>
      </c>
      <c r="I2734" s="12">
        <f>(PrincipalesVariables[[#This Row],[Dólar  mayorista]]-E2733)/E2733</f>
        <v>7.8235094027893186E-3</v>
      </c>
      <c r="J2734" s="12">
        <f>(PrincipalesVariables[[#This Row],[Reservas internacionales]]-F2733)/F2733</f>
        <v>-1.1833218103494123E-2</v>
      </c>
    </row>
    <row r="2735" spans="1:10" ht="15.75" thickBot="1" x14ac:dyDescent="0.3">
      <c r="A2735" s="14">
        <v>45013</v>
      </c>
      <c r="B2735" s="15">
        <v>45013</v>
      </c>
      <c r="C2735" s="16">
        <v>5133565</v>
      </c>
      <c r="D2735" s="10">
        <f>PrincipalesVariables[[#This Row],[Base monetaria]]/1000000</f>
        <v>5.1335649999999999</v>
      </c>
      <c r="E2735" s="10">
        <v>207.84</v>
      </c>
      <c r="F2735" s="11">
        <v>37076</v>
      </c>
      <c r="H2735" s="12">
        <f>(PrincipalesVariables[[#This Row],[Base monetaria]]-C2734)/C2734</f>
        <v>4.865613771622884E-3</v>
      </c>
      <c r="I2735" s="12">
        <f>(PrincipalesVariables[[#This Row],[Dólar  mayorista]]-E2734)/E2734</f>
        <v>2.1215043394406832E-3</v>
      </c>
      <c r="J2735" s="12">
        <f>(PrincipalesVariables[[#This Row],[Reservas internacionales]]-F2734)/F2734</f>
        <v>-2.2873442587659104E-3</v>
      </c>
    </row>
    <row r="2736" spans="1:10" ht="15.75" thickBot="1" x14ac:dyDescent="0.3">
      <c r="A2736" s="14">
        <v>45014</v>
      </c>
      <c r="B2736" s="15">
        <v>45014</v>
      </c>
      <c r="C2736" s="16">
        <v>5090128</v>
      </c>
      <c r="D2736" s="10">
        <f>PrincipalesVariables[[#This Row],[Base monetaria]]/1000000</f>
        <v>5.090128</v>
      </c>
      <c r="E2736" s="10">
        <v>208.25</v>
      </c>
      <c r="F2736" s="11">
        <v>36851</v>
      </c>
      <c r="H2736" s="12">
        <f>(PrincipalesVariables[[#This Row],[Base monetaria]]-C2735)/C2735</f>
        <v>-8.4613713861614679E-3</v>
      </c>
      <c r="I2736" s="12">
        <f>(PrincipalesVariables[[#This Row],[Dólar  mayorista]]-E2735)/E2735</f>
        <v>1.9726712856042946E-3</v>
      </c>
      <c r="J2736" s="12">
        <f>(PrincipalesVariables[[#This Row],[Reservas internacionales]]-F2735)/F2735</f>
        <v>-6.0686158161613983E-3</v>
      </c>
    </row>
    <row r="2737" spans="1:10" ht="15.75" thickBot="1" x14ac:dyDescent="0.3">
      <c r="A2737" s="14">
        <v>45015</v>
      </c>
      <c r="B2737" s="15">
        <v>45015</v>
      </c>
      <c r="C2737" s="16">
        <v>5214253</v>
      </c>
      <c r="D2737" s="10">
        <f>PrincipalesVariables[[#This Row],[Base monetaria]]/1000000</f>
        <v>5.2142530000000002</v>
      </c>
      <c r="E2737" s="10">
        <v>208.6</v>
      </c>
      <c r="F2737" s="11">
        <v>36509</v>
      </c>
      <c r="H2737" s="12">
        <f>(PrincipalesVariables[[#This Row],[Base monetaria]]-C2736)/C2736</f>
        <v>2.4385437851464638E-2</v>
      </c>
      <c r="I2737" s="12">
        <f>(PrincipalesVariables[[#This Row],[Dólar  mayorista]]-E2736)/E2736</f>
        <v>1.6806722689075358E-3</v>
      </c>
      <c r="J2737" s="12">
        <f>(PrincipalesVariables[[#This Row],[Reservas internacionales]]-F2736)/F2736</f>
        <v>-9.280616536864671E-3</v>
      </c>
    </row>
    <row r="2738" spans="1:10" ht="15.75" thickBot="1" x14ac:dyDescent="0.3">
      <c r="A2738" s="14">
        <v>45016</v>
      </c>
      <c r="B2738" s="15">
        <v>45016</v>
      </c>
      <c r="C2738" s="16">
        <v>5369482</v>
      </c>
      <c r="D2738" s="10">
        <f>PrincipalesVariables[[#This Row],[Base monetaria]]/1000000</f>
        <v>5.3694819999999996</v>
      </c>
      <c r="E2738" s="10">
        <v>208.99</v>
      </c>
      <c r="F2738" s="11">
        <v>39060</v>
      </c>
      <c r="H2738" s="12">
        <f>(PrincipalesVariables[[#This Row],[Base monetaria]]-C2737)/C2737</f>
        <v>2.977013198247189E-2</v>
      </c>
      <c r="I2738" s="12">
        <f>(PrincipalesVariables[[#This Row],[Dólar  mayorista]]-E2737)/E2737</f>
        <v>1.869606903164021E-3</v>
      </c>
      <c r="J2738" s="12">
        <f>(PrincipalesVariables[[#This Row],[Reservas internacionales]]-F2737)/F2737</f>
        <v>6.9873181955134353E-2</v>
      </c>
    </row>
    <row r="2739" spans="1:10" ht="15.75" thickBot="1" x14ac:dyDescent="0.3">
      <c r="A2739" s="14">
        <v>45019</v>
      </c>
      <c r="B2739" s="15">
        <v>45019</v>
      </c>
      <c r="C2739" s="16">
        <v>5287595</v>
      </c>
      <c r="D2739" s="10">
        <f>PrincipalesVariables[[#This Row],[Base monetaria]]/1000000</f>
        <v>5.2875949999999996</v>
      </c>
      <c r="E2739" s="10">
        <v>210.33</v>
      </c>
      <c r="F2739" s="11">
        <v>38809</v>
      </c>
      <c r="H2739" s="12">
        <f>(PrincipalesVariables[[#This Row],[Base monetaria]]-C2738)/C2738</f>
        <v>-1.525044687737104E-2</v>
      </c>
      <c r="I2739" s="12">
        <f>(PrincipalesVariables[[#This Row],[Dólar  mayorista]]-E2738)/E2738</f>
        <v>6.411790037800868E-3</v>
      </c>
      <c r="J2739" s="12">
        <f>(PrincipalesVariables[[#This Row],[Reservas internacionales]]-F2738)/F2738</f>
        <v>-6.4260112647209419E-3</v>
      </c>
    </row>
    <row r="2740" spans="1:10" ht="15.75" thickBot="1" x14ac:dyDescent="0.3">
      <c r="A2740" s="14">
        <v>45020</v>
      </c>
      <c r="B2740" s="15">
        <v>45020</v>
      </c>
      <c r="C2740" s="16">
        <v>5269464</v>
      </c>
      <c r="D2740" s="10">
        <f>PrincipalesVariables[[#This Row],[Base monetaria]]/1000000</f>
        <v>5.2694640000000001</v>
      </c>
      <c r="E2740" s="10">
        <v>210.8</v>
      </c>
      <c r="F2740" s="11">
        <v>38777</v>
      </c>
      <c r="H2740" s="12">
        <f>(PrincipalesVariables[[#This Row],[Base monetaria]]-C2739)/C2739</f>
        <v>-3.4289691249046119E-3</v>
      </c>
      <c r="I2740" s="12">
        <f>(PrincipalesVariables[[#This Row],[Dólar  mayorista]]-E2739)/E2739</f>
        <v>2.23458374934626E-3</v>
      </c>
      <c r="J2740" s="12">
        <f>(PrincipalesVariables[[#This Row],[Reservas internacionales]]-F2739)/F2739</f>
        <v>-8.2455100620989976E-4</v>
      </c>
    </row>
    <row r="2741" spans="1:10" ht="15.75" thickBot="1" x14ac:dyDescent="0.3">
      <c r="A2741" s="14">
        <v>45021</v>
      </c>
      <c r="B2741" s="15">
        <v>45021</v>
      </c>
      <c r="C2741" s="16">
        <v>5435884</v>
      </c>
      <c r="D2741" s="10">
        <f>PrincipalesVariables[[#This Row],[Base monetaria]]/1000000</f>
        <v>5.4358839999999997</v>
      </c>
      <c r="E2741" s="10">
        <v>211.24</v>
      </c>
      <c r="F2741" s="11">
        <v>38662</v>
      </c>
      <c r="H2741" s="12">
        <f>(PrincipalesVariables[[#This Row],[Base monetaria]]-C2740)/C2740</f>
        <v>3.1581959759095043E-2</v>
      </c>
      <c r="I2741" s="12">
        <f>(PrincipalesVariables[[#This Row],[Dólar  mayorista]]-E2740)/E2740</f>
        <v>2.0872865275142205E-3</v>
      </c>
      <c r="J2741" s="12">
        <f>(PrincipalesVariables[[#This Row],[Reservas internacionales]]-F2740)/F2740</f>
        <v>-2.9656755293086109E-3</v>
      </c>
    </row>
    <row r="2742" spans="1:10" ht="15.75" thickBot="1" x14ac:dyDescent="0.3">
      <c r="A2742" s="14">
        <v>45026</v>
      </c>
      <c r="B2742" s="15">
        <v>45026</v>
      </c>
      <c r="C2742" s="16">
        <v>5324060</v>
      </c>
      <c r="D2742" s="10">
        <f>PrincipalesVariables[[#This Row],[Base monetaria]]/1000000</f>
        <v>5.3240600000000002</v>
      </c>
      <c r="E2742" s="10">
        <v>213.33</v>
      </c>
      <c r="F2742" s="11">
        <v>37210</v>
      </c>
      <c r="H2742" s="12">
        <f>(PrincipalesVariables[[#This Row],[Base monetaria]]-C2741)/C2741</f>
        <v>-2.0571447072822008E-2</v>
      </c>
      <c r="I2742" s="12">
        <f>(PrincipalesVariables[[#This Row],[Dólar  mayorista]]-E2741)/E2741</f>
        <v>9.8939594773717263E-3</v>
      </c>
      <c r="J2742" s="12">
        <f>(PrincipalesVariables[[#This Row],[Reservas internacionales]]-F2741)/F2741</f>
        <v>-3.7556256789612538E-2</v>
      </c>
    </row>
    <row r="2743" spans="1:10" ht="15.75" thickBot="1" x14ac:dyDescent="0.3">
      <c r="A2743" s="14">
        <v>45027</v>
      </c>
      <c r="B2743" s="15">
        <v>45027</v>
      </c>
      <c r="C2743" s="16">
        <v>5286442</v>
      </c>
      <c r="D2743" s="10">
        <f>PrincipalesVariables[[#This Row],[Base monetaria]]/1000000</f>
        <v>5.2864420000000001</v>
      </c>
      <c r="E2743" s="10">
        <v>213.8</v>
      </c>
      <c r="F2743" s="11">
        <v>37218</v>
      </c>
      <c r="H2743" s="12">
        <f>(PrincipalesVariables[[#This Row],[Base monetaria]]-C2742)/C2742</f>
        <v>-7.0656604170501458E-3</v>
      </c>
      <c r="I2743" s="12">
        <f>(PrincipalesVariables[[#This Row],[Dólar  mayorista]]-E2742)/E2742</f>
        <v>2.2031594243660003E-3</v>
      </c>
      <c r="J2743" s="12">
        <f>(PrincipalesVariables[[#This Row],[Reservas internacionales]]-F2742)/F2742</f>
        <v>2.1499596882558453E-4</v>
      </c>
    </row>
    <row r="2744" spans="1:10" ht="15.75" thickBot="1" x14ac:dyDescent="0.3">
      <c r="A2744" s="14">
        <v>45028</v>
      </c>
      <c r="B2744" s="15">
        <v>45028</v>
      </c>
      <c r="C2744" s="16">
        <v>5194005</v>
      </c>
      <c r="D2744" s="10">
        <f>PrincipalesVariables[[#This Row],[Base monetaria]]/1000000</f>
        <v>5.1940049999999998</v>
      </c>
      <c r="E2744" s="10">
        <v>214.25</v>
      </c>
      <c r="F2744" s="11">
        <v>37224</v>
      </c>
      <c r="H2744" s="12">
        <f>(PrincipalesVariables[[#This Row],[Base monetaria]]-C2743)/C2743</f>
        <v>-1.7485673729135776E-2</v>
      </c>
      <c r="I2744" s="12">
        <f>(PrincipalesVariables[[#This Row],[Dólar  mayorista]]-E2743)/E2743</f>
        <v>2.1047708138446615E-3</v>
      </c>
      <c r="J2744" s="12">
        <f>(PrincipalesVariables[[#This Row],[Reservas internacionales]]-F2743)/F2743</f>
        <v>1.6121231662098983E-4</v>
      </c>
    </row>
    <row r="2745" spans="1:10" ht="15.75" thickBot="1" x14ac:dyDescent="0.3">
      <c r="A2745" s="14">
        <v>45029</v>
      </c>
      <c r="B2745" s="15">
        <v>45029</v>
      </c>
      <c r="C2745" s="16">
        <v>5187098</v>
      </c>
      <c r="D2745" s="10">
        <f>PrincipalesVariables[[#This Row],[Base monetaria]]/1000000</f>
        <v>5.1870979999999998</v>
      </c>
      <c r="E2745" s="10">
        <v>214.67</v>
      </c>
      <c r="F2745" s="11">
        <v>37538</v>
      </c>
      <c r="H2745" s="12">
        <f>(PrincipalesVariables[[#This Row],[Base monetaria]]-C2744)/C2744</f>
        <v>-1.3298023394278597E-3</v>
      </c>
      <c r="I2745" s="12">
        <f>(PrincipalesVariables[[#This Row],[Dólar  mayorista]]-E2744)/E2744</f>
        <v>1.9603267211201285E-3</v>
      </c>
      <c r="J2745" s="12">
        <f>(PrincipalesVariables[[#This Row],[Reservas internacionales]]-F2744)/F2744</f>
        <v>8.4354180098860955E-3</v>
      </c>
    </row>
    <row r="2746" spans="1:10" ht="15.75" thickBot="1" x14ac:dyDescent="0.3">
      <c r="A2746" s="14">
        <v>45030</v>
      </c>
      <c r="B2746" s="15">
        <v>45030</v>
      </c>
      <c r="C2746" s="16">
        <v>5147953</v>
      </c>
      <c r="D2746" s="10">
        <f>PrincipalesVariables[[#This Row],[Base monetaria]]/1000000</f>
        <v>5.1479530000000002</v>
      </c>
      <c r="E2746" s="10">
        <v>215.1</v>
      </c>
      <c r="F2746" s="11">
        <v>36901</v>
      </c>
      <c r="H2746" s="12">
        <f>(PrincipalesVariables[[#This Row],[Base monetaria]]-C2745)/C2745</f>
        <v>-7.5466089131148092E-3</v>
      </c>
      <c r="I2746" s="12">
        <f>(PrincipalesVariables[[#This Row],[Dólar  mayorista]]-E2745)/E2745</f>
        <v>2.0030744864210502E-3</v>
      </c>
      <c r="J2746" s="12">
        <f>(PrincipalesVariables[[#This Row],[Reservas internacionales]]-F2745)/F2745</f>
        <v>-1.6969470936118065E-2</v>
      </c>
    </row>
    <row r="2747" spans="1:10" ht="15.75" thickBot="1" x14ac:dyDescent="0.3">
      <c r="A2747" s="14">
        <v>45033</v>
      </c>
      <c r="B2747" s="15">
        <v>45033</v>
      </c>
      <c r="C2747" s="16">
        <v>5172423</v>
      </c>
      <c r="D2747" s="10">
        <f>PrincipalesVariables[[#This Row],[Base monetaria]]/1000000</f>
        <v>5.1724230000000002</v>
      </c>
      <c r="E2747" s="10">
        <v>216.36</v>
      </c>
      <c r="F2747" s="11">
        <v>36731</v>
      </c>
      <c r="H2747" s="12">
        <f>(PrincipalesVariables[[#This Row],[Base monetaria]]-C2746)/C2746</f>
        <v>4.7533456502031005E-3</v>
      </c>
      <c r="I2747" s="12">
        <f>(PrincipalesVariables[[#This Row],[Dólar  mayorista]]-E2746)/E2746</f>
        <v>5.857740585774149E-3</v>
      </c>
      <c r="J2747" s="12">
        <f>(PrincipalesVariables[[#This Row],[Reservas internacionales]]-F2746)/F2746</f>
        <v>-4.6069212216471095E-3</v>
      </c>
    </row>
    <row r="2748" spans="1:10" ht="15.75" thickBot="1" x14ac:dyDescent="0.3">
      <c r="A2748" s="14">
        <v>45034</v>
      </c>
      <c r="B2748" s="15">
        <v>45034</v>
      </c>
      <c r="C2748" s="16">
        <v>5112787</v>
      </c>
      <c r="D2748" s="10">
        <f>PrincipalesVariables[[#This Row],[Base monetaria]]/1000000</f>
        <v>5.112787</v>
      </c>
      <c r="E2748" s="10">
        <v>216.89</v>
      </c>
      <c r="F2748" s="11">
        <v>36638</v>
      </c>
      <c r="H2748" s="12">
        <f>(PrincipalesVariables[[#This Row],[Base monetaria]]-C2747)/C2747</f>
        <v>-1.152960614396773E-2</v>
      </c>
      <c r="I2748" s="12">
        <f>(PrincipalesVariables[[#This Row],[Dólar  mayorista]]-E2747)/E2747</f>
        <v>2.4496210020335213E-3</v>
      </c>
      <c r="J2748" s="12">
        <f>(PrincipalesVariables[[#This Row],[Reservas internacionales]]-F2747)/F2747</f>
        <v>-2.5319212654161334E-3</v>
      </c>
    </row>
    <row r="2749" spans="1:10" ht="15.75" thickBot="1" x14ac:dyDescent="0.3">
      <c r="A2749" s="14">
        <v>45035</v>
      </c>
      <c r="B2749" s="15">
        <v>45035</v>
      </c>
      <c r="C2749" s="16">
        <v>5094913</v>
      </c>
      <c r="D2749" s="10">
        <f>PrincipalesVariables[[#This Row],[Base monetaria]]/1000000</f>
        <v>5.094913</v>
      </c>
      <c r="E2749" s="10">
        <v>217.47</v>
      </c>
      <c r="F2749" s="11">
        <v>36365</v>
      </c>
      <c r="H2749" s="12">
        <f>(PrincipalesVariables[[#This Row],[Base monetaria]]-C2748)/C2748</f>
        <v>-3.4959406679761938E-3</v>
      </c>
      <c r="I2749" s="12">
        <f>(PrincipalesVariables[[#This Row],[Dólar  mayorista]]-E2748)/E2748</f>
        <v>2.6741666282447903E-3</v>
      </c>
      <c r="J2749" s="12">
        <f>(PrincipalesVariables[[#This Row],[Reservas internacionales]]-F2748)/F2748</f>
        <v>-7.4512800917080624E-3</v>
      </c>
    </row>
    <row r="2750" spans="1:10" ht="15.75" thickBot="1" x14ac:dyDescent="0.3">
      <c r="A2750" s="14">
        <v>45036</v>
      </c>
      <c r="B2750" s="15">
        <v>45036</v>
      </c>
      <c r="C2750" s="16">
        <v>5078406</v>
      </c>
      <c r="D2750" s="10">
        <f>PrincipalesVariables[[#This Row],[Base monetaria]]/1000000</f>
        <v>5.0784060000000002</v>
      </c>
      <c r="E2750" s="10">
        <v>218.03</v>
      </c>
      <c r="F2750" s="11">
        <v>36413</v>
      </c>
      <c r="H2750" s="12">
        <f>(PrincipalesVariables[[#This Row],[Base monetaria]]-C2749)/C2749</f>
        <v>-3.2398983064087649E-3</v>
      </c>
      <c r="I2750" s="12">
        <f>(PrincipalesVariables[[#This Row],[Dólar  mayorista]]-E2749)/E2749</f>
        <v>2.5750678254471988E-3</v>
      </c>
      <c r="J2750" s="12">
        <f>(PrincipalesVariables[[#This Row],[Reservas internacionales]]-F2749)/F2749</f>
        <v>1.3199505018561804E-3</v>
      </c>
    </row>
    <row r="2751" spans="1:10" ht="15.75" thickBot="1" x14ac:dyDescent="0.3">
      <c r="A2751" s="14">
        <v>45037</v>
      </c>
      <c r="B2751" s="15">
        <v>45037</v>
      </c>
      <c r="C2751" s="16">
        <v>5117651</v>
      </c>
      <c r="D2751" s="10">
        <f>PrincipalesVariables[[#This Row],[Base monetaria]]/1000000</f>
        <v>5.1176510000000004</v>
      </c>
      <c r="E2751" s="10">
        <v>218.51</v>
      </c>
      <c r="F2751" s="11">
        <v>36503</v>
      </c>
      <c r="H2751" s="12">
        <f>(PrincipalesVariables[[#This Row],[Base monetaria]]-C2750)/C2750</f>
        <v>7.7278185320354461E-3</v>
      </c>
      <c r="I2751" s="12">
        <f>(PrincipalesVariables[[#This Row],[Dólar  mayorista]]-E2750)/E2750</f>
        <v>2.2015318992798685E-3</v>
      </c>
      <c r="J2751" s="12">
        <f>(PrincipalesVariables[[#This Row],[Reservas internacionales]]-F2750)/F2750</f>
        <v>2.471644742262379E-3</v>
      </c>
    </row>
    <row r="2752" spans="1:10" ht="15.75" thickBot="1" x14ac:dyDescent="0.3">
      <c r="A2752" s="14">
        <v>45040</v>
      </c>
      <c r="B2752" s="15">
        <v>45040</v>
      </c>
      <c r="C2752" s="16">
        <v>5100610</v>
      </c>
      <c r="D2752" s="10">
        <f>PrincipalesVariables[[#This Row],[Base monetaria]]/1000000</f>
        <v>5.1006099999999996</v>
      </c>
      <c r="E2752" s="10">
        <v>220.24</v>
      </c>
      <c r="F2752" s="11">
        <v>36569</v>
      </c>
      <c r="H2752" s="12">
        <f>(PrincipalesVariables[[#This Row],[Base monetaria]]-C2751)/C2751</f>
        <v>-3.3298480103469345E-3</v>
      </c>
      <c r="I2752" s="12">
        <f>(PrincipalesVariables[[#This Row],[Dólar  mayorista]]-E2751)/E2751</f>
        <v>7.917257791405511E-3</v>
      </c>
      <c r="J2752" s="12">
        <f>(PrincipalesVariables[[#This Row],[Reservas internacionales]]-F2751)/F2751</f>
        <v>1.8080705695422295E-3</v>
      </c>
    </row>
    <row r="2753" spans="1:10" ht="15.75" thickBot="1" x14ac:dyDescent="0.3">
      <c r="A2753" s="14">
        <v>45041</v>
      </c>
      <c r="B2753" s="15">
        <v>45041</v>
      </c>
      <c r="C2753" s="16">
        <v>5109964</v>
      </c>
      <c r="D2753" s="10">
        <f>PrincipalesVariables[[#This Row],[Base monetaria]]/1000000</f>
        <v>5.1099639999999997</v>
      </c>
      <c r="E2753" s="10">
        <v>220.87</v>
      </c>
      <c r="F2753" s="11">
        <v>36478</v>
      </c>
      <c r="H2753" s="12">
        <f>(PrincipalesVariables[[#This Row],[Base monetaria]]-C2752)/C2752</f>
        <v>1.8338982984388143E-3</v>
      </c>
      <c r="I2753" s="12">
        <f>(PrincipalesVariables[[#This Row],[Dólar  mayorista]]-E2752)/E2752</f>
        <v>2.8605158009444034E-3</v>
      </c>
      <c r="J2753" s="12">
        <f>(PrincipalesVariables[[#This Row],[Reservas internacionales]]-F2752)/F2752</f>
        <v>-2.4884464984002842E-3</v>
      </c>
    </row>
    <row r="2754" spans="1:10" ht="15.75" thickBot="1" x14ac:dyDescent="0.3">
      <c r="A2754" s="14">
        <v>45042</v>
      </c>
      <c r="B2754" s="15">
        <v>45042</v>
      </c>
      <c r="C2754" s="16">
        <v>5128720</v>
      </c>
      <c r="D2754" s="10">
        <f>PrincipalesVariables[[#This Row],[Base monetaria]]/1000000</f>
        <v>5.1287200000000004</v>
      </c>
      <c r="E2754" s="10">
        <v>221.55</v>
      </c>
      <c r="F2754" s="11">
        <v>36354</v>
      </c>
      <c r="H2754" s="12">
        <f>(PrincipalesVariables[[#This Row],[Base monetaria]]-C2753)/C2753</f>
        <v>3.6704759563863853E-3</v>
      </c>
      <c r="I2754" s="12">
        <f>(PrincipalesVariables[[#This Row],[Dólar  mayorista]]-E2753)/E2753</f>
        <v>3.0787340969801549E-3</v>
      </c>
      <c r="J2754" s="12">
        <f>(PrincipalesVariables[[#This Row],[Reservas internacionales]]-F2753)/F2753</f>
        <v>-3.3993091726520095E-3</v>
      </c>
    </row>
    <row r="2755" spans="1:10" ht="15.75" thickBot="1" x14ac:dyDescent="0.3">
      <c r="A2755" s="14">
        <v>45043</v>
      </c>
      <c r="B2755" s="15">
        <v>45043</v>
      </c>
      <c r="C2755" s="16">
        <v>5199038</v>
      </c>
      <c r="D2755" s="10">
        <f>PrincipalesVariables[[#This Row],[Base monetaria]]/1000000</f>
        <v>5.1990379999999998</v>
      </c>
      <c r="E2755" s="10">
        <v>222.02</v>
      </c>
      <c r="F2755" s="11">
        <v>36104</v>
      </c>
      <c r="H2755" s="12">
        <f>(PrincipalesVariables[[#This Row],[Base monetaria]]-C2754)/C2754</f>
        <v>1.3710633452401378E-2</v>
      </c>
      <c r="I2755" s="12">
        <f>(PrincipalesVariables[[#This Row],[Dólar  mayorista]]-E2754)/E2754</f>
        <v>2.1214172872940592E-3</v>
      </c>
      <c r="J2755" s="12">
        <f>(PrincipalesVariables[[#This Row],[Reservas internacionales]]-F2754)/F2754</f>
        <v>-6.8768223579248498E-3</v>
      </c>
    </row>
    <row r="2756" spans="1:10" ht="15.75" thickBot="1" x14ac:dyDescent="0.3">
      <c r="A2756" s="14">
        <v>45044</v>
      </c>
      <c r="B2756" s="15">
        <v>45044</v>
      </c>
      <c r="C2756" s="16">
        <v>5366598</v>
      </c>
      <c r="D2756" s="10">
        <f>PrincipalesVariables[[#This Row],[Base monetaria]]/1000000</f>
        <v>5.3665979999999998</v>
      </c>
      <c r="E2756" s="10">
        <v>222.58</v>
      </c>
      <c r="F2756" s="11">
        <v>35001</v>
      </c>
      <c r="H2756" s="12">
        <f>(PrincipalesVariables[[#This Row],[Base monetaria]]-C2755)/C2755</f>
        <v>3.2229039295346561E-2</v>
      </c>
      <c r="I2756" s="12">
        <f>(PrincipalesVariables[[#This Row],[Dólar  mayorista]]-E2755)/E2755</f>
        <v>2.5222952887127385E-3</v>
      </c>
      <c r="J2756" s="12">
        <f>(PrincipalesVariables[[#This Row],[Reservas internacionales]]-F2755)/F2755</f>
        <v>-3.0550631508974076E-2</v>
      </c>
    </row>
    <row r="2757" spans="1:10" ht="15.75" thickBot="1" x14ac:dyDescent="0.3">
      <c r="A2757" s="14">
        <v>45048</v>
      </c>
      <c r="B2757" s="15">
        <v>45048</v>
      </c>
      <c r="C2757" s="16">
        <v>5416665</v>
      </c>
      <c r="D2757" s="10">
        <f>PrincipalesVariables[[#This Row],[Base monetaria]]/1000000</f>
        <v>5.4166650000000001</v>
      </c>
      <c r="E2757" s="10">
        <v>224.63</v>
      </c>
      <c r="F2757" s="11">
        <v>35080</v>
      </c>
      <c r="H2757" s="12">
        <f>(PrincipalesVariables[[#This Row],[Base monetaria]]-C2756)/C2756</f>
        <v>9.3293740280155132E-3</v>
      </c>
      <c r="I2757" s="12">
        <f>(PrincipalesVariables[[#This Row],[Dólar  mayorista]]-E2756)/E2756</f>
        <v>9.2101716236857884E-3</v>
      </c>
      <c r="J2757" s="12">
        <f>(PrincipalesVariables[[#This Row],[Reservas internacionales]]-F2756)/F2756</f>
        <v>2.2570783691894516E-3</v>
      </c>
    </row>
    <row r="2758" spans="1:10" ht="15.75" thickBot="1" x14ac:dyDescent="0.3">
      <c r="A2758" s="14">
        <v>45049</v>
      </c>
      <c r="B2758" s="15">
        <v>45049</v>
      </c>
      <c r="C2758" s="16">
        <v>5430562</v>
      </c>
      <c r="D2758" s="10">
        <f>PrincipalesVariables[[#This Row],[Base monetaria]]/1000000</f>
        <v>5.4305620000000001</v>
      </c>
      <c r="E2758" s="10">
        <v>225.09</v>
      </c>
      <c r="F2758" s="11">
        <v>34891</v>
      </c>
      <c r="H2758" s="12">
        <f>(PrincipalesVariables[[#This Row],[Base monetaria]]-C2757)/C2757</f>
        <v>2.5656007894156274E-3</v>
      </c>
      <c r="I2758" s="12">
        <f>(PrincipalesVariables[[#This Row],[Dólar  mayorista]]-E2757)/E2757</f>
        <v>2.0478119574411607E-3</v>
      </c>
      <c r="J2758" s="12">
        <f>(PrincipalesVariables[[#This Row],[Reservas internacionales]]-F2757)/F2757</f>
        <v>-5.3876852907639682E-3</v>
      </c>
    </row>
    <row r="2759" spans="1:10" ht="15.75" thickBot="1" x14ac:dyDescent="0.3">
      <c r="A2759" s="14">
        <v>45050</v>
      </c>
      <c r="B2759" s="15">
        <v>45050</v>
      </c>
      <c r="C2759" s="16">
        <v>5478224</v>
      </c>
      <c r="D2759" s="10">
        <f>PrincipalesVariables[[#This Row],[Base monetaria]]/1000000</f>
        <v>5.478224</v>
      </c>
      <c r="E2759" s="10">
        <v>225.66</v>
      </c>
      <c r="F2759" s="11">
        <v>34130</v>
      </c>
      <c r="H2759" s="12">
        <f>(PrincipalesVariables[[#This Row],[Base monetaria]]-C2758)/C2758</f>
        <v>8.7766238558734805E-3</v>
      </c>
      <c r="I2759" s="12">
        <f>(PrincipalesVariables[[#This Row],[Dólar  mayorista]]-E2758)/E2758</f>
        <v>2.5323204051712345E-3</v>
      </c>
      <c r="J2759" s="12">
        <f>(PrincipalesVariables[[#This Row],[Reservas internacionales]]-F2758)/F2758</f>
        <v>-2.1810782150124674E-2</v>
      </c>
    </row>
    <row r="2760" spans="1:10" ht="15.75" thickBot="1" x14ac:dyDescent="0.3">
      <c r="A2760" s="14">
        <v>45051</v>
      </c>
      <c r="B2760" s="15">
        <v>45051</v>
      </c>
      <c r="C2760" s="16">
        <v>5476394</v>
      </c>
      <c r="D2760" s="10">
        <f>PrincipalesVariables[[#This Row],[Base monetaria]]/1000000</f>
        <v>5.476394</v>
      </c>
      <c r="E2760" s="10">
        <v>226.19</v>
      </c>
      <c r="F2760" s="11">
        <v>34008</v>
      </c>
      <c r="H2760" s="12">
        <f>(PrincipalesVariables[[#This Row],[Base monetaria]]-C2759)/C2759</f>
        <v>-3.3404986725624945E-4</v>
      </c>
      <c r="I2760" s="12">
        <f>(PrincipalesVariables[[#This Row],[Dólar  mayorista]]-E2759)/E2759</f>
        <v>2.3486661348932074E-3</v>
      </c>
      <c r="J2760" s="12">
        <f>(PrincipalesVariables[[#This Row],[Reservas internacionales]]-F2759)/F2759</f>
        <v>-3.5745678288895402E-3</v>
      </c>
    </row>
    <row r="2761" spans="1:10" ht="15.75" thickBot="1" x14ac:dyDescent="0.3">
      <c r="A2761" s="14">
        <v>45054</v>
      </c>
      <c r="B2761" s="15">
        <v>45054</v>
      </c>
      <c r="C2761" s="16">
        <v>5440958</v>
      </c>
      <c r="D2761" s="10">
        <f>PrincipalesVariables[[#This Row],[Base monetaria]]/1000000</f>
        <v>5.4409580000000002</v>
      </c>
      <c r="E2761" s="10">
        <v>227.58</v>
      </c>
      <c r="F2761" s="11">
        <v>33944</v>
      </c>
      <c r="H2761" s="12">
        <f>(PrincipalesVariables[[#This Row],[Base monetaria]]-C2760)/C2760</f>
        <v>-6.4706812548549287E-3</v>
      </c>
      <c r="I2761" s="12">
        <f>(PrincipalesVariables[[#This Row],[Dólar  mayorista]]-E2760)/E2760</f>
        <v>6.1452760953181612E-3</v>
      </c>
      <c r="J2761" s="12">
        <f>(PrincipalesVariables[[#This Row],[Reservas internacionales]]-F2760)/F2760</f>
        <v>-1.8819101387908728E-3</v>
      </c>
    </row>
    <row r="2762" spans="1:10" ht="15.75" thickBot="1" x14ac:dyDescent="0.3">
      <c r="A2762" s="14">
        <v>45055</v>
      </c>
      <c r="B2762" s="15">
        <v>45055</v>
      </c>
      <c r="C2762" s="16">
        <v>5472937</v>
      </c>
      <c r="D2762" s="10">
        <f>PrincipalesVariables[[#This Row],[Base monetaria]]/1000000</f>
        <v>5.4729369999999999</v>
      </c>
      <c r="E2762" s="10">
        <v>228.06</v>
      </c>
      <c r="F2762" s="11">
        <v>33850</v>
      </c>
      <c r="H2762" s="12">
        <f>(PrincipalesVariables[[#This Row],[Base monetaria]]-C2761)/C2761</f>
        <v>5.8774576094871526E-3</v>
      </c>
      <c r="I2762" s="12">
        <f>(PrincipalesVariables[[#This Row],[Dólar  mayorista]]-E2761)/E2761</f>
        <v>2.1091484313208093E-3</v>
      </c>
      <c r="J2762" s="12">
        <f>(PrincipalesVariables[[#This Row],[Reservas internacionales]]-F2761)/F2761</f>
        <v>-2.7692670280461936E-3</v>
      </c>
    </row>
    <row r="2763" spans="1:10" ht="15.75" thickBot="1" x14ac:dyDescent="0.3">
      <c r="A2763" s="14">
        <v>45056</v>
      </c>
      <c r="B2763" s="15">
        <v>45056</v>
      </c>
      <c r="C2763" s="16">
        <v>5421014</v>
      </c>
      <c r="D2763" s="10">
        <f>PrincipalesVariables[[#This Row],[Base monetaria]]/1000000</f>
        <v>5.4210140000000004</v>
      </c>
      <c r="E2763" s="10">
        <v>228.51</v>
      </c>
      <c r="F2763" s="11">
        <v>33723</v>
      </c>
      <c r="H2763" s="12">
        <f>(PrincipalesVariables[[#This Row],[Base monetaria]]-C2762)/C2762</f>
        <v>-9.4872277901243886E-3</v>
      </c>
      <c r="I2763" s="12">
        <f>(PrincipalesVariables[[#This Row],[Dólar  mayorista]]-E2762)/E2762</f>
        <v>1.9731649565903212E-3</v>
      </c>
      <c r="J2763" s="12">
        <f>(PrincipalesVariables[[#This Row],[Reservas internacionales]]-F2762)/F2762</f>
        <v>-3.7518463810930578E-3</v>
      </c>
    </row>
    <row r="2764" spans="1:10" ht="15.75" thickBot="1" x14ac:dyDescent="0.3">
      <c r="A2764" s="14">
        <v>45057</v>
      </c>
      <c r="B2764" s="15">
        <v>45057</v>
      </c>
      <c r="C2764" s="16">
        <v>5412781</v>
      </c>
      <c r="D2764" s="10">
        <f>PrincipalesVariables[[#This Row],[Base monetaria]]/1000000</f>
        <v>5.4127809999999998</v>
      </c>
      <c r="E2764" s="10">
        <v>228.99</v>
      </c>
      <c r="F2764" s="11">
        <v>33631</v>
      </c>
      <c r="H2764" s="12">
        <f>(PrincipalesVariables[[#This Row],[Base monetaria]]-C2763)/C2763</f>
        <v>-1.5187195605840531E-3</v>
      </c>
      <c r="I2764" s="12">
        <f>(PrincipalesVariables[[#This Row],[Dólar  mayorista]]-E2763)/E2763</f>
        <v>2.1005645267166348E-3</v>
      </c>
      <c r="J2764" s="12">
        <f>(PrincipalesVariables[[#This Row],[Reservas internacionales]]-F2763)/F2763</f>
        <v>-2.7281084126560507E-3</v>
      </c>
    </row>
    <row r="2765" spans="1:10" ht="15.75" thickBot="1" x14ac:dyDescent="0.3">
      <c r="A2765" s="14">
        <v>45058</v>
      </c>
      <c r="B2765" s="15">
        <v>45058</v>
      </c>
      <c r="C2765" s="16">
        <v>5333389</v>
      </c>
      <c r="D2765" s="10">
        <f>PrincipalesVariables[[#This Row],[Base monetaria]]/1000000</f>
        <v>5.3333890000000004</v>
      </c>
      <c r="E2765" s="10">
        <v>229.33</v>
      </c>
      <c r="F2765" s="11">
        <v>33588</v>
      </c>
      <c r="H2765" s="12">
        <f>(PrincipalesVariables[[#This Row],[Base monetaria]]-C2764)/C2764</f>
        <v>-1.4667506407519536E-2</v>
      </c>
      <c r="I2765" s="12">
        <f>(PrincipalesVariables[[#This Row],[Dólar  mayorista]]-E2764)/E2764</f>
        <v>1.4847809948032814E-3</v>
      </c>
      <c r="J2765" s="12">
        <f>(PrincipalesVariables[[#This Row],[Reservas internacionales]]-F2764)/F2764</f>
        <v>-1.2785822604144985E-3</v>
      </c>
    </row>
    <row r="2766" spans="1:10" ht="15.75" thickBot="1" x14ac:dyDescent="0.3">
      <c r="A2766" s="14">
        <v>45061</v>
      </c>
      <c r="B2766" s="15">
        <v>45061</v>
      </c>
      <c r="C2766" s="16">
        <v>5273469</v>
      </c>
      <c r="D2766" s="10">
        <f>PrincipalesVariables[[#This Row],[Base monetaria]]/1000000</f>
        <v>5.2734690000000004</v>
      </c>
      <c r="E2766" s="10">
        <v>230.64</v>
      </c>
      <c r="F2766" s="11">
        <v>33481</v>
      </c>
      <c r="H2766" s="12">
        <f>(PrincipalesVariables[[#This Row],[Base monetaria]]-C2765)/C2765</f>
        <v>-1.1234882735911444E-2</v>
      </c>
      <c r="I2766" s="12">
        <f>(PrincipalesVariables[[#This Row],[Dólar  mayorista]]-E2765)/E2765</f>
        <v>5.7122923298302611E-3</v>
      </c>
      <c r="J2766" s="12">
        <f>(PrincipalesVariables[[#This Row],[Reservas internacionales]]-F2765)/F2765</f>
        <v>-3.1856615457901633E-3</v>
      </c>
    </row>
    <row r="2767" spans="1:10" ht="15.75" thickBot="1" x14ac:dyDescent="0.3">
      <c r="A2767" s="14">
        <v>45062</v>
      </c>
      <c r="B2767" s="15">
        <v>45062</v>
      </c>
      <c r="C2767" s="16">
        <v>5263952</v>
      </c>
      <c r="D2767" s="10">
        <f>PrincipalesVariables[[#This Row],[Base monetaria]]/1000000</f>
        <v>5.2639519999999997</v>
      </c>
      <c r="E2767" s="10">
        <v>231.18</v>
      </c>
      <c r="F2767" s="11">
        <v>33350</v>
      </c>
      <c r="H2767" s="12">
        <f>(PrincipalesVariables[[#This Row],[Base monetaria]]-C2766)/C2766</f>
        <v>-1.8046944051439385E-3</v>
      </c>
      <c r="I2767" s="12">
        <f>(PrincipalesVariables[[#This Row],[Dólar  mayorista]]-E2766)/E2766</f>
        <v>2.3413111342352605E-3</v>
      </c>
      <c r="J2767" s="12">
        <f>(PrincipalesVariables[[#This Row],[Reservas internacionales]]-F2766)/F2766</f>
        <v>-3.9126668856963647E-3</v>
      </c>
    </row>
    <row r="2768" spans="1:10" ht="15.75" thickBot="1" x14ac:dyDescent="0.3">
      <c r="A2768" s="14">
        <v>45063</v>
      </c>
      <c r="B2768" s="15">
        <v>45063</v>
      </c>
      <c r="C2768" s="16">
        <v>5234152</v>
      </c>
      <c r="D2768" s="10">
        <f>PrincipalesVariables[[#This Row],[Base monetaria]]/1000000</f>
        <v>5.2341519999999999</v>
      </c>
      <c r="E2768" s="10">
        <v>231.65</v>
      </c>
      <c r="F2768" s="11">
        <v>33298</v>
      </c>
      <c r="H2768" s="12">
        <f>(PrincipalesVariables[[#This Row],[Base monetaria]]-C2767)/C2767</f>
        <v>-5.6611458463147078E-3</v>
      </c>
      <c r="I2768" s="12">
        <f>(PrincipalesVariables[[#This Row],[Dólar  mayorista]]-E2767)/E2767</f>
        <v>2.0330478415087759E-3</v>
      </c>
      <c r="J2768" s="12">
        <f>(PrincipalesVariables[[#This Row],[Reservas internacionales]]-F2767)/F2767</f>
        <v>-1.5592203898050975E-3</v>
      </c>
    </row>
    <row r="2769" spans="1:10" ht="15.75" thickBot="1" x14ac:dyDescent="0.3">
      <c r="A2769" s="14">
        <v>45064</v>
      </c>
      <c r="B2769" s="15">
        <v>45064</v>
      </c>
      <c r="C2769" s="16">
        <v>5285106</v>
      </c>
      <c r="D2769" s="10">
        <f>PrincipalesVariables[[#This Row],[Base monetaria]]/1000000</f>
        <v>5.2851059999999999</v>
      </c>
      <c r="E2769" s="10">
        <v>232.24</v>
      </c>
      <c r="F2769" s="11">
        <v>33132</v>
      </c>
      <c r="H2769" s="12">
        <f>(PrincipalesVariables[[#This Row],[Base monetaria]]-C2768)/C2768</f>
        <v>9.7349102586245101E-3</v>
      </c>
      <c r="I2769" s="12">
        <f>(PrincipalesVariables[[#This Row],[Dólar  mayorista]]-E2768)/E2768</f>
        <v>2.5469458234405498E-3</v>
      </c>
      <c r="J2769" s="12">
        <f>(PrincipalesVariables[[#This Row],[Reservas internacionales]]-F2768)/F2768</f>
        <v>-4.9852844014655531E-3</v>
      </c>
    </row>
    <row r="2770" spans="1:10" ht="15.75" thickBot="1" x14ac:dyDescent="0.3">
      <c r="A2770" s="14">
        <v>45065</v>
      </c>
      <c r="B2770" s="15">
        <v>45065</v>
      </c>
      <c r="C2770" s="16">
        <v>5292371</v>
      </c>
      <c r="D2770" s="10">
        <f>PrincipalesVariables[[#This Row],[Base monetaria]]/1000000</f>
        <v>5.2923710000000002</v>
      </c>
      <c r="E2770" s="10">
        <v>232.74</v>
      </c>
      <c r="F2770" s="11">
        <v>33159</v>
      </c>
      <c r="H2770" s="12">
        <f>(PrincipalesVariables[[#This Row],[Base monetaria]]-C2769)/C2769</f>
        <v>1.3746176519449185E-3</v>
      </c>
      <c r="I2770" s="12">
        <f>(PrincipalesVariables[[#This Row],[Dólar  mayorista]]-E2769)/E2769</f>
        <v>2.1529452290733721E-3</v>
      </c>
      <c r="J2770" s="12">
        <f>(PrincipalesVariables[[#This Row],[Reservas internacionales]]-F2769)/F2769</f>
        <v>8.1492212966316555E-4</v>
      </c>
    </row>
    <row r="2771" spans="1:10" ht="15.75" thickBot="1" x14ac:dyDescent="0.3">
      <c r="A2771" s="14">
        <v>45068</v>
      </c>
      <c r="B2771" s="15">
        <v>45068</v>
      </c>
      <c r="C2771" s="16">
        <v>5330932</v>
      </c>
      <c r="D2771" s="10">
        <f>PrincipalesVariables[[#This Row],[Base monetaria]]/1000000</f>
        <v>5.3309319999999998</v>
      </c>
      <c r="E2771" s="10">
        <v>234.41</v>
      </c>
      <c r="F2771" s="11">
        <v>33062</v>
      </c>
      <c r="H2771" s="12">
        <f>(PrincipalesVariables[[#This Row],[Base monetaria]]-C2770)/C2770</f>
        <v>7.2861483066852268E-3</v>
      </c>
      <c r="I2771" s="12">
        <f>(PrincipalesVariables[[#This Row],[Dólar  mayorista]]-E2770)/E2770</f>
        <v>7.175388845922435E-3</v>
      </c>
      <c r="J2771" s="12">
        <f>(PrincipalesVariables[[#This Row],[Reservas internacionales]]-F2770)/F2770</f>
        <v>-2.925299315419645E-3</v>
      </c>
    </row>
    <row r="2772" spans="1:10" ht="15.75" thickBot="1" x14ac:dyDescent="0.3">
      <c r="A2772" s="14">
        <v>45069</v>
      </c>
      <c r="B2772" s="15">
        <v>45069</v>
      </c>
      <c r="C2772" s="16">
        <v>5361625</v>
      </c>
      <c r="D2772" s="10">
        <f>PrincipalesVariables[[#This Row],[Base monetaria]]/1000000</f>
        <v>5.3616250000000001</v>
      </c>
      <c r="E2772" s="10">
        <v>234.92</v>
      </c>
      <c r="F2772" s="11">
        <v>32910</v>
      </c>
      <c r="H2772" s="12">
        <f>(PrincipalesVariables[[#This Row],[Base monetaria]]-C2771)/C2771</f>
        <v>5.7575298278049695E-3</v>
      </c>
      <c r="I2772" s="12">
        <f>(PrincipalesVariables[[#This Row],[Dólar  mayorista]]-E2771)/E2771</f>
        <v>2.1756750991851494E-3</v>
      </c>
      <c r="J2772" s="12">
        <f>(PrincipalesVariables[[#This Row],[Reservas internacionales]]-F2771)/F2771</f>
        <v>-4.5974230234105623E-3</v>
      </c>
    </row>
    <row r="2773" spans="1:10" ht="15.75" thickBot="1" x14ac:dyDescent="0.3">
      <c r="A2773" s="14">
        <v>45070</v>
      </c>
      <c r="B2773" s="15">
        <v>45070</v>
      </c>
      <c r="C2773" s="16">
        <v>5430191</v>
      </c>
      <c r="D2773" s="10">
        <f>PrincipalesVariables[[#This Row],[Base monetaria]]/1000000</f>
        <v>5.4301909999999998</v>
      </c>
      <c r="E2773" s="10">
        <v>235.63</v>
      </c>
      <c r="F2773" s="11">
        <v>32966</v>
      </c>
      <c r="H2773" s="12">
        <f>(PrincipalesVariables[[#This Row],[Base monetaria]]-C2772)/C2772</f>
        <v>1.278828713309864E-2</v>
      </c>
      <c r="I2773" s="12">
        <f>(PrincipalesVariables[[#This Row],[Dólar  mayorista]]-E2772)/E2772</f>
        <v>3.0223054656904817E-3</v>
      </c>
      <c r="J2773" s="12">
        <f>(PrincipalesVariables[[#This Row],[Reservas internacionales]]-F2772)/F2772</f>
        <v>1.701610452749924E-3</v>
      </c>
    </row>
    <row r="2774" spans="1:10" ht="15.75" thickBot="1" x14ac:dyDescent="0.3">
      <c r="A2774" s="14">
        <v>45075</v>
      </c>
      <c r="B2774" s="15">
        <v>45075</v>
      </c>
      <c r="C2774" s="16">
        <v>5443888</v>
      </c>
      <c r="D2774" s="10">
        <f>PrincipalesVariables[[#This Row],[Base monetaria]]/1000000</f>
        <v>5.4438880000000003</v>
      </c>
      <c r="E2774" s="10">
        <v>238.26</v>
      </c>
      <c r="F2774" s="11">
        <v>32883</v>
      </c>
      <c r="H2774" s="12">
        <f>(PrincipalesVariables[[#This Row],[Base monetaria]]-C2773)/C2773</f>
        <v>2.5223790470721933E-3</v>
      </c>
      <c r="I2774" s="12">
        <f>(PrincipalesVariables[[#This Row],[Dólar  mayorista]]-E2773)/E2773</f>
        <v>1.1161566863302616E-2</v>
      </c>
      <c r="J2774" s="12">
        <f>(PrincipalesVariables[[#This Row],[Reservas internacionales]]-F2773)/F2773</f>
        <v>-2.5177455560274221E-3</v>
      </c>
    </row>
    <row r="2775" spans="1:10" ht="15.75" thickBot="1" x14ac:dyDescent="0.3">
      <c r="A2775" s="14">
        <v>45076</v>
      </c>
      <c r="B2775" s="15">
        <v>45076</v>
      </c>
      <c r="C2775" s="16">
        <v>5509915</v>
      </c>
      <c r="D2775" s="10">
        <f>PrincipalesVariables[[#This Row],[Base monetaria]]/1000000</f>
        <v>5.5099150000000003</v>
      </c>
      <c r="E2775" s="10">
        <v>238.79</v>
      </c>
      <c r="F2775" s="11">
        <v>32813</v>
      </c>
      <c r="H2775" s="12">
        <f>(PrincipalesVariables[[#This Row],[Base monetaria]]-C2774)/C2774</f>
        <v>1.2128647760571121E-2</v>
      </c>
      <c r="I2775" s="12">
        <f>(PrincipalesVariables[[#This Row],[Dólar  mayorista]]-E2774)/E2774</f>
        <v>2.2244606732141408E-3</v>
      </c>
      <c r="J2775" s="12">
        <f>(PrincipalesVariables[[#This Row],[Reservas internacionales]]-F2774)/F2774</f>
        <v>-2.1287595414043732E-3</v>
      </c>
    </row>
    <row r="2776" spans="1:10" ht="15.75" thickBot="1" x14ac:dyDescent="0.3">
      <c r="A2776" s="14">
        <v>45077</v>
      </c>
      <c r="B2776" s="15">
        <v>45077</v>
      </c>
      <c r="C2776" s="16">
        <v>5576415</v>
      </c>
      <c r="D2776" s="10">
        <f>PrincipalesVariables[[#This Row],[Base monetaria]]/1000000</f>
        <v>5.5764149999999999</v>
      </c>
      <c r="E2776" s="10">
        <v>239.33</v>
      </c>
      <c r="F2776" s="11">
        <v>33001</v>
      </c>
      <c r="H2776" s="12">
        <f>(PrincipalesVariables[[#This Row],[Base monetaria]]-C2775)/C2775</f>
        <v>1.2069151701977254E-2</v>
      </c>
      <c r="I2776" s="12">
        <f>(PrincipalesVariables[[#This Row],[Dólar  mayorista]]-E2775)/E2775</f>
        <v>2.2614012312074227E-3</v>
      </c>
      <c r="J2776" s="12">
        <f>(PrincipalesVariables[[#This Row],[Reservas internacionales]]-F2775)/F2775</f>
        <v>5.7294365038247034E-3</v>
      </c>
    </row>
    <row r="2777" spans="1:10" ht="15.75" thickBot="1" x14ac:dyDescent="0.3">
      <c r="A2777" s="14">
        <v>45078</v>
      </c>
      <c r="B2777" s="15">
        <v>45078</v>
      </c>
      <c r="C2777" s="16">
        <v>5573308</v>
      </c>
      <c r="D2777" s="10">
        <f>PrincipalesVariables[[#This Row],[Base monetaria]]/1000000</f>
        <v>5.5733079999999999</v>
      </c>
      <c r="E2777" s="10">
        <v>240.07</v>
      </c>
      <c r="F2777" s="11">
        <v>33067</v>
      </c>
      <c r="H2777" s="12">
        <f>(PrincipalesVariables[[#This Row],[Base monetaria]]-C2776)/C2776</f>
        <v>-5.5716800130549827E-4</v>
      </c>
      <c r="I2777" s="12">
        <f>(PrincipalesVariables[[#This Row],[Dólar  mayorista]]-E2776)/E2776</f>
        <v>3.0919650691513E-3</v>
      </c>
      <c r="J2777" s="12">
        <f>(PrincipalesVariables[[#This Row],[Reservas internacionales]]-F2776)/F2776</f>
        <v>1.9999393957758856E-3</v>
      </c>
    </row>
    <row r="2778" spans="1:10" ht="15.75" thickBot="1" x14ac:dyDescent="0.3">
      <c r="A2778" s="14">
        <v>45079</v>
      </c>
      <c r="B2778" s="15">
        <v>45079</v>
      </c>
      <c r="C2778" s="16">
        <v>5571820</v>
      </c>
      <c r="D2778" s="10">
        <f>PrincipalesVariables[[#This Row],[Base monetaria]]/1000000</f>
        <v>5.5718199999999998</v>
      </c>
      <c r="E2778" s="10">
        <v>240.74</v>
      </c>
      <c r="F2778" s="11">
        <v>32998</v>
      </c>
      <c r="H2778" s="12">
        <f>(PrincipalesVariables[[#This Row],[Base monetaria]]-C2777)/C2777</f>
        <v>-2.6698685950964849E-4</v>
      </c>
      <c r="I2778" s="12">
        <f>(PrincipalesVariables[[#This Row],[Dólar  mayorista]]-E2777)/E2777</f>
        <v>2.7908526679719077E-3</v>
      </c>
      <c r="J2778" s="12">
        <f>(PrincipalesVariables[[#This Row],[Reservas internacionales]]-F2777)/F2777</f>
        <v>-2.0866725133819215E-3</v>
      </c>
    </row>
    <row r="2779" spans="1:10" ht="15.75" thickBot="1" x14ac:dyDescent="0.3">
      <c r="A2779" s="14">
        <v>45082</v>
      </c>
      <c r="B2779" s="15">
        <v>45082</v>
      </c>
      <c r="C2779" s="16">
        <v>5427133</v>
      </c>
      <c r="D2779" s="10">
        <f>PrincipalesVariables[[#This Row],[Base monetaria]]/1000000</f>
        <v>5.4271330000000004</v>
      </c>
      <c r="E2779" s="10">
        <v>242.55</v>
      </c>
      <c r="F2779" s="11">
        <v>33011</v>
      </c>
      <c r="H2779" s="12">
        <f>(PrincipalesVariables[[#This Row],[Base monetaria]]-C2778)/C2778</f>
        <v>-2.5967637145492856E-2</v>
      </c>
      <c r="I2779" s="12">
        <f>(PrincipalesVariables[[#This Row],[Dólar  mayorista]]-E2778)/E2778</f>
        <v>7.5184846722605395E-3</v>
      </c>
      <c r="J2779" s="12">
        <f>(PrincipalesVariables[[#This Row],[Reservas internacionales]]-F2778)/F2778</f>
        <v>3.9396327050124249E-4</v>
      </c>
    </row>
    <row r="2780" spans="1:10" ht="15.75" thickBot="1" x14ac:dyDescent="0.3">
      <c r="A2780" s="14">
        <v>45083</v>
      </c>
      <c r="B2780" s="15">
        <v>45083</v>
      </c>
      <c r="C2780" s="16">
        <v>5457906</v>
      </c>
      <c r="D2780" s="10">
        <f>PrincipalesVariables[[#This Row],[Base monetaria]]/1000000</f>
        <v>5.4579060000000004</v>
      </c>
      <c r="E2780" s="10">
        <v>243.18</v>
      </c>
      <c r="F2780" s="11">
        <v>32871</v>
      </c>
      <c r="H2780" s="12">
        <f>(PrincipalesVariables[[#This Row],[Base monetaria]]-C2779)/C2779</f>
        <v>5.6702129835402961E-3</v>
      </c>
      <c r="I2780" s="12">
        <f>(PrincipalesVariables[[#This Row],[Dólar  mayorista]]-E2779)/E2779</f>
        <v>2.5974025974025783E-3</v>
      </c>
      <c r="J2780" s="12">
        <f>(PrincipalesVariables[[#This Row],[Reservas internacionales]]-F2779)/F2779</f>
        <v>-4.2410105722334984E-3</v>
      </c>
    </row>
    <row r="2781" spans="1:10" ht="15.75" thickBot="1" x14ac:dyDescent="0.3">
      <c r="A2781" s="14">
        <v>45084</v>
      </c>
      <c r="B2781" s="15">
        <v>45084</v>
      </c>
      <c r="C2781" s="16">
        <v>5477219</v>
      </c>
      <c r="D2781" s="10">
        <f>PrincipalesVariables[[#This Row],[Base monetaria]]/1000000</f>
        <v>5.4772189999999998</v>
      </c>
      <c r="E2781" s="10">
        <v>243.81</v>
      </c>
      <c r="F2781" s="11">
        <v>32725</v>
      </c>
      <c r="H2781" s="12">
        <f>(PrincipalesVariables[[#This Row],[Base monetaria]]-C2780)/C2780</f>
        <v>3.5385365742832508E-3</v>
      </c>
      <c r="I2781" s="12">
        <f>(PrincipalesVariables[[#This Row],[Dólar  mayorista]]-E2780)/E2780</f>
        <v>2.5906735751295147E-3</v>
      </c>
      <c r="J2781" s="12">
        <f>(PrincipalesVariables[[#This Row],[Reservas internacionales]]-F2780)/F2780</f>
        <v>-4.4416050622128932E-3</v>
      </c>
    </row>
    <row r="2782" spans="1:10" ht="15.75" thickBot="1" x14ac:dyDescent="0.3">
      <c r="A2782" s="14">
        <v>45085</v>
      </c>
      <c r="B2782" s="15">
        <v>45085</v>
      </c>
      <c r="C2782" s="16">
        <v>5507425</v>
      </c>
      <c r="D2782" s="10">
        <f>PrincipalesVariables[[#This Row],[Base monetaria]]/1000000</f>
        <v>5.5074249999999996</v>
      </c>
      <c r="E2782" s="10">
        <v>244.33</v>
      </c>
      <c r="F2782" s="11">
        <v>32680</v>
      </c>
      <c r="H2782" s="12">
        <f>(PrincipalesVariables[[#This Row],[Base monetaria]]-C2781)/C2781</f>
        <v>5.5148424775419789E-3</v>
      </c>
      <c r="I2782" s="12">
        <f>(PrincipalesVariables[[#This Row],[Dólar  mayorista]]-E2781)/E2781</f>
        <v>2.1328083343587637E-3</v>
      </c>
      <c r="J2782" s="12">
        <f>(PrincipalesVariables[[#This Row],[Reservas internacionales]]-F2781)/F2781</f>
        <v>-1.3750954927425516E-3</v>
      </c>
    </row>
    <row r="2783" spans="1:10" ht="15.75" thickBot="1" x14ac:dyDescent="0.3">
      <c r="A2783" s="14">
        <v>45086</v>
      </c>
      <c r="B2783" s="15">
        <v>45086</v>
      </c>
      <c r="C2783" s="16">
        <v>5571029</v>
      </c>
      <c r="D2783" s="10">
        <f>PrincipalesVariables[[#This Row],[Base monetaria]]/1000000</f>
        <v>5.5710290000000002</v>
      </c>
      <c r="E2783" s="10">
        <v>244.97</v>
      </c>
      <c r="F2783" s="11">
        <v>32488</v>
      </c>
      <c r="H2783" s="12">
        <f>(PrincipalesVariables[[#This Row],[Base monetaria]]-C2782)/C2782</f>
        <v>1.1548772793092962E-2</v>
      </c>
      <c r="I2783" s="12">
        <f>(PrincipalesVariables[[#This Row],[Dólar  mayorista]]-E2782)/E2782</f>
        <v>2.6194081774648481E-3</v>
      </c>
      <c r="J2783" s="12">
        <f>(PrincipalesVariables[[#This Row],[Reservas internacionales]]-F2782)/F2782</f>
        <v>-5.8751529987760096E-3</v>
      </c>
    </row>
    <row r="2784" spans="1:10" ht="15.75" thickBot="1" x14ac:dyDescent="0.3">
      <c r="A2784" s="14">
        <v>45089</v>
      </c>
      <c r="B2784" s="15">
        <v>45089</v>
      </c>
      <c r="C2784" s="16">
        <v>5639626</v>
      </c>
      <c r="D2784" s="10">
        <f>PrincipalesVariables[[#This Row],[Base monetaria]]/1000000</f>
        <v>5.6396259999999998</v>
      </c>
      <c r="E2784" s="10">
        <v>246.78</v>
      </c>
      <c r="F2784" s="11">
        <v>32363</v>
      </c>
      <c r="H2784" s="12">
        <f>(PrincipalesVariables[[#This Row],[Base monetaria]]-C2783)/C2783</f>
        <v>1.231316512622713E-2</v>
      </c>
      <c r="I2784" s="12">
        <f>(PrincipalesVariables[[#This Row],[Dólar  mayorista]]-E2783)/E2783</f>
        <v>7.3886598358982826E-3</v>
      </c>
      <c r="J2784" s="12">
        <f>(PrincipalesVariables[[#This Row],[Reservas internacionales]]-F2783)/F2783</f>
        <v>-3.8475744890421079E-3</v>
      </c>
    </row>
    <row r="2785" spans="1:10" ht="15.75" thickBot="1" x14ac:dyDescent="0.3">
      <c r="A2785" s="14">
        <v>45090</v>
      </c>
      <c r="B2785" s="15">
        <v>45090</v>
      </c>
      <c r="C2785" s="16">
        <v>5632147</v>
      </c>
      <c r="D2785" s="10">
        <f>PrincipalesVariables[[#This Row],[Base monetaria]]/1000000</f>
        <v>5.6321469999999998</v>
      </c>
      <c r="E2785" s="10">
        <v>247.29</v>
      </c>
      <c r="F2785" s="11">
        <v>32366</v>
      </c>
      <c r="H2785" s="12">
        <f>(PrincipalesVariables[[#This Row],[Base monetaria]]-C2784)/C2784</f>
        <v>-1.326151769638625E-3</v>
      </c>
      <c r="I2785" s="12">
        <f>(PrincipalesVariables[[#This Row],[Dólar  mayorista]]-E2784)/E2784</f>
        <v>2.0666180403597976E-3</v>
      </c>
      <c r="J2785" s="12">
        <f>(PrincipalesVariables[[#This Row],[Reservas internacionales]]-F2784)/F2784</f>
        <v>9.2698451935852673E-5</v>
      </c>
    </row>
    <row r="2786" spans="1:10" ht="15.75" thickBot="1" x14ac:dyDescent="0.3">
      <c r="A2786" s="14">
        <v>45091</v>
      </c>
      <c r="B2786" s="15">
        <v>45091</v>
      </c>
      <c r="C2786" s="16">
        <v>5584365</v>
      </c>
      <c r="D2786" s="10">
        <f>PrincipalesVariables[[#This Row],[Base monetaria]]/1000000</f>
        <v>5.584365</v>
      </c>
      <c r="E2786" s="10">
        <v>247.8</v>
      </c>
      <c r="F2786" s="11">
        <v>32336</v>
      </c>
      <c r="H2786" s="12">
        <f>(PrincipalesVariables[[#This Row],[Base monetaria]]-C2785)/C2785</f>
        <v>-8.4837984519935301E-3</v>
      </c>
      <c r="I2786" s="12">
        <f>(PrincipalesVariables[[#This Row],[Dólar  mayorista]]-E2785)/E2785</f>
        <v>2.0623559383720303E-3</v>
      </c>
      <c r="J2786" s="12">
        <f>(PrincipalesVariables[[#This Row],[Reservas internacionales]]-F2785)/F2785</f>
        <v>-9.2689859729345612E-4</v>
      </c>
    </row>
    <row r="2787" spans="1:10" ht="15.75" thickBot="1" x14ac:dyDescent="0.3">
      <c r="A2787" s="14">
        <v>45092</v>
      </c>
      <c r="B2787" s="15">
        <v>45092</v>
      </c>
      <c r="C2787" s="16">
        <v>5597978</v>
      </c>
      <c r="D2787" s="10">
        <f>PrincipalesVariables[[#This Row],[Base monetaria]]/1000000</f>
        <v>5.5979780000000003</v>
      </c>
      <c r="E2787" s="10">
        <v>248.58</v>
      </c>
      <c r="F2787" s="11">
        <v>32141</v>
      </c>
      <c r="H2787" s="12">
        <f>(PrincipalesVariables[[#This Row],[Base monetaria]]-C2786)/C2786</f>
        <v>2.4376988252021491E-3</v>
      </c>
      <c r="I2787" s="12">
        <f>(PrincipalesVariables[[#This Row],[Dólar  mayorista]]-E2786)/E2786</f>
        <v>3.1476997578692538E-3</v>
      </c>
      <c r="J2787" s="12">
        <f>(PrincipalesVariables[[#This Row],[Reservas internacionales]]-F2786)/F2786</f>
        <v>-6.0304304799604158E-3</v>
      </c>
    </row>
    <row r="2788" spans="1:10" ht="15.75" thickBot="1" x14ac:dyDescent="0.3">
      <c r="A2788" s="14">
        <v>45093</v>
      </c>
      <c r="B2788" s="15">
        <v>45093</v>
      </c>
      <c r="C2788" s="16">
        <v>5612396</v>
      </c>
      <c r="D2788" s="10">
        <f>PrincipalesVariables[[#This Row],[Base monetaria]]/1000000</f>
        <v>5.6123960000000004</v>
      </c>
      <c r="E2788" s="10">
        <v>249.16</v>
      </c>
      <c r="F2788" s="11">
        <v>31852</v>
      </c>
      <c r="H2788" s="12">
        <f>(PrincipalesVariables[[#This Row],[Base monetaria]]-C2787)/C2787</f>
        <v>2.5755728229014119E-3</v>
      </c>
      <c r="I2788" s="12">
        <f>(PrincipalesVariables[[#This Row],[Dólar  mayorista]]-E2787)/E2787</f>
        <v>2.3332528763375334E-3</v>
      </c>
      <c r="J2788" s="12">
        <f>(PrincipalesVariables[[#This Row],[Reservas internacionales]]-F2787)/F2787</f>
        <v>-8.9916306275473687E-3</v>
      </c>
    </row>
    <row r="2789" spans="1:10" ht="15.75" thickBot="1" x14ac:dyDescent="0.3">
      <c r="A2789" s="14">
        <v>45098</v>
      </c>
      <c r="B2789" s="15">
        <v>45098</v>
      </c>
      <c r="C2789" s="16">
        <v>5519320</v>
      </c>
      <c r="D2789" s="10">
        <f>PrincipalesVariables[[#This Row],[Base monetaria]]/1000000</f>
        <v>5.5193199999999996</v>
      </c>
      <c r="E2789" s="10">
        <v>252.01</v>
      </c>
      <c r="F2789" s="11">
        <v>31616</v>
      </c>
      <c r="H2789" s="12">
        <f>(PrincipalesVariables[[#This Row],[Base monetaria]]-C2788)/C2788</f>
        <v>-1.658400440738679E-2</v>
      </c>
      <c r="I2789" s="12">
        <f>(PrincipalesVariables[[#This Row],[Dólar  mayorista]]-E2788)/E2788</f>
        <v>1.1438433135334701E-2</v>
      </c>
      <c r="J2789" s="12">
        <f>(PrincipalesVariables[[#This Row],[Reservas internacionales]]-F2788)/F2788</f>
        <v>-7.4092678638704003E-3</v>
      </c>
    </row>
    <row r="2790" spans="1:10" ht="15.75" thickBot="1" x14ac:dyDescent="0.3">
      <c r="A2790" s="14">
        <v>45099</v>
      </c>
      <c r="B2790" s="15">
        <v>45099</v>
      </c>
      <c r="C2790" s="16">
        <v>5600476</v>
      </c>
      <c r="D2790" s="10">
        <f>PrincipalesVariables[[#This Row],[Base monetaria]]/1000000</f>
        <v>5.6004759999999996</v>
      </c>
      <c r="E2790" s="10">
        <v>252.51</v>
      </c>
      <c r="F2790" s="11">
        <v>31455</v>
      </c>
      <c r="H2790" s="12">
        <f>(PrincipalesVariables[[#This Row],[Base monetaria]]-C2789)/C2789</f>
        <v>1.470398527354819E-2</v>
      </c>
      <c r="I2790" s="12">
        <f>(PrincipalesVariables[[#This Row],[Dólar  mayorista]]-E2789)/E2789</f>
        <v>1.98404825205349E-3</v>
      </c>
      <c r="J2790" s="12">
        <f>(PrincipalesVariables[[#This Row],[Reservas internacionales]]-F2789)/F2789</f>
        <v>-5.0923582995951421E-3</v>
      </c>
    </row>
    <row r="2791" spans="1:10" ht="15.75" thickBot="1" x14ac:dyDescent="0.3">
      <c r="A2791" s="14">
        <v>45100</v>
      </c>
      <c r="B2791" s="15">
        <v>45100</v>
      </c>
      <c r="C2791" s="16">
        <v>5688312</v>
      </c>
      <c r="D2791" s="10">
        <f>PrincipalesVariables[[#This Row],[Base monetaria]]/1000000</f>
        <v>5.6883119999999998</v>
      </c>
      <c r="E2791" s="10">
        <v>252.99</v>
      </c>
      <c r="F2791" s="11">
        <v>31279</v>
      </c>
      <c r="H2791" s="12">
        <f>(PrincipalesVariables[[#This Row],[Base monetaria]]-C2790)/C2790</f>
        <v>1.5683666888314494E-2</v>
      </c>
      <c r="I2791" s="12">
        <f>(PrincipalesVariables[[#This Row],[Dólar  mayorista]]-E2790)/E2790</f>
        <v>1.9009148152549136E-3</v>
      </c>
      <c r="J2791" s="12">
        <f>(PrincipalesVariables[[#This Row],[Reservas internacionales]]-F2790)/F2790</f>
        <v>-5.5952948656811316E-3</v>
      </c>
    </row>
    <row r="2792" spans="1:10" ht="15.75" thickBot="1" x14ac:dyDescent="0.3">
      <c r="A2792" s="14">
        <v>45103</v>
      </c>
      <c r="B2792" s="15">
        <v>45103</v>
      </c>
      <c r="C2792" s="16">
        <v>5611926</v>
      </c>
      <c r="D2792" s="10">
        <f>PrincipalesVariables[[#This Row],[Base monetaria]]/1000000</f>
        <v>5.6119260000000004</v>
      </c>
      <c r="E2792" s="10">
        <v>254.54</v>
      </c>
      <c r="F2792" s="11">
        <v>31154</v>
      </c>
      <c r="H2792" s="12">
        <f>(PrincipalesVariables[[#This Row],[Base monetaria]]-C2791)/C2791</f>
        <v>-1.3428588305282832E-2</v>
      </c>
      <c r="I2792" s="12">
        <f>(PrincipalesVariables[[#This Row],[Dólar  mayorista]]-E2791)/E2791</f>
        <v>6.1267243764574998E-3</v>
      </c>
      <c r="J2792" s="12">
        <f>(PrincipalesVariables[[#This Row],[Reservas internacionales]]-F2791)/F2791</f>
        <v>-3.9962914415422488E-3</v>
      </c>
    </row>
    <row r="2793" spans="1:10" ht="15.75" thickBot="1" x14ac:dyDescent="0.3">
      <c r="A2793" s="14">
        <v>45104</v>
      </c>
      <c r="B2793" s="15">
        <v>45104</v>
      </c>
      <c r="C2793" s="16">
        <v>5661657</v>
      </c>
      <c r="D2793" s="10">
        <f>PrincipalesVariables[[#This Row],[Base monetaria]]/1000000</f>
        <v>5.6616569999999999</v>
      </c>
      <c r="E2793" s="10">
        <v>255.17</v>
      </c>
      <c r="F2793" s="11">
        <v>31026</v>
      </c>
      <c r="H2793" s="12">
        <f>(PrincipalesVariables[[#This Row],[Base monetaria]]-C2792)/C2792</f>
        <v>8.8616635358342213E-3</v>
      </c>
      <c r="I2793" s="12">
        <f>(PrincipalesVariables[[#This Row],[Dólar  mayorista]]-E2792)/E2792</f>
        <v>2.4750530368507721E-3</v>
      </c>
      <c r="J2793" s="12">
        <f>(PrincipalesVariables[[#This Row],[Reservas internacionales]]-F2792)/F2792</f>
        <v>-4.1086216858188356E-3</v>
      </c>
    </row>
    <row r="2794" spans="1:10" ht="15.75" thickBot="1" x14ac:dyDescent="0.3">
      <c r="A2794" s="14">
        <v>45105</v>
      </c>
      <c r="B2794" s="15">
        <v>45105</v>
      </c>
      <c r="C2794" s="16">
        <v>5657050</v>
      </c>
      <c r="D2794" s="10">
        <f>PrincipalesVariables[[#This Row],[Base monetaria]]/1000000</f>
        <v>5.6570499999999999</v>
      </c>
      <c r="E2794" s="10">
        <v>255.84</v>
      </c>
      <c r="F2794" s="11">
        <v>30859</v>
      </c>
      <c r="H2794" s="12">
        <f>(PrincipalesVariables[[#This Row],[Base monetaria]]-C2793)/C2793</f>
        <v>-8.1371937579404754E-4</v>
      </c>
      <c r="I2794" s="12">
        <f>(PrincipalesVariables[[#This Row],[Dólar  mayorista]]-E2793)/E2793</f>
        <v>2.6257005133832972E-3</v>
      </c>
      <c r="J2794" s="12">
        <f>(PrincipalesVariables[[#This Row],[Reservas internacionales]]-F2793)/F2793</f>
        <v>-5.3825823502868563E-3</v>
      </c>
    </row>
    <row r="2795" spans="1:10" ht="15.75" thickBot="1" x14ac:dyDescent="0.3">
      <c r="A2795" s="14">
        <v>45106</v>
      </c>
      <c r="B2795" s="15">
        <v>45106</v>
      </c>
      <c r="C2795" s="16">
        <v>5726544</v>
      </c>
      <c r="D2795" s="10">
        <f>PrincipalesVariables[[#This Row],[Base monetaria]]/1000000</f>
        <v>5.7265439999999996</v>
      </c>
      <c r="E2795" s="10">
        <v>256.24</v>
      </c>
      <c r="F2795" s="11">
        <v>30785</v>
      </c>
      <c r="H2795" s="12">
        <f>(PrincipalesVariables[[#This Row],[Base monetaria]]-C2794)/C2794</f>
        <v>1.2284494568723981E-2</v>
      </c>
      <c r="I2795" s="12">
        <f>(PrincipalesVariables[[#This Row],[Dólar  mayorista]]-E2794)/E2794</f>
        <v>1.5634771732332929E-3</v>
      </c>
      <c r="J2795" s="12">
        <f>(PrincipalesVariables[[#This Row],[Reservas internacionales]]-F2794)/F2794</f>
        <v>-2.3980038238439355E-3</v>
      </c>
    </row>
    <row r="2796" spans="1:10" ht="15.75" thickBot="1" x14ac:dyDescent="0.3">
      <c r="A2796" s="14">
        <v>45107</v>
      </c>
      <c r="B2796" s="15">
        <v>45107</v>
      </c>
      <c r="C2796" s="16">
        <v>5885739</v>
      </c>
      <c r="D2796" s="10">
        <f>PrincipalesVariables[[#This Row],[Base monetaria]]/1000000</f>
        <v>5.8857390000000001</v>
      </c>
      <c r="E2796" s="10">
        <v>256.68</v>
      </c>
      <c r="F2796" s="11">
        <v>27926</v>
      </c>
      <c r="H2796" s="12">
        <f>(PrincipalesVariables[[#This Row],[Base monetaria]]-C2795)/C2795</f>
        <v>2.7799489535049411E-2</v>
      </c>
      <c r="I2796" s="12">
        <f>(PrincipalesVariables[[#This Row],[Dólar  mayorista]]-E2795)/E2795</f>
        <v>1.7171401810802283E-3</v>
      </c>
      <c r="J2796" s="12">
        <f>(PrincipalesVariables[[#This Row],[Reservas internacionales]]-F2795)/F2795</f>
        <v>-9.2869904174110771E-2</v>
      </c>
    </row>
    <row r="2797" spans="1:10" ht="15.75" thickBot="1" x14ac:dyDescent="0.3">
      <c r="A2797" s="14">
        <v>45110</v>
      </c>
      <c r="B2797" s="15">
        <v>45110</v>
      </c>
      <c r="C2797" s="16">
        <v>5933586</v>
      </c>
      <c r="D2797" s="10">
        <f>PrincipalesVariables[[#This Row],[Base monetaria]]/1000000</f>
        <v>5.933586</v>
      </c>
      <c r="E2797" s="10">
        <v>257.98</v>
      </c>
      <c r="F2797" s="11">
        <v>27898</v>
      </c>
      <c r="H2797" s="12">
        <f>(PrincipalesVariables[[#This Row],[Base monetaria]]-C2796)/C2796</f>
        <v>8.1293105249825044E-3</v>
      </c>
      <c r="I2797" s="12">
        <f>(PrincipalesVariables[[#This Row],[Dólar  mayorista]]-E2796)/E2796</f>
        <v>5.0646719650927667E-3</v>
      </c>
      <c r="J2797" s="12">
        <f>(PrincipalesVariables[[#This Row],[Reservas internacionales]]-F2796)/F2796</f>
        <v>-1.0026498603451981E-3</v>
      </c>
    </row>
    <row r="2798" spans="1:10" ht="15.75" thickBot="1" x14ac:dyDescent="0.3">
      <c r="A2798" s="14">
        <v>45111</v>
      </c>
      <c r="B2798" s="15">
        <v>45111</v>
      </c>
      <c r="C2798" s="16">
        <v>5871066</v>
      </c>
      <c r="D2798" s="10">
        <f>PrincipalesVariables[[#This Row],[Base monetaria]]/1000000</f>
        <v>5.8710659999999999</v>
      </c>
      <c r="E2798" s="10">
        <v>259.14999999999998</v>
      </c>
      <c r="F2798" s="11">
        <v>27721</v>
      </c>
      <c r="H2798" s="12">
        <f>(PrincipalesVariables[[#This Row],[Base monetaria]]-C2797)/C2797</f>
        <v>-1.0536629956993965E-2</v>
      </c>
      <c r="I2798" s="12">
        <f>(PrincipalesVariables[[#This Row],[Dólar  mayorista]]-E2797)/E2797</f>
        <v>4.5352352895571711E-3</v>
      </c>
      <c r="J2798" s="12">
        <f>(PrincipalesVariables[[#This Row],[Reservas internacionales]]-F2797)/F2797</f>
        <v>-6.3445408272994478E-3</v>
      </c>
    </row>
    <row r="2799" spans="1:10" ht="15.75" thickBot="1" x14ac:dyDescent="0.3">
      <c r="A2799" s="14">
        <v>45112</v>
      </c>
      <c r="B2799" s="15">
        <v>45112</v>
      </c>
      <c r="C2799" s="16">
        <v>5840060</v>
      </c>
      <c r="D2799" s="10">
        <f>PrincipalesVariables[[#This Row],[Base monetaria]]/1000000</f>
        <v>5.8400600000000003</v>
      </c>
      <c r="E2799" s="10">
        <v>259.8</v>
      </c>
      <c r="F2799" s="11">
        <v>27529</v>
      </c>
      <c r="H2799" s="12">
        <f>(PrincipalesVariables[[#This Row],[Base monetaria]]-C2798)/C2798</f>
        <v>-5.281153371466102E-3</v>
      </c>
      <c r="I2799" s="12">
        <f>(PrincipalesVariables[[#This Row],[Dólar  mayorista]]-E2798)/E2798</f>
        <v>2.5081998842370603E-3</v>
      </c>
      <c r="J2799" s="12">
        <f>(PrincipalesVariables[[#This Row],[Reservas internacionales]]-F2798)/F2798</f>
        <v>-6.9261570650409436E-3</v>
      </c>
    </row>
    <row r="2800" spans="1:10" ht="15.75" thickBot="1" x14ac:dyDescent="0.3">
      <c r="A2800" s="14">
        <v>45113</v>
      </c>
      <c r="B2800" s="15">
        <v>45113</v>
      </c>
      <c r="C2800" s="16">
        <v>6543435</v>
      </c>
      <c r="D2800" s="10">
        <f>PrincipalesVariables[[#This Row],[Base monetaria]]/1000000</f>
        <v>6.5434349999999997</v>
      </c>
      <c r="E2800" s="10">
        <v>260.33</v>
      </c>
      <c r="F2800" s="11">
        <v>27436</v>
      </c>
      <c r="H2800" s="12">
        <f>(PrincipalesVariables[[#This Row],[Base monetaria]]-C2799)/C2799</f>
        <v>0.12043968726348701</v>
      </c>
      <c r="I2800" s="12">
        <f>(PrincipalesVariables[[#This Row],[Dólar  mayorista]]-E2799)/E2799</f>
        <v>2.0400307929175237E-3</v>
      </c>
      <c r="J2800" s="12">
        <f>(PrincipalesVariables[[#This Row],[Reservas internacionales]]-F2799)/F2799</f>
        <v>-3.3782556576700934E-3</v>
      </c>
    </row>
    <row r="2801" spans="1:10" ht="15.75" thickBot="1" x14ac:dyDescent="0.3">
      <c r="A2801" s="14">
        <v>45114</v>
      </c>
      <c r="B2801" s="15">
        <v>45114</v>
      </c>
      <c r="C2801" s="16">
        <v>6669913</v>
      </c>
      <c r="D2801" s="10">
        <f>PrincipalesVariables[[#This Row],[Base monetaria]]/1000000</f>
        <v>6.6699130000000002</v>
      </c>
      <c r="E2801" s="10">
        <v>260.98</v>
      </c>
      <c r="F2801" s="11">
        <v>26616</v>
      </c>
      <c r="H2801" s="12">
        <f>(PrincipalesVariables[[#This Row],[Base monetaria]]-C2800)/C2800</f>
        <v>1.9328991577053947E-2</v>
      </c>
      <c r="I2801" s="12">
        <f>(PrincipalesVariables[[#This Row],[Dólar  mayorista]]-E2800)/E2800</f>
        <v>2.4968309453387398E-3</v>
      </c>
      <c r="J2801" s="12">
        <f>(PrincipalesVariables[[#This Row],[Reservas internacionales]]-F2800)/F2800</f>
        <v>-2.9887738737425281E-2</v>
      </c>
    </row>
    <row r="2802" spans="1:10" ht="15.75" thickBot="1" x14ac:dyDescent="0.3">
      <c r="A2802" s="14">
        <v>45117</v>
      </c>
      <c r="B2802" s="15">
        <v>45117</v>
      </c>
      <c r="C2802" s="16">
        <v>5944772</v>
      </c>
      <c r="D2802" s="10">
        <f>PrincipalesVariables[[#This Row],[Base monetaria]]/1000000</f>
        <v>5.9447720000000004</v>
      </c>
      <c r="E2802" s="10">
        <v>262.64999999999998</v>
      </c>
      <c r="F2802" s="11">
        <v>26550</v>
      </c>
      <c r="H2802" s="12">
        <f>(PrincipalesVariables[[#This Row],[Base monetaria]]-C2801)/C2801</f>
        <v>-0.10871820966780227</v>
      </c>
      <c r="I2802" s="12">
        <f>(PrincipalesVariables[[#This Row],[Dólar  mayorista]]-E2801)/E2801</f>
        <v>6.3989577745419534E-3</v>
      </c>
      <c r="J2802" s="12">
        <f>(PrincipalesVariables[[#This Row],[Reservas internacionales]]-F2801)/F2801</f>
        <v>-2.4797114517583407E-3</v>
      </c>
    </row>
    <row r="2803" spans="1:10" ht="15.75" thickBot="1" x14ac:dyDescent="0.3">
      <c r="A2803" s="14">
        <v>45118</v>
      </c>
      <c r="B2803" s="15">
        <v>45118</v>
      </c>
      <c r="C2803" s="16">
        <v>6022067</v>
      </c>
      <c r="D2803" s="10">
        <f>PrincipalesVariables[[#This Row],[Base monetaria]]/1000000</f>
        <v>6.0220669999999998</v>
      </c>
      <c r="E2803" s="10">
        <v>263.32</v>
      </c>
      <c r="F2803" s="11">
        <v>26416</v>
      </c>
      <c r="H2803" s="12">
        <f>(PrincipalesVariables[[#This Row],[Base monetaria]]-C2802)/C2802</f>
        <v>1.3002180739648215E-2</v>
      </c>
      <c r="I2803" s="12">
        <f>(PrincipalesVariables[[#This Row],[Dólar  mayorista]]-E2802)/E2802</f>
        <v>2.5509232819341935E-3</v>
      </c>
      <c r="J2803" s="12">
        <f>(PrincipalesVariables[[#This Row],[Reservas internacionales]]-F2802)/F2802</f>
        <v>-5.0470809792843695E-3</v>
      </c>
    </row>
    <row r="2804" spans="1:10" ht="15.75" thickBot="1" x14ac:dyDescent="0.3">
      <c r="A2804" s="14">
        <v>45119</v>
      </c>
      <c r="B2804" s="15">
        <v>45119</v>
      </c>
      <c r="C2804" s="16">
        <v>5953935</v>
      </c>
      <c r="D2804" s="10">
        <f>PrincipalesVariables[[#This Row],[Base monetaria]]/1000000</f>
        <v>5.9539350000000004</v>
      </c>
      <c r="E2804" s="10">
        <v>263.93</v>
      </c>
      <c r="F2804" s="11">
        <v>26335</v>
      </c>
      <c r="H2804" s="12">
        <f>(PrincipalesVariables[[#This Row],[Base monetaria]]-C2803)/C2803</f>
        <v>-1.1313723344492845E-2</v>
      </c>
      <c r="I2804" s="12">
        <f>(PrincipalesVariables[[#This Row],[Dólar  mayorista]]-E2803)/E2803</f>
        <v>2.3165729910375726E-3</v>
      </c>
      <c r="J2804" s="12">
        <f>(PrincipalesVariables[[#This Row],[Reservas internacionales]]-F2803)/F2803</f>
        <v>-3.0663234403391884E-3</v>
      </c>
    </row>
    <row r="2805" spans="1:10" ht="15.75" thickBot="1" x14ac:dyDescent="0.3">
      <c r="A2805" s="14">
        <v>45120</v>
      </c>
      <c r="B2805" s="15">
        <v>45120</v>
      </c>
      <c r="C2805" s="16">
        <v>5971175</v>
      </c>
      <c r="D2805" s="10">
        <f>PrincipalesVariables[[#This Row],[Base monetaria]]/1000000</f>
        <v>5.9711749999999997</v>
      </c>
      <c r="E2805" s="10">
        <v>264.52</v>
      </c>
      <c r="F2805" s="11">
        <v>26189</v>
      </c>
      <c r="H2805" s="12">
        <f>(PrincipalesVariables[[#This Row],[Base monetaria]]-C2804)/C2804</f>
        <v>2.8955640261440541E-3</v>
      </c>
      <c r="I2805" s="12">
        <f>(PrincipalesVariables[[#This Row],[Dólar  mayorista]]-E2804)/E2804</f>
        <v>2.2354412154737052E-3</v>
      </c>
      <c r="J2805" s="12">
        <f>(PrincipalesVariables[[#This Row],[Reservas internacionales]]-F2804)/F2804</f>
        <v>-5.5439529143725078E-3</v>
      </c>
    </row>
    <row r="2806" spans="1:10" ht="15.75" thickBot="1" x14ac:dyDescent="0.3">
      <c r="A2806" s="14">
        <v>45121</v>
      </c>
      <c r="B2806" s="15">
        <v>45121</v>
      </c>
      <c r="C2806" s="16">
        <v>6017758</v>
      </c>
      <c r="D2806" s="10">
        <f>PrincipalesVariables[[#This Row],[Base monetaria]]/1000000</f>
        <v>6.0177579999999997</v>
      </c>
      <c r="E2806" s="10">
        <v>265.14</v>
      </c>
      <c r="F2806" s="11">
        <v>26036</v>
      </c>
      <c r="H2806" s="12">
        <f>(PrincipalesVariables[[#This Row],[Base monetaria]]-C2805)/C2805</f>
        <v>7.8013121370584517E-3</v>
      </c>
      <c r="I2806" s="12">
        <f>(PrincipalesVariables[[#This Row],[Dólar  mayorista]]-E2805)/E2805</f>
        <v>2.3438681385150634E-3</v>
      </c>
      <c r="J2806" s="12">
        <f>(PrincipalesVariables[[#This Row],[Reservas internacionales]]-F2805)/F2805</f>
        <v>-5.8421474664935658E-3</v>
      </c>
    </row>
    <row r="2807" spans="1:10" ht="15.75" thickBot="1" x14ac:dyDescent="0.3">
      <c r="A2807" s="14">
        <v>45124</v>
      </c>
      <c r="B2807" s="15">
        <v>45124</v>
      </c>
      <c r="C2807" s="16">
        <v>5961842</v>
      </c>
      <c r="D2807" s="10">
        <f>PrincipalesVariables[[#This Row],[Base monetaria]]/1000000</f>
        <v>5.9618419999999999</v>
      </c>
      <c r="E2807" s="10">
        <v>266.79000000000002</v>
      </c>
      <c r="F2807" s="11">
        <v>25849</v>
      </c>
      <c r="H2807" s="12">
        <f>(PrincipalesVariables[[#This Row],[Base monetaria]]-C2806)/C2806</f>
        <v>-9.2918326060968219E-3</v>
      </c>
      <c r="I2807" s="12">
        <f>(PrincipalesVariables[[#This Row],[Dólar  mayorista]]-E2806)/E2806</f>
        <v>6.2231274043902628E-3</v>
      </c>
      <c r="J2807" s="12">
        <f>(PrincipalesVariables[[#This Row],[Reservas internacionales]]-F2806)/F2806</f>
        <v>-7.1823628821631588E-3</v>
      </c>
    </row>
    <row r="2808" spans="1:10" ht="15.75" thickBot="1" x14ac:dyDescent="0.3">
      <c r="A2808" s="14">
        <v>45125</v>
      </c>
      <c r="B2808" s="15">
        <v>45125</v>
      </c>
      <c r="C2808" s="16">
        <v>6027675</v>
      </c>
      <c r="D2808" s="10">
        <f>PrincipalesVariables[[#This Row],[Base monetaria]]/1000000</f>
        <v>6.0276750000000003</v>
      </c>
      <c r="E2808" s="10">
        <v>267.58</v>
      </c>
      <c r="F2808" s="11">
        <v>25765</v>
      </c>
      <c r="H2808" s="12">
        <f>(PrincipalesVariables[[#This Row],[Base monetaria]]-C2807)/C2807</f>
        <v>1.1042392602823086E-2</v>
      </c>
      <c r="I2808" s="12">
        <f>(PrincipalesVariables[[#This Row],[Dólar  mayorista]]-E2807)/E2807</f>
        <v>2.9611304771541796E-3</v>
      </c>
      <c r="J2808" s="12">
        <f>(PrincipalesVariables[[#This Row],[Reservas internacionales]]-F2807)/F2807</f>
        <v>-3.2496421525010639E-3</v>
      </c>
    </row>
    <row r="2809" spans="1:10" ht="15.75" thickBot="1" x14ac:dyDescent="0.3">
      <c r="A2809" s="14">
        <v>45126</v>
      </c>
      <c r="B2809" s="15">
        <v>45126</v>
      </c>
      <c r="C2809" s="16">
        <v>6038763</v>
      </c>
      <c r="D2809" s="10">
        <f>PrincipalesVariables[[#This Row],[Base monetaria]]/1000000</f>
        <v>6.0387630000000003</v>
      </c>
      <c r="E2809" s="10">
        <v>268.23</v>
      </c>
      <c r="F2809" s="11">
        <v>25501</v>
      </c>
      <c r="H2809" s="12">
        <f>(PrincipalesVariables[[#This Row],[Base monetaria]]-C2808)/C2808</f>
        <v>1.8395152359740696E-3</v>
      </c>
      <c r="I2809" s="12">
        <f>(PrincipalesVariables[[#This Row],[Dólar  mayorista]]-E2808)/E2808</f>
        <v>2.4291800583004491E-3</v>
      </c>
      <c r="J2809" s="12">
        <f>(PrincipalesVariables[[#This Row],[Reservas internacionales]]-F2808)/F2808</f>
        <v>-1.0246458373762857E-2</v>
      </c>
    </row>
    <row r="2810" spans="1:10" ht="15.75" thickBot="1" x14ac:dyDescent="0.3">
      <c r="A2810" s="14">
        <v>45127</v>
      </c>
      <c r="B2810" s="15">
        <v>45127</v>
      </c>
      <c r="C2810" s="16">
        <v>6088018</v>
      </c>
      <c r="D2810" s="10">
        <f>PrincipalesVariables[[#This Row],[Base monetaria]]/1000000</f>
        <v>6.0880179999999999</v>
      </c>
      <c r="E2810" s="10">
        <v>268.77999999999997</v>
      </c>
      <c r="F2810" s="11">
        <v>25441</v>
      </c>
      <c r="H2810" s="12">
        <f>(PrincipalesVariables[[#This Row],[Base monetaria]]-C2809)/C2809</f>
        <v>8.1564717807272782E-3</v>
      </c>
      <c r="I2810" s="12">
        <f>(PrincipalesVariables[[#This Row],[Dólar  mayorista]]-E2809)/E2809</f>
        <v>2.0504790664726334E-3</v>
      </c>
      <c r="J2810" s="12">
        <f>(PrincipalesVariables[[#This Row],[Reservas internacionales]]-F2809)/F2809</f>
        <v>-2.3528489078859655E-3</v>
      </c>
    </row>
    <row r="2811" spans="1:10" ht="15.75" thickBot="1" x14ac:dyDescent="0.3">
      <c r="A2811" s="14">
        <v>45128</v>
      </c>
      <c r="B2811" s="15">
        <v>45128</v>
      </c>
      <c r="C2811" s="16">
        <v>6124899</v>
      </c>
      <c r="D2811" s="10">
        <f>PrincipalesVariables[[#This Row],[Base monetaria]]/1000000</f>
        <v>6.1248990000000001</v>
      </c>
      <c r="E2811" s="10">
        <v>269.42</v>
      </c>
      <c r="F2811" s="11">
        <v>25210</v>
      </c>
      <c r="H2811" s="12">
        <f>(PrincipalesVariables[[#This Row],[Base monetaria]]-C2810)/C2810</f>
        <v>6.0579650060167368E-3</v>
      </c>
      <c r="I2811" s="12">
        <f>(PrincipalesVariables[[#This Row],[Dólar  mayorista]]-E2810)/E2810</f>
        <v>2.38112954832965E-3</v>
      </c>
      <c r="J2811" s="12">
        <f>(PrincipalesVariables[[#This Row],[Reservas internacionales]]-F2810)/F2810</f>
        <v>-9.0798317676191974E-3</v>
      </c>
    </row>
    <row r="2812" spans="1:10" ht="15.75" thickBot="1" x14ac:dyDescent="0.3">
      <c r="A2812" s="14">
        <v>45131</v>
      </c>
      <c r="B2812" s="15">
        <v>45131</v>
      </c>
      <c r="C2812" s="16">
        <v>6069888</v>
      </c>
      <c r="D2812" s="10">
        <f>PrincipalesVariables[[#This Row],[Base monetaria]]/1000000</f>
        <v>6.0698879999999997</v>
      </c>
      <c r="E2812" s="10">
        <v>271.19</v>
      </c>
      <c r="F2812" s="11">
        <v>25280</v>
      </c>
      <c r="H2812" s="12">
        <f>(PrincipalesVariables[[#This Row],[Base monetaria]]-C2811)/C2811</f>
        <v>-8.9815358587953861E-3</v>
      </c>
      <c r="I2812" s="12">
        <f>(PrincipalesVariables[[#This Row],[Dólar  mayorista]]-E2811)/E2811</f>
        <v>6.5696681760818859E-3</v>
      </c>
      <c r="J2812" s="12">
        <f>(PrincipalesVariables[[#This Row],[Reservas internacionales]]-F2811)/F2811</f>
        <v>2.776675922253074E-3</v>
      </c>
    </row>
    <row r="2813" spans="1:10" ht="15.75" thickBot="1" x14ac:dyDescent="0.3">
      <c r="A2813" s="14">
        <v>45132</v>
      </c>
      <c r="B2813" s="15">
        <v>45132</v>
      </c>
      <c r="C2813" s="16">
        <v>6165989</v>
      </c>
      <c r="D2813" s="10">
        <f>PrincipalesVariables[[#This Row],[Base monetaria]]/1000000</f>
        <v>6.1659889999999997</v>
      </c>
      <c r="E2813" s="10">
        <v>271.67</v>
      </c>
      <c r="F2813" s="11">
        <v>25350</v>
      </c>
      <c r="H2813" s="12">
        <f>(PrincipalesVariables[[#This Row],[Base monetaria]]-C2812)/C2812</f>
        <v>1.5832417336201263E-2</v>
      </c>
      <c r="I2813" s="12">
        <f>(PrincipalesVariables[[#This Row],[Dólar  mayorista]]-E2812)/E2812</f>
        <v>1.7699767690549733E-3</v>
      </c>
      <c r="J2813" s="12">
        <f>(PrincipalesVariables[[#This Row],[Reservas internacionales]]-F2812)/F2812</f>
        <v>2.7689873417721519E-3</v>
      </c>
    </row>
    <row r="2814" spans="1:10" ht="15.75" thickBot="1" x14ac:dyDescent="0.3">
      <c r="A2814" s="14">
        <v>45133</v>
      </c>
      <c r="B2814" s="15">
        <v>45133</v>
      </c>
      <c r="C2814" s="16">
        <v>6157752</v>
      </c>
      <c r="D2814" s="10">
        <f>PrincipalesVariables[[#This Row],[Base monetaria]]/1000000</f>
        <v>6.1577520000000003</v>
      </c>
      <c r="E2814" s="10">
        <v>272.39999999999998</v>
      </c>
      <c r="F2814" s="11">
        <v>25258</v>
      </c>
      <c r="H2814" s="12">
        <f>(PrincipalesVariables[[#This Row],[Base monetaria]]-C2813)/C2813</f>
        <v>-1.3358765317291355E-3</v>
      </c>
      <c r="I2814" s="12">
        <f>(PrincipalesVariables[[#This Row],[Dólar  mayorista]]-E2813)/E2813</f>
        <v>2.687083594066188E-3</v>
      </c>
      <c r="J2814" s="12">
        <f>(PrincipalesVariables[[#This Row],[Reservas internacionales]]-F2813)/F2813</f>
        <v>-3.629191321499014E-3</v>
      </c>
    </row>
    <row r="2815" spans="1:10" ht="15.75" thickBot="1" x14ac:dyDescent="0.3">
      <c r="A2815" s="14">
        <v>45134</v>
      </c>
      <c r="B2815" s="15">
        <v>45134</v>
      </c>
      <c r="C2815" s="16">
        <v>6219895</v>
      </c>
      <c r="D2815" s="10">
        <f>PrincipalesVariables[[#This Row],[Base monetaria]]/1000000</f>
        <v>6.2198950000000002</v>
      </c>
      <c r="E2815" s="10">
        <v>273</v>
      </c>
      <c r="F2815" s="11">
        <v>25349</v>
      </c>
      <c r="H2815" s="12">
        <f>(PrincipalesVariables[[#This Row],[Base monetaria]]-C2814)/C2814</f>
        <v>1.0091832214093715E-2</v>
      </c>
      <c r="I2815" s="12">
        <f>(PrincipalesVariables[[#This Row],[Dólar  mayorista]]-E2814)/E2814</f>
        <v>2.2026431718062509E-3</v>
      </c>
      <c r="J2815" s="12">
        <f>(PrincipalesVariables[[#This Row],[Reservas internacionales]]-F2814)/F2814</f>
        <v>3.6028189088605591E-3</v>
      </c>
    </row>
    <row r="2816" spans="1:10" ht="15.75" thickBot="1" x14ac:dyDescent="0.3">
      <c r="A2816" s="14">
        <v>45135</v>
      </c>
      <c r="B2816" s="15">
        <v>45135</v>
      </c>
      <c r="C2816" s="16">
        <v>6194866</v>
      </c>
      <c r="D2816" s="10">
        <f>PrincipalesVariables[[#This Row],[Base monetaria]]/1000000</f>
        <v>6.1948660000000002</v>
      </c>
      <c r="E2816" s="10">
        <v>273.63</v>
      </c>
      <c r="F2816" s="11">
        <v>25651</v>
      </c>
      <c r="H2816" s="12">
        <f>(PrincipalesVariables[[#This Row],[Base monetaria]]-C2815)/C2815</f>
        <v>-4.0240229135700845E-3</v>
      </c>
      <c r="I2816" s="12">
        <f>(PrincipalesVariables[[#This Row],[Dólar  mayorista]]-E2815)/E2815</f>
        <v>2.307692307692291E-3</v>
      </c>
      <c r="J2816" s="12">
        <f>(PrincipalesVariables[[#This Row],[Reservas internacionales]]-F2815)/F2815</f>
        <v>1.1913684957986509E-2</v>
      </c>
    </row>
    <row r="2817" spans="1:10" ht="15.75" thickBot="1" x14ac:dyDescent="0.3">
      <c r="A2817" s="14">
        <v>45138</v>
      </c>
      <c r="B2817" s="15">
        <v>45138</v>
      </c>
      <c r="C2817" s="16">
        <v>6392700</v>
      </c>
      <c r="D2817" s="10">
        <f>PrincipalesVariables[[#This Row],[Base monetaria]]/1000000</f>
        <v>6.3926999999999996</v>
      </c>
      <c r="E2817" s="10">
        <v>275.27999999999997</v>
      </c>
      <c r="F2817" s="11">
        <v>24092</v>
      </c>
      <c r="H2817" s="12">
        <f>(PrincipalesVariables[[#This Row],[Base monetaria]]-C2816)/C2816</f>
        <v>3.1935154045301381E-2</v>
      </c>
      <c r="I2817" s="12">
        <f>(PrincipalesVariables[[#This Row],[Dólar  mayorista]]-E2816)/E2816</f>
        <v>6.0300405657273595E-3</v>
      </c>
      <c r="J2817" s="12">
        <f>(PrincipalesVariables[[#This Row],[Reservas internacionales]]-F2816)/F2816</f>
        <v>-6.0777357607890534E-2</v>
      </c>
    </row>
    <row r="2818" spans="1:10" ht="15.75" thickBot="1" x14ac:dyDescent="0.3">
      <c r="A2818" s="14">
        <v>45139</v>
      </c>
      <c r="B2818" s="15">
        <v>45139</v>
      </c>
      <c r="C2818" s="16">
        <v>6378680</v>
      </c>
      <c r="D2818" s="10">
        <f>PrincipalesVariables[[#This Row],[Base monetaria]]/1000000</f>
        <v>6.3786800000000001</v>
      </c>
      <c r="E2818" s="10">
        <v>276.14</v>
      </c>
      <c r="F2818" s="11">
        <v>24042</v>
      </c>
      <c r="H2818" s="12">
        <f>(PrincipalesVariables[[#This Row],[Base monetaria]]-C2817)/C2817</f>
        <v>-2.1931265349539319E-3</v>
      </c>
      <c r="I2818" s="12">
        <f>(PrincipalesVariables[[#This Row],[Dólar  mayorista]]-E2817)/E2817</f>
        <v>3.124091833769303E-3</v>
      </c>
      <c r="J2818" s="12">
        <f>(PrincipalesVariables[[#This Row],[Reservas internacionales]]-F2817)/F2817</f>
        <v>-2.0753777187448117E-3</v>
      </c>
    </row>
    <row r="2819" spans="1:10" ht="15.75" thickBot="1" x14ac:dyDescent="0.3">
      <c r="A2819" s="14">
        <v>45140</v>
      </c>
      <c r="B2819" s="15">
        <v>45140</v>
      </c>
      <c r="C2819" s="16">
        <v>6318897</v>
      </c>
      <c r="D2819" s="10">
        <f>PrincipalesVariables[[#This Row],[Base monetaria]]/1000000</f>
        <v>6.3188969999999998</v>
      </c>
      <c r="E2819" s="10">
        <v>277.33999999999997</v>
      </c>
      <c r="F2819" s="11">
        <v>24020</v>
      </c>
      <c r="H2819" s="12">
        <f>(PrincipalesVariables[[#This Row],[Base monetaria]]-C2818)/C2818</f>
        <v>-9.3723152752607126E-3</v>
      </c>
      <c r="I2819" s="12">
        <f>(PrincipalesVariables[[#This Row],[Dólar  mayorista]]-E2818)/E2818</f>
        <v>4.3456217860505129E-3</v>
      </c>
      <c r="J2819" s="12">
        <f>(PrincipalesVariables[[#This Row],[Reservas internacionales]]-F2818)/F2818</f>
        <v>-9.1506530238748859E-4</v>
      </c>
    </row>
    <row r="2820" spans="1:10" ht="15.75" thickBot="1" x14ac:dyDescent="0.3">
      <c r="A2820" s="14">
        <v>45141</v>
      </c>
      <c r="B2820" s="15">
        <v>45141</v>
      </c>
      <c r="C2820" s="16">
        <v>6348605</v>
      </c>
      <c r="D2820" s="10">
        <f>PrincipalesVariables[[#This Row],[Base monetaria]]/1000000</f>
        <v>6.3486050000000001</v>
      </c>
      <c r="E2820" s="10">
        <v>278.27999999999997</v>
      </c>
      <c r="F2820" s="11">
        <v>24146</v>
      </c>
      <c r="H2820" s="12">
        <f>(PrincipalesVariables[[#This Row],[Base monetaria]]-C2819)/C2819</f>
        <v>4.7014534340407829E-3</v>
      </c>
      <c r="I2820" s="12">
        <f>(PrincipalesVariables[[#This Row],[Dólar  mayorista]]-E2819)/E2819</f>
        <v>3.3893416023653197E-3</v>
      </c>
      <c r="J2820" s="12">
        <f>(PrincipalesVariables[[#This Row],[Reservas internacionales]]-F2819)/F2819</f>
        <v>5.2456286427976688E-3</v>
      </c>
    </row>
    <row r="2821" spans="1:10" ht="15.75" thickBot="1" x14ac:dyDescent="0.3">
      <c r="A2821" s="14">
        <v>45142</v>
      </c>
      <c r="B2821" s="15">
        <v>45142</v>
      </c>
      <c r="C2821" s="16">
        <v>6399888</v>
      </c>
      <c r="D2821" s="10">
        <f>PrincipalesVariables[[#This Row],[Base monetaria]]/1000000</f>
        <v>6.3998879999999998</v>
      </c>
      <c r="E2821" s="10">
        <v>279.32</v>
      </c>
      <c r="F2821" s="11">
        <v>24372</v>
      </c>
      <c r="H2821" s="12">
        <f>(PrincipalesVariables[[#This Row],[Base monetaria]]-C2820)/C2820</f>
        <v>8.0778375721910559E-3</v>
      </c>
      <c r="I2821" s="12">
        <f>(PrincipalesVariables[[#This Row],[Dólar  mayorista]]-E2820)/E2820</f>
        <v>3.7372430645393868E-3</v>
      </c>
      <c r="J2821" s="12">
        <f>(PrincipalesVariables[[#This Row],[Reservas internacionales]]-F2820)/F2820</f>
        <v>9.3597283193903747E-3</v>
      </c>
    </row>
    <row r="2822" spans="1:10" ht="15.75" thickBot="1" x14ac:dyDescent="0.3">
      <c r="A2822" s="14">
        <v>45145</v>
      </c>
      <c r="B2822" s="15">
        <v>45145</v>
      </c>
      <c r="C2822" s="16">
        <v>6399595</v>
      </c>
      <c r="D2822" s="10">
        <f>PrincipalesVariables[[#This Row],[Base monetaria]]/1000000</f>
        <v>6.3995949999999997</v>
      </c>
      <c r="E2822" s="10">
        <v>283.14999999999998</v>
      </c>
      <c r="F2822" s="11">
        <v>24268</v>
      </c>
      <c r="H2822" s="12">
        <f>(PrincipalesVariables[[#This Row],[Base monetaria]]-C2821)/C2821</f>
        <v>-4.5782051185895755E-5</v>
      </c>
      <c r="I2822" s="12">
        <f>(PrincipalesVariables[[#This Row],[Dólar  mayorista]]-E2821)/E2821</f>
        <v>1.3711871688386024E-2</v>
      </c>
      <c r="J2822" s="12">
        <f>(PrincipalesVariables[[#This Row],[Reservas internacionales]]-F2821)/F2821</f>
        <v>-4.2671918595109139E-3</v>
      </c>
    </row>
    <row r="2823" spans="1:10" ht="15.75" thickBot="1" x14ac:dyDescent="0.3">
      <c r="A2823" s="14">
        <v>45146</v>
      </c>
      <c r="B2823" s="15">
        <v>45146</v>
      </c>
      <c r="C2823" s="16">
        <v>6417720</v>
      </c>
      <c r="D2823" s="10">
        <f>PrincipalesVariables[[#This Row],[Base monetaria]]/1000000</f>
        <v>6.4177200000000001</v>
      </c>
      <c r="E2823" s="10">
        <v>284.19</v>
      </c>
      <c r="F2823" s="11">
        <v>24129</v>
      </c>
      <c r="H2823" s="12">
        <f>(PrincipalesVariables[[#This Row],[Base monetaria]]-C2822)/C2822</f>
        <v>2.8322104758191731E-3</v>
      </c>
      <c r="I2823" s="12">
        <f>(PrincipalesVariables[[#This Row],[Dólar  mayorista]]-E2822)/E2822</f>
        <v>3.6729648596151177E-3</v>
      </c>
      <c r="J2823" s="12">
        <f>(PrincipalesVariables[[#This Row],[Reservas internacionales]]-F2822)/F2822</f>
        <v>-5.7277072688313828E-3</v>
      </c>
    </row>
    <row r="2824" spans="1:10" ht="15.75" thickBot="1" x14ac:dyDescent="0.3">
      <c r="A2824" s="14">
        <v>45147</v>
      </c>
      <c r="B2824" s="15">
        <v>45147</v>
      </c>
      <c r="C2824" s="16">
        <v>6387922</v>
      </c>
      <c r="D2824" s="10">
        <f>PrincipalesVariables[[#This Row],[Base monetaria]]/1000000</f>
        <v>6.3879219999999997</v>
      </c>
      <c r="E2824" s="10">
        <v>285.18</v>
      </c>
      <c r="F2824" s="11">
        <v>23891</v>
      </c>
      <c r="H2824" s="12">
        <f>(PrincipalesVariables[[#This Row],[Base monetaria]]-C2823)/C2823</f>
        <v>-4.6430819668044103E-3</v>
      </c>
      <c r="I2824" s="12">
        <f>(PrincipalesVariables[[#This Row],[Dólar  mayorista]]-E2823)/E2823</f>
        <v>3.4835849255779906E-3</v>
      </c>
      <c r="J2824" s="12">
        <f>(PrincipalesVariables[[#This Row],[Reservas internacionales]]-F2823)/F2823</f>
        <v>-9.8636495503336228E-3</v>
      </c>
    </row>
    <row r="2825" spans="1:10" ht="15.75" thickBot="1" x14ac:dyDescent="0.3">
      <c r="A2825" s="14">
        <v>45148</v>
      </c>
      <c r="B2825" s="15">
        <v>45148</v>
      </c>
      <c r="C2825" s="16">
        <v>6479257</v>
      </c>
      <c r="D2825" s="10">
        <f>PrincipalesVariables[[#This Row],[Base monetaria]]/1000000</f>
        <v>6.4792569999999996</v>
      </c>
      <c r="E2825" s="10">
        <v>286.19</v>
      </c>
      <c r="F2825" s="11">
        <v>23828</v>
      </c>
      <c r="H2825" s="12">
        <f>(PrincipalesVariables[[#This Row],[Base monetaria]]-C2824)/C2824</f>
        <v>1.42980769020035E-2</v>
      </c>
      <c r="I2825" s="12">
        <f>(PrincipalesVariables[[#This Row],[Dólar  mayorista]]-E2824)/E2824</f>
        <v>3.5416228347008587E-3</v>
      </c>
      <c r="J2825" s="12">
        <f>(PrincipalesVariables[[#This Row],[Reservas internacionales]]-F2824)/F2824</f>
        <v>-2.6369762672135951E-3</v>
      </c>
    </row>
    <row r="2826" spans="1:10" ht="15.75" thickBot="1" x14ac:dyDescent="0.3">
      <c r="A2826" s="14">
        <v>45149</v>
      </c>
      <c r="B2826" s="15">
        <v>45149</v>
      </c>
      <c r="C2826" s="16">
        <v>6604400</v>
      </c>
      <c r="D2826" s="10">
        <f>PrincipalesVariables[[#This Row],[Base monetaria]]/1000000</f>
        <v>6.6044</v>
      </c>
      <c r="E2826" s="10">
        <v>287.29000000000002</v>
      </c>
      <c r="F2826" s="11">
        <v>23671</v>
      </c>
      <c r="H2826" s="12">
        <f>(PrincipalesVariables[[#This Row],[Base monetaria]]-C2825)/C2825</f>
        <v>1.9314405957349741E-2</v>
      </c>
      <c r="I2826" s="12">
        <f>(PrincipalesVariables[[#This Row],[Dólar  mayorista]]-E2825)/E2825</f>
        <v>3.843600405325213E-3</v>
      </c>
      <c r="J2826" s="12">
        <f>(PrincipalesVariables[[#This Row],[Reservas internacionales]]-F2825)/F2825</f>
        <v>-6.5888870236696321E-3</v>
      </c>
    </row>
    <row r="2827" spans="1:10" ht="15.75" thickBot="1" x14ac:dyDescent="0.3">
      <c r="A2827" s="14">
        <v>45152</v>
      </c>
      <c r="B2827" s="15">
        <v>45152</v>
      </c>
      <c r="C2827" s="16">
        <v>6486063</v>
      </c>
      <c r="D2827" s="10">
        <f>PrincipalesVariables[[#This Row],[Base monetaria]]/1000000</f>
        <v>6.4860629999999997</v>
      </c>
      <c r="E2827" s="10">
        <v>349.98</v>
      </c>
      <c r="F2827" s="11">
        <v>23762</v>
      </c>
      <c r="H2827" s="12">
        <f>(PrincipalesVariables[[#This Row],[Base monetaria]]-C2826)/C2826</f>
        <v>-1.7917903216037794E-2</v>
      </c>
      <c r="I2827" s="12">
        <f>(PrincipalesVariables[[#This Row],[Dólar  mayorista]]-E2826)/E2826</f>
        <v>0.21821156322879318</v>
      </c>
      <c r="J2827" s="12">
        <f>(PrincipalesVariables[[#This Row],[Reservas internacionales]]-F2826)/F2826</f>
        <v>3.8443665244391871E-3</v>
      </c>
    </row>
    <row r="2828" spans="1:10" ht="15.75" thickBot="1" x14ac:dyDescent="0.3">
      <c r="A2828" s="14">
        <v>45153</v>
      </c>
      <c r="B2828" s="15">
        <v>45153</v>
      </c>
      <c r="C2828" s="16">
        <v>6520598</v>
      </c>
      <c r="D2828" s="10">
        <f>PrincipalesVariables[[#This Row],[Base monetaria]]/1000000</f>
        <v>6.5205979999999997</v>
      </c>
      <c r="E2828" s="10">
        <v>350.01</v>
      </c>
      <c r="F2828" s="11">
        <v>23667</v>
      </c>
      <c r="H2828" s="12">
        <f>(PrincipalesVariables[[#This Row],[Base monetaria]]-C2827)/C2827</f>
        <v>5.3244934561998553E-3</v>
      </c>
      <c r="I2828" s="12">
        <f>(PrincipalesVariables[[#This Row],[Dólar  mayorista]]-E2827)/E2827</f>
        <v>8.5719183953290802E-5</v>
      </c>
      <c r="J2828" s="12">
        <f>(PrincipalesVariables[[#This Row],[Reservas internacionales]]-F2827)/F2827</f>
        <v>-3.9979799680161599E-3</v>
      </c>
    </row>
    <row r="2829" spans="1:10" ht="15.75" thickBot="1" x14ac:dyDescent="0.3">
      <c r="A2829" s="14">
        <v>45154</v>
      </c>
      <c r="B2829" s="15">
        <v>45154</v>
      </c>
      <c r="C2829" s="16">
        <v>6415632</v>
      </c>
      <c r="D2829" s="10">
        <f>PrincipalesVariables[[#This Row],[Base monetaria]]/1000000</f>
        <v>6.4156319999999996</v>
      </c>
      <c r="E2829" s="10">
        <v>350</v>
      </c>
      <c r="F2829" s="11">
        <v>23612</v>
      </c>
      <c r="H2829" s="12">
        <f>(PrincipalesVariables[[#This Row],[Base monetaria]]-C2828)/C2828</f>
        <v>-1.6097603317977893E-2</v>
      </c>
      <c r="I2829" s="12">
        <f>(PrincipalesVariables[[#This Row],[Dólar  mayorista]]-E2828)/E2828</f>
        <v>-2.8570612268194924E-5</v>
      </c>
      <c r="J2829" s="12">
        <f>(PrincipalesVariables[[#This Row],[Reservas internacionales]]-F2828)/F2828</f>
        <v>-2.3239109308319599E-3</v>
      </c>
    </row>
    <row r="2830" spans="1:10" ht="15.75" thickBot="1" x14ac:dyDescent="0.3">
      <c r="A2830" s="14">
        <v>45155</v>
      </c>
      <c r="B2830" s="15">
        <v>45155</v>
      </c>
      <c r="C2830" s="16">
        <v>6454926</v>
      </c>
      <c r="D2830" s="10">
        <f>PrincipalesVariables[[#This Row],[Base monetaria]]/1000000</f>
        <v>6.4549260000000004</v>
      </c>
      <c r="E2830" s="10">
        <v>349.98</v>
      </c>
      <c r="F2830" s="11">
        <v>23721</v>
      </c>
      <c r="H2830" s="12">
        <f>(PrincipalesVariables[[#This Row],[Base monetaria]]-C2829)/C2829</f>
        <v>6.12472785222095E-3</v>
      </c>
      <c r="I2830" s="12">
        <f>(PrincipalesVariables[[#This Row],[Dólar  mayorista]]-E2829)/E2829</f>
        <v>-5.7142857142805175E-5</v>
      </c>
      <c r="J2830" s="12">
        <f>(PrincipalesVariables[[#This Row],[Reservas internacionales]]-F2829)/F2829</f>
        <v>4.6162967982381837E-3</v>
      </c>
    </row>
    <row r="2831" spans="1:10" ht="15.75" thickBot="1" x14ac:dyDescent="0.3">
      <c r="A2831" s="14">
        <v>45156</v>
      </c>
      <c r="B2831" s="15">
        <v>45156</v>
      </c>
      <c r="C2831" s="16">
        <v>6462822</v>
      </c>
      <c r="D2831" s="10">
        <f>PrincipalesVariables[[#This Row],[Base monetaria]]/1000000</f>
        <v>6.4628220000000001</v>
      </c>
      <c r="E2831" s="10">
        <v>350.02</v>
      </c>
      <c r="F2831" s="11">
        <v>23637</v>
      </c>
      <c r="H2831" s="12">
        <f>(PrincipalesVariables[[#This Row],[Base monetaria]]-C2830)/C2830</f>
        <v>1.2232518234910827E-3</v>
      </c>
      <c r="I2831" s="12">
        <f>(PrincipalesVariables[[#This Row],[Dólar  mayorista]]-E2830)/E2830</f>
        <v>1.142922452710544E-4</v>
      </c>
      <c r="J2831" s="12">
        <f>(PrincipalesVariables[[#This Row],[Reservas internacionales]]-F2830)/F2830</f>
        <v>-3.5411660553939547E-3</v>
      </c>
    </row>
    <row r="2832" spans="1:10" ht="15.75" thickBot="1" x14ac:dyDescent="0.3">
      <c r="A2832" s="14">
        <v>45160</v>
      </c>
      <c r="B2832" s="15">
        <v>45160</v>
      </c>
      <c r="C2832" s="16">
        <v>6354553</v>
      </c>
      <c r="D2832" s="10">
        <f>PrincipalesVariables[[#This Row],[Base monetaria]]/1000000</f>
        <v>6.3545530000000001</v>
      </c>
      <c r="E2832" s="10">
        <v>350.01</v>
      </c>
      <c r="F2832" s="11">
        <v>23639</v>
      </c>
      <c r="H2832" s="12">
        <f>(PrincipalesVariables[[#This Row],[Base monetaria]]-C2831)/C2831</f>
        <v>-1.6752588884546102E-2</v>
      </c>
      <c r="I2832" s="12">
        <f>(PrincipalesVariables[[#This Row],[Dólar  mayorista]]-E2831)/E2831</f>
        <v>-2.8569796011630495E-5</v>
      </c>
      <c r="J2832" s="12">
        <f>(PrincipalesVariables[[#This Row],[Reservas internacionales]]-F2831)/F2831</f>
        <v>8.4613106570207721E-5</v>
      </c>
    </row>
    <row r="2833" spans="1:10" ht="15.75" thickBot="1" x14ac:dyDescent="0.3">
      <c r="A2833" s="14">
        <v>45161</v>
      </c>
      <c r="B2833" s="15">
        <v>45161</v>
      </c>
      <c r="C2833" s="16">
        <v>6380909</v>
      </c>
      <c r="D2833" s="10">
        <f>PrincipalesVariables[[#This Row],[Base monetaria]]/1000000</f>
        <v>6.3809089999999999</v>
      </c>
      <c r="E2833" s="10">
        <v>349.98</v>
      </c>
      <c r="F2833" s="11">
        <v>29004</v>
      </c>
      <c r="H2833" s="12">
        <f>(PrincipalesVariables[[#This Row],[Base monetaria]]-C2832)/C2832</f>
        <v>4.1475773354947235E-3</v>
      </c>
      <c r="I2833" s="12">
        <f>(PrincipalesVariables[[#This Row],[Dólar  mayorista]]-E2832)/E2832</f>
        <v>-8.5711836804584765E-5</v>
      </c>
      <c r="J2833" s="12">
        <f>(PrincipalesVariables[[#This Row],[Reservas internacionales]]-F2832)/F2832</f>
        <v>0.22695545496848429</v>
      </c>
    </row>
    <row r="2834" spans="1:10" ht="15.75" thickBot="1" x14ac:dyDescent="0.3">
      <c r="A2834" s="14">
        <v>45162</v>
      </c>
      <c r="B2834" s="15">
        <v>45162</v>
      </c>
      <c r="C2834" s="16">
        <v>6385199</v>
      </c>
      <c r="D2834" s="10">
        <f>PrincipalesVariables[[#This Row],[Base monetaria]]/1000000</f>
        <v>6.3851990000000001</v>
      </c>
      <c r="E2834" s="10">
        <v>349.98</v>
      </c>
      <c r="F2834" s="11">
        <v>28995</v>
      </c>
      <c r="H2834" s="12">
        <f>(PrincipalesVariables[[#This Row],[Base monetaria]]-C2833)/C2833</f>
        <v>6.7231800359478558E-4</v>
      </c>
      <c r="I2834" s="12">
        <f>(PrincipalesVariables[[#This Row],[Dólar  mayorista]]-E2833)/E2833</f>
        <v>0</v>
      </c>
      <c r="J2834" s="12">
        <f>(PrincipalesVariables[[#This Row],[Reservas internacionales]]-F2833)/F2833</f>
        <v>-3.1030202730657842E-4</v>
      </c>
    </row>
    <row r="2835" spans="1:10" ht="15.75" thickBot="1" x14ac:dyDescent="0.3">
      <c r="A2835" s="14">
        <v>45163</v>
      </c>
      <c r="B2835" s="15">
        <v>45163</v>
      </c>
      <c r="C2835" s="16">
        <v>6486371</v>
      </c>
      <c r="D2835" s="10">
        <f>PrincipalesVariables[[#This Row],[Base monetaria]]/1000000</f>
        <v>6.4863710000000001</v>
      </c>
      <c r="E2835" s="10">
        <v>349.98</v>
      </c>
      <c r="F2835" s="11">
        <v>27955</v>
      </c>
      <c r="H2835" s="12">
        <f>(PrincipalesVariables[[#This Row],[Base monetaria]]-C2834)/C2834</f>
        <v>1.5844768502908054E-2</v>
      </c>
      <c r="I2835" s="12">
        <f>(PrincipalesVariables[[#This Row],[Dólar  mayorista]]-E2834)/E2834</f>
        <v>0</v>
      </c>
      <c r="J2835" s="12">
        <f>(PrincipalesVariables[[#This Row],[Reservas internacionales]]-F2834)/F2834</f>
        <v>-3.5868253147094326E-2</v>
      </c>
    </row>
    <row r="2836" spans="1:10" ht="15.75" thickBot="1" x14ac:dyDescent="0.3">
      <c r="A2836" s="14">
        <v>45166</v>
      </c>
      <c r="B2836" s="15">
        <v>45166</v>
      </c>
      <c r="C2836" s="16">
        <v>6166524</v>
      </c>
      <c r="D2836" s="10">
        <f>PrincipalesVariables[[#This Row],[Base monetaria]]/1000000</f>
        <v>6.1665239999999999</v>
      </c>
      <c r="E2836" s="10">
        <v>349.99</v>
      </c>
      <c r="F2836" s="11">
        <v>28011</v>
      </c>
      <c r="H2836" s="12">
        <f>(PrincipalesVariables[[#This Row],[Base monetaria]]-C2835)/C2835</f>
        <v>-4.9310623767897334E-2</v>
      </c>
      <c r="I2836" s="12">
        <f>(PrincipalesVariables[[#This Row],[Dólar  mayorista]]-E2835)/E2835</f>
        <v>2.85730613177636E-5</v>
      </c>
      <c r="J2836" s="12">
        <f>(PrincipalesVariables[[#This Row],[Reservas internacionales]]-F2835)/F2835</f>
        <v>2.0032194598461812E-3</v>
      </c>
    </row>
    <row r="2837" spans="1:10" ht="15.75" thickBot="1" x14ac:dyDescent="0.3">
      <c r="A2837" s="14">
        <v>45167</v>
      </c>
      <c r="B2837" s="15">
        <v>45167</v>
      </c>
      <c r="C2837" s="16">
        <v>6114587</v>
      </c>
      <c r="D2837" s="10">
        <f>PrincipalesVariables[[#This Row],[Base monetaria]]/1000000</f>
        <v>6.1145870000000002</v>
      </c>
      <c r="E2837" s="10">
        <v>349.98</v>
      </c>
      <c r="F2837" s="11">
        <v>28035</v>
      </c>
      <c r="H2837" s="12">
        <f>(PrincipalesVariables[[#This Row],[Base monetaria]]-C2836)/C2836</f>
        <v>-8.4224110698344797E-3</v>
      </c>
      <c r="I2837" s="12">
        <f>(PrincipalesVariables[[#This Row],[Dólar  mayorista]]-E2836)/E2836</f>
        <v>-2.857224492125748E-5</v>
      </c>
      <c r="J2837" s="12">
        <f>(PrincipalesVariables[[#This Row],[Reservas internacionales]]-F2836)/F2836</f>
        <v>8.5680625468565917E-4</v>
      </c>
    </row>
    <row r="2838" spans="1:10" ht="15.75" thickBot="1" x14ac:dyDescent="0.3">
      <c r="A2838" s="14">
        <v>45168</v>
      </c>
      <c r="B2838" s="15">
        <v>45168</v>
      </c>
      <c r="C2838" s="16">
        <v>6149040</v>
      </c>
      <c r="D2838" s="10">
        <f>PrincipalesVariables[[#This Row],[Base monetaria]]/1000000</f>
        <v>6.1490400000000003</v>
      </c>
      <c r="E2838" s="10">
        <v>349.98</v>
      </c>
      <c r="F2838" s="11">
        <v>27942</v>
      </c>
      <c r="H2838" s="12">
        <f>(PrincipalesVariables[[#This Row],[Base monetaria]]-C2837)/C2837</f>
        <v>5.6345588017637166E-3</v>
      </c>
      <c r="I2838" s="12">
        <f>(PrincipalesVariables[[#This Row],[Dólar  mayorista]]-E2837)/E2837</f>
        <v>0</v>
      </c>
      <c r="J2838" s="12">
        <f>(PrincipalesVariables[[#This Row],[Reservas internacionales]]-F2837)/F2837</f>
        <v>-3.3172819689673621E-3</v>
      </c>
    </row>
    <row r="2839" spans="1:10" ht="15.75" thickBot="1" x14ac:dyDescent="0.3">
      <c r="A2839" s="14">
        <v>45169</v>
      </c>
      <c r="B2839" s="15">
        <v>45169</v>
      </c>
      <c r="C2839" s="16">
        <v>6621931</v>
      </c>
      <c r="D2839" s="10">
        <f>PrincipalesVariables[[#This Row],[Base monetaria]]/1000000</f>
        <v>6.621931</v>
      </c>
      <c r="E2839" s="10">
        <v>350.02</v>
      </c>
      <c r="F2839" s="11">
        <v>27818</v>
      </c>
      <c r="H2839" s="12">
        <f>(PrincipalesVariables[[#This Row],[Base monetaria]]-C2838)/C2838</f>
        <v>7.6904850187996823E-2</v>
      </c>
      <c r="I2839" s="12">
        <f>(PrincipalesVariables[[#This Row],[Dólar  mayorista]]-E2838)/E2838</f>
        <v>1.142922452710544E-4</v>
      </c>
      <c r="J2839" s="12">
        <f>(PrincipalesVariables[[#This Row],[Reservas internacionales]]-F2838)/F2838</f>
        <v>-4.4377639395891486E-3</v>
      </c>
    </row>
    <row r="2840" spans="1:10" ht="15.75" thickBot="1" x14ac:dyDescent="0.3">
      <c r="A2840" s="14">
        <v>45170</v>
      </c>
      <c r="B2840" s="15">
        <v>45170</v>
      </c>
      <c r="C2840" s="16">
        <v>6620575</v>
      </c>
      <c r="D2840" s="10">
        <f>PrincipalesVariables[[#This Row],[Base monetaria]]/1000000</f>
        <v>6.6205749999999997</v>
      </c>
      <c r="E2840" s="10">
        <v>350</v>
      </c>
      <c r="F2840" s="11">
        <v>27824</v>
      </c>
      <c r="H2840" s="12">
        <f>(PrincipalesVariables[[#This Row],[Base monetaria]]-C2839)/C2839</f>
        <v>-2.0477410592167149E-4</v>
      </c>
      <c r="I2840" s="12">
        <f>(PrincipalesVariables[[#This Row],[Dólar  mayorista]]-E2839)/E2839</f>
        <v>-5.7139592023260991E-5</v>
      </c>
      <c r="J2840" s="12">
        <f>(PrincipalesVariables[[#This Row],[Reservas internacionales]]-F2839)/F2839</f>
        <v>2.1568768423323029E-4</v>
      </c>
    </row>
    <row r="2841" spans="1:10" ht="15.75" thickBot="1" x14ac:dyDescent="0.3">
      <c r="A2841" s="14">
        <v>45173</v>
      </c>
      <c r="B2841" s="15">
        <v>45173</v>
      </c>
      <c r="C2841" s="16">
        <v>6526190</v>
      </c>
      <c r="D2841" s="10">
        <f>PrincipalesVariables[[#This Row],[Base monetaria]]/1000000</f>
        <v>6.5261899999999997</v>
      </c>
      <c r="E2841" s="10">
        <v>350.03</v>
      </c>
      <c r="F2841" s="11">
        <v>27775</v>
      </c>
      <c r="H2841" s="12">
        <f>(PrincipalesVariables[[#This Row],[Base monetaria]]-C2840)/C2840</f>
        <v>-1.4256314595031398E-2</v>
      </c>
      <c r="I2841" s="12">
        <f>(PrincipalesVariables[[#This Row],[Dólar  mayorista]]-E2840)/E2840</f>
        <v>8.5714285714207758E-5</v>
      </c>
      <c r="J2841" s="12">
        <f>(PrincipalesVariables[[#This Row],[Reservas internacionales]]-F2840)/F2840</f>
        <v>-1.7610695802185163E-3</v>
      </c>
    </row>
    <row r="2842" spans="1:10" ht="15.75" thickBot="1" x14ac:dyDescent="0.3">
      <c r="A2842" s="14">
        <v>45174</v>
      </c>
      <c r="B2842" s="15">
        <v>45174</v>
      </c>
      <c r="C2842" s="16">
        <v>6576075</v>
      </c>
      <c r="D2842" s="10">
        <f>PrincipalesVariables[[#This Row],[Base monetaria]]/1000000</f>
        <v>6.5760750000000003</v>
      </c>
      <c r="E2842" s="10">
        <v>349.99</v>
      </c>
      <c r="F2842" s="11">
        <v>27679</v>
      </c>
      <c r="H2842" s="12">
        <f>(PrincipalesVariables[[#This Row],[Base monetaria]]-C2841)/C2841</f>
        <v>7.6438166832409112E-3</v>
      </c>
      <c r="I2842" s="12">
        <f>(PrincipalesVariables[[#This Row],[Dólar  mayorista]]-E2841)/E2841</f>
        <v>-1.142759192068212E-4</v>
      </c>
      <c r="J2842" s="12">
        <f>(PrincipalesVariables[[#This Row],[Reservas internacionales]]-F2841)/F2841</f>
        <v>-3.4563456345634565E-3</v>
      </c>
    </row>
    <row r="2843" spans="1:10" ht="15.75" thickBot="1" x14ac:dyDescent="0.3">
      <c r="A2843" s="14">
        <v>45175</v>
      </c>
      <c r="B2843" s="15">
        <v>45175</v>
      </c>
      <c r="C2843" s="16">
        <v>6520411</v>
      </c>
      <c r="D2843" s="10">
        <f>PrincipalesVariables[[#This Row],[Base monetaria]]/1000000</f>
        <v>6.5204110000000002</v>
      </c>
      <c r="E2843" s="10">
        <v>350</v>
      </c>
      <c r="F2843" s="11">
        <v>27630</v>
      </c>
      <c r="H2843" s="12">
        <f>(PrincipalesVariables[[#This Row],[Base monetaria]]-C2842)/C2842</f>
        <v>-8.4646236546876367E-3</v>
      </c>
      <c r="I2843" s="12">
        <f>(PrincipalesVariables[[#This Row],[Dólar  mayorista]]-E2842)/E2842</f>
        <v>2.857224492125748E-5</v>
      </c>
      <c r="J2843" s="12">
        <f>(PrincipalesVariables[[#This Row],[Reservas internacionales]]-F2842)/F2842</f>
        <v>-1.7702951696231799E-3</v>
      </c>
    </row>
    <row r="2844" spans="1:10" ht="15.75" thickBot="1" x14ac:dyDescent="0.3">
      <c r="A2844" s="14">
        <v>45176</v>
      </c>
      <c r="B2844" s="15">
        <v>45176</v>
      </c>
      <c r="C2844" s="16">
        <v>6620942</v>
      </c>
      <c r="D2844" s="10">
        <f>PrincipalesVariables[[#This Row],[Base monetaria]]/1000000</f>
        <v>6.6209420000000003</v>
      </c>
      <c r="E2844" s="10">
        <v>349.99</v>
      </c>
      <c r="F2844" s="11">
        <v>27651</v>
      </c>
      <c r="H2844" s="12">
        <f>(PrincipalesVariables[[#This Row],[Base monetaria]]-C2843)/C2843</f>
        <v>1.5417893135877478E-2</v>
      </c>
      <c r="I2844" s="12">
        <f>(PrincipalesVariables[[#This Row],[Dólar  mayorista]]-E2843)/E2843</f>
        <v>-2.8571428571402587E-5</v>
      </c>
      <c r="J2844" s="12">
        <f>(PrincipalesVariables[[#This Row],[Reservas internacionales]]-F2843)/F2843</f>
        <v>7.6004343105320307E-4</v>
      </c>
    </row>
    <row r="2845" spans="1:10" ht="15.75" thickBot="1" x14ac:dyDescent="0.3">
      <c r="A2845" s="14">
        <v>45177</v>
      </c>
      <c r="B2845" s="15">
        <v>45177</v>
      </c>
      <c r="C2845" s="16">
        <v>6552429</v>
      </c>
      <c r="D2845" s="10">
        <f>PrincipalesVariables[[#This Row],[Base monetaria]]/1000000</f>
        <v>6.5524290000000001</v>
      </c>
      <c r="E2845" s="10">
        <v>349.98</v>
      </c>
      <c r="F2845" s="11">
        <v>27686</v>
      </c>
      <c r="H2845" s="12">
        <f>(PrincipalesVariables[[#This Row],[Base monetaria]]-C2844)/C2844</f>
        <v>-1.034792330154833E-2</v>
      </c>
      <c r="I2845" s="12">
        <f>(PrincipalesVariables[[#This Row],[Dólar  mayorista]]-E2844)/E2844</f>
        <v>-2.857224492125748E-5</v>
      </c>
      <c r="J2845" s="12">
        <f>(PrincipalesVariables[[#This Row],[Reservas internacionales]]-F2844)/F2844</f>
        <v>1.265777006256555E-3</v>
      </c>
    </row>
    <row r="2846" spans="1:10" ht="15.75" thickBot="1" x14ac:dyDescent="0.3">
      <c r="A2846" s="14">
        <v>45180</v>
      </c>
      <c r="B2846" s="15">
        <v>45180</v>
      </c>
      <c r="C2846" s="16">
        <v>6558387</v>
      </c>
      <c r="D2846" s="10">
        <f>PrincipalesVariables[[#This Row],[Base monetaria]]/1000000</f>
        <v>6.5583869999999997</v>
      </c>
      <c r="E2846" s="10">
        <v>349.98</v>
      </c>
      <c r="F2846" s="11">
        <v>27737</v>
      </c>
      <c r="H2846" s="12">
        <f>(PrincipalesVariables[[#This Row],[Base monetaria]]-C2845)/C2845</f>
        <v>9.0928112307664833E-4</v>
      </c>
      <c r="I2846" s="12">
        <f>(PrincipalesVariables[[#This Row],[Dólar  mayorista]]-E2845)/E2845</f>
        <v>0</v>
      </c>
      <c r="J2846" s="12">
        <f>(PrincipalesVariables[[#This Row],[Reservas internacionales]]-F2845)/F2845</f>
        <v>1.8420862529798453E-3</v>
      </c>
    </row>
    <row r="2847" spans="1:10" ht="15.75" thickBot="1" x14ac:dyDescent="0.3">
      <c r="A2847" s="14">
        <v>45181</v>
      </c>
      <c r="B2847" s="15">
        <v>45181</v>
      </c>
      <c r="C2847" s="16">
        <v>6607494</v>
      </c>
      <c r="D2847" s="10">
        <f>PrincipalesVariables[[#This Row],[Base monetaria]]/1000000</f>
        <v>6.607494</v>
      </c>
      <c r="E2847" s="10">
        <v>349.98</v>
      </c>
      <c r="F2847" s="11">
        <v>27767</v>
      </c>
      <c r="H2847" s="12">
        <f>(PrincipalesVariables[[#This Row],[Base monetaria]]-C2846)/C2846</f>
        <v>7.4876642686685004E-3</v>
      </c>
      <c r="I2847" s="12">
        <f>(PrincipalesVariables[[#This Row],[Dólar  mayorista]]-E2846)/E2846</f>
        <v>0</v>
      </c>
      <c r="J2847" s="12">
        <f>(PrincipalesVariables[[#This Row],[Reservas internacionales]]-F2846)/F2846</f>
        <v>1.0815877708476042E-3</v>
      </c>
    </row>
    <row r="2848" spans="1:10" ht="15.75" thickBot="1" x14ac:dyDescent="0.3">
      <c r="A2848" s="14">
        <v>45182</v>
      </c>
      <c r="B2848" s="15">
        <v>45182</v>
      </c>
      <c r="C2848" s="16">
        <v>6590251</v>
      </c>
      <c r="D2848" s="10">
        <f>PrincipalesVariables[[#This Row],[Base monetaria]]/1000000</f>
        <v>6.5902510000000003</v>
      </c>
      <c r="E2848" s="10">
        <v>349.98</v>
      </c>
      <c r="F2848" s="11">
        <v>27786</v>
      </c>
      <c r="H2848" s="12">
        <f>(PrincipalesVariables[[#This Row],[Base monetaria]]-C2847)/C2847</f>
        <v>-2.6096126610179291E-3</v>
      </c>
      <c r="I2848" s="12">
        <f>(PrincipalesVariables[[#This Row],[Dólar  mayorista]]-E2847)/E2847</f>
        <v>0</v>
      </c>
      <c r="J2848" s="12">
        <f>(PrincipalesVariables[[#This Row],[Reservas internacionales]]-F2847)/F2847</f>
        <v>6.8426549501206463E-4</v>
      </c>
    </row>
    <row r="2849" spans="1:10" ht="15.75" thickBot="1" x14ac:dyDescent="0.3">
      <c r="A2849" s="14">
        <v>45183</v>
      </c>
      <c r="B2849" s="15">
        <v>45183</v>
      </c>
      <c r="C2849" s="16">
        <v>6603088</v>
      </c>
      <c r="D2849" s="10">
        <f>PrincipalesVariables[[#This Row],[Base monetaria]]/1000000</f>
        <v>6.6030879999999996</v>
      </c>
      <c r="E2849" s="10">
        <v>349.98</v>
      </c>
      <c r="F2849" s="11">
        <v>27784</v>
      </c>
      <c r="H2849" s="12">
        <f>(PrincipalesVariables[[#This Row],[Base monetaria]]-C2848)/C2848</f>
        <v>1.9478772508057735E-3</v>
      </c>
      <c r="I2849" s="12">
        <f>(PrincipalesVariables[[#This Row],[Dólar  mayorista]]-E2848)/E2848</f>
        <v>0</v>
      </c>
      <c r="J2849" s="12">
        <f>(PrincipalesVariables[[#This Row],[Reservas internacionales]]-F2848)/F2848</f>
        <v>-7.1978694306485278E-5</v>
      </c>
    </row>
    <row r="2850" spans="1:10" ht="15.75" thickBot="1" x14ac:dyDescent="0.3">
      <c r="A2850" s="14">
        <v>45184</v>
      </c>
      <c r="B2850" s="15">
        <v>45184</v>
      </c>
      <c r="C2850" s="16">
        <v>6413531</v>
      </c>
      <c r="D2850" s="10">
        <f>PrincipalesVariables[[#This Row],[Base monetaria]]/1000000</f>
        <v>6.4135309999999999</v>
      </c>
      <c r="E2850" s="10">
        <v>349.99</v>
      </c>
      <c r="F2850" s="11">
        <v>27530</v>
      </c>
      <c r="H2850" s="12">
        <f>(PrincipalesVariables[[#This Row],[Base monetaria]]-C2849)/C2849</f>
        <v>-2.870732602685289E-2</v>
      </c>
      <c r="I2850" s="12">
        <f>(PrincipalesVariables[[#This Row],[Dólar  mayorista]]-E2849)/E2849</f>
        <v>2.85730613177636E-5</v>
      </c>
      <c r="J2850" s="12">
        <f>(PrincipalesVariables[[#This Row],[Reservas internacionales]]-F2849)/F2849</f>
        <v>-9.1419522027065929E-3</v>
      </c>
    </row>
    <row r="2851" spans="1:10" ht="15.75" thickBot="1" x14ac:dyDescent="0.3">
      <c r="A2851" s="14">
        <v>45187</v>
      </c>
      <c r="B2851" s="15">
        <v>45187</v>
      </c>
      <c r="C2851" s="16">
        <v>6339071</v>
      </c>
      <c r="D2851" s="10">
        <f>PrincipalesVariables[[#This Row],[Base monetaria]]/1000000</f>
        <v>6.3390709999999997</v>
      </c>
      <c r="E2851" s="10">
        <v>349.99</v>
      </c>
      <c r="F2851" s="11">
        <v>27470</v>
      </c>
      <c r="H2851" s="12">
        <f>(PrincipalesVariables[[#This Row],[Base monetaria]]-C2850)/C2850</f>
        <v>-1.1609829281249285E-2</v>
      </c>
      <c r="I2851" s="12">
        <f>(PrincipalesVariables[[#This Row],[Dólar  mayorista]]-E2850)/E2850</f>
        <v>0</v>
      </c>
      <c r="J2851" s="12">
        <f>(PrincipalesVariables[[#This Row],[Reservas internacionales]]-F2850)/F2850</f>
        <v>-2.179440610243371E-3</v>
      </c>
    </row>
    <row r="2852" spans="1:10" ht="15.75" thickBot="1" x14ac:dyDescent="0.3">
      <c r="A2852" s="14">
        <v>45188</v>
      </c>
      <c r="B2852" s="15">
        <v>45188</v>
      </c>
      <c r="C2852" s="16">
        <v>6385255</v>
      </c>
      <c r="D2852" s="10">
        <f>PrincipalesVariables[[#This Row],[Base monetaria]]/1000000</f>
        <v>6.3852549999999999</v>
      </c>
      <c r="E2852" s="10">
        <v>349.98</v>
      </c>
      <c r="F2852" s="11">
        <v>27438</v>
      </c>
      <c r="H2852" s="12">
        <f>(PrincipalesVariables[[#This Row],[Base monetaria]]-C2851)/C2851</f>
        <v>7.2856101469757949E-3</v>
      </c>
      <c r="I2852" s="12">
        <f>(PrincipalesVariables[[#This Row],[Dólar  mayorista]]-E2851)/E2851</f>
        <v>-2.857224492125748E-5</v>
      </c>
      <c r="J2852" s="12">
        <f>(PrincipalesVariables[[#This Row],[Reservas internacionales]]-F2851)/F2851</f>
        <v>-1.1649071714597743E-3</v>
      </c>
    </row>
    <row r="2853" spans="1:10" ht="15.75" thickBot="1" x14ac:dyDescent="0.3">
      <c r="A2853" s="14">
        <v>45189</v>
      </c>
      <c r="B2853" s="15">
        <v>45189</v>
      </c>
      <c r="C2853" s="16">
        <v>6412263</v>
      </c>
      <c r="D2853" s="10">
        <f>PrincipalesVariables[[#This Row],[Base monetaria]]/1000000</f>
        <v>6.4122630000000003</v>
      </c>
      <c r="E2853" s="10">
        <v>350</v>
      </c>
      <c r="F2853" s="11">
        <v>27425</v>
      </c>
      <c r="H2853" s="12">
        <f>(PrincipalesVariables[[#This Row],[Base monetaria]]-C2852)/C2852</f>
        <v>4.2297449357934806E-3</v>
      </c>
      <c r="I2853" s="12">
        <f>(PrincipalesVariables[[#This Row],[Dólar  mayorista]]-E2852)/E2852</f>
        <v>5.7146122635527199E-5</v>
      </c>
      <c r="J2853" s="12">
        <f>(PrincipalesVariables[[#This Row],[Reservas internacionales]]-F2852)/F2852</f>
        <v>-4.7379546614184707E-4</v>
      </c>
    </row>
    <row r="2854" spans="1:10" ht="15.75" thickBot="1" x14ac:dyDescent="0.3">
      <c r="A2854" s="14">
        <v>45190</v>
      </c>
      <c r="B2854" s="15">
        <v>45190</v>
      </c>
      <c r="C2854" s="16">
        <v>6467536</v>
      </c>
      <c r="D2854" s="10">
        <f>PrincipalesVariables[[#This Row],[Base monetaria]]/1000000</f>
        <v>6.467536</v>
      </c>
      <c r="E2854" s="10">
        <v>349.98</v>
      </c>
      <c r="F2854" s="11">
        <v>27342</v>
      </c>
      <c r="H2854" s="12">
        <f>(PrincipalesVariables[[#This Row],[Base monetaria]]-C2853)/C2853</f>
        <v>8.6198897331566087E-3</v>
      </c>
      <c r="I2854" s="12">
        <f>(PrincipalesVariables[[#This Row],[Dólar  mayorista]]-E2853)/E2853</f>
        <v>-5.7142857142805175E-5</v>
      </c>
      <c r="J2854" s="12">
        <f>(PrincipalesVariables[[#This Row],[Reservas internacionales]]-F2853)/F2853</f>
        <v>-3.0264357338195078E-3</v>
      </c>
    </row>
    <row r="2855" spans="1:10" ht="15.75" thickBot="1" x14ac:dyDescent="0.3">
      <c r="A2855" s="14">
        <v>45191</v>
      </c>
      <c r="B2855" s="15">
        <v>45191</v>
      </c>
      <c r="C2855" s="16">
        <v>6464331</v>
      </c>
      <c r="D2855" s="10">
        <f>PrincipalesVariables[[#This Row],[Base monetaria]]/1000000</f>
        <v>6.4643309999999996</v>
      </c>
      <c r="E2855" s="10">
        <v>350.03</v>
      </c>
      <c r="F2855" s="11">
        <v>27254</v>
      </c>
      <c r="H2855" s="12">
        <f>(PrincipalesVariables[[#This Row],[Base monetaria]]-C2854)/C2854</f>
        <v>-4.9555193817243535E-4</v>
      </c>
      <c r="I2855" s="12">
        <f>(PrincipalesVariables[[#This Row],[Dólar  mayorista]]-E2854)/E2854</f>
        <v>1.4286530658881799E-4</v>
      </c>
      <c r="J2855" s="12">
        <f>(PrincipalesVariables[[#This Row],[Reservas internacionales]]-F2854)/F2854</f>
        <v>-3.2184916977543707E-3</v>
      </c>
    </row>
    <row r="2856" spans="1:10" ht="15.75" thickBot="1" x14ac:dyDescent="0.3">
      <c r="A2856" s="14">
        <v>45194</v>
      </c>
      <c r="B2856" s="15">
        <v>45194</v>
      </c>
      <c r="C2856" s="16">
        <v>6455976</v>
      </c>
      <c r="D2856" s="10">
        <f>PrincipalesVariables[[#This Row],[Base monetaria]]/1000000</f>
        <v>6.4559759999999997</v>
      </c>
      <c r="E2856" s="10">
        <v>350.01</v>
      </c>
      <c r="F2856" s="11">
        <v>27204</v>
      </c>
      <c r="H2856" s="12">
        <f>(PrincipalesVariables[[#This Row],[Base monetaria]]-C2855)/C2855</f>
        <v>-1.2924771333646127E-3</v>
      </c>
      <c r="I2856" s="12">
        <f>(PrincipalesVariables[[#This Row],[Dólar  mayorista]]-E2855)/E2855</f>
        <v>-5.71379596034106E-5</v>
      </c>
      <c r="J2856" s="12">
        <f>(PrincipalesVariables[[#This Row],[Reservas internacionales]]-F2855)/F2855</f>
        <v>-1.8345930872532472E-3</v>
      </c>
    </row>
    <row r="2857" spans="1:10" ht="15.75" thickBot="1" x14ac:dyDescent="0.3">
      <c r="A2857" s="14">
        <v>45195</v>
      </c>
      <c r="B2857" s="15">
        <v>45195</v>
      </c>
      <c r="C2857" s="16">
        <v>6501352</v>
      </c>
      <c r="D2857" s="10">
        <f>PrincipalesVariables[[#This Row],[Base monetaria]]/1000000</f>
        <v>6.5013519999999998</v>
      </c>
      <c r="E2857" s="10">
        <v>350.03</v>
      </c>
      <c r="F2857" s="11">
        <v>27152</v>
      </c>
      <c r="H2857" s="12">
        <f>(PrincipalesVariables[[#This Row],[Base monetaria]]-C2856)/C2856</f>
        <v>7.0285267479309093E-3</v>
      </c>
      <c r="I2857" s="12">
        <f>(PrincipalesVariables[[#This Row],[Dólar  mayorista]]-E2856)/E2856</f>
        <v>5.7141224536389848E-5</v>
      </c>
      <c r="J2857" s="12">
        <f>(PrincipalesVariables[[#This Row],[Reservas internacionales]]-F2856)/F2856</f>
        <v>-1.9114836053521541E-3</v>
      </c>
    </row>
    <row r="2858" spans="1:10" ht="15.75" thickBot="1" x14ac:dyDescent="0.3">
      <c r="A2858" s="14">
        <v>45196</v>
      </c>
      <c r="B2858" s="15">
        <v>45196</v>
      </c>
      <c r="C2858" s="16">
        <v>6524287</v>
      </c>
      <c r="D2858" s="10">
        <f>PrincipalesVariables[[#This Row],[Base monetaria]]/1000000</f>
        <v>6.5242870000000002</v>
      </c>
      <c r="E2858" s="10">
        <v>350.03</v>
      </c>
      <c r="F2858" s="11">
        <v>27057</v>
      </c>
      <c r="H2858" s="12">
        <f>(PrincipalesVariables[[#This Row],[Base monetaria]]-C2857)/C2857</f>
        <v>3.5277277710851528E-3</v>
      </c>
      <c r="I2858" s="12">
        <f>(PrincipalesVariables[[#This Row],[Dólar  mayorista]]-E2857)/E2857</f>
        <v>0</v>
      </c>
      <c r="J2858" s="12">
        <f>(PrincipalesVariables[[#This Row],[Reservas internacionales]]-F2857)/F2857</f>
        <v>-3.4988214496169713E-3</v>
      </c>
    </row>
    <row r="2859" spans="1:10" ht="15.75" thickBot="1" x14ac:dyDescent="0.3">
      <c r="A2859" s="14">
        <v>45197</v>
      </c>
      <c r="B2859" s="15">
        <v>45197</v>
      </c>
      <c r="C2859" s="16">
        <v>6492372</v>
      </c>
      <c r="D2859" s="10">
        <f>PrincipalesVariables[[#This Row],[Base monetaria]]/1000000</f>
        <v>6.4923719999999996</v>
      </c>
      <c r="E2859" s="10">
        <v>350.03</v>
      </c>
      <c r="F2859" s="11">
        <v>27068</v>
      </c>
      <c r="H2859" s="12">
        <f>(PrincipalesVariables[[#This Row],[Base monetaria]]-C2858)/C2858</f>
        <v>-4.8917222678891963E-3</v>
      </c>
      <c r="I2859" s="12">
        <f>(PrincipalesVariables[[#This Row],[Dólar  mayorista]]-E2858)/E2858</f>
        <v>0</v>
      </c>
      <c r="J2859" s="12">
        <f>(PrincipalesVariables[[#This Row],[Reservas internacionales]]-F2858)/F2858</f>
        <v>4.0654913700705915E-4</v>
      </c>
    </row>
    <row r="2860" spans="1:10" ht="15.75" thickBot="1" x14ac:dyDescent="0.3">
      <c r="A2860" s="14">
        <v>45198</v>
      </c>
      <c r="B2860" s="15">
        <v>45198</v>
      </c>
      <c r="C2860" s="16">
        <v>6828209</v>
      </c>
      <c r="D2860" s="10">
        <f>PrincipalesVariables[[#This Row],[Base monetaria]]/1000000</f>
        <v>6.8282090000000002</v>
      </c>
      <c r="E2860" s="10">
        <v>350.01</v>
      </c>
      <c r="F2860" s="11">
        <v>26925</v>
      </c>
      <c r="H2860" s="12">
        <f>(PrincipalesVariables[[#This Row],[Base monetaria]]-C2859)/C2859</f>
        <v>5.1727935491065517E-2</v>
      </c>
      <c r="I2860" s="12">
        <f>(PrincipalesVariables[[#This Row],[Dólar  mayorista]]-E2859)/E2859</f>
        <v>-5.71379596034106E-5</v>
      </c>
      <c r="J2860" s="12">
        <f>(PrincipalesVariables[[#This Row],[Reservas internacionales]]-F2859)/F2859</f>
        <v>-5.2829909856657309E-3</v>
      </c>
    </row>
    <row r="2861" spans="1:10" ht="15.75" thickBot="1" x14ac:dyDescent="0.3">
      <c r="A2861" s="14">
        <v>45201</v>
      </c>
      <c r="B2861" s="15">
        <v>45201</v>
      </c>
      <c r="C2861" s="16">
        <v>6856611</v>
      </c>
      <c r="D2861" s="10">
        <f>PrincipalesVariables[[#This Row],[Base monetaria]]/1000000</f>
        <v>6.856611</v>
      </c>
      <c r="E2861" s="10">
        <v>350.03</v>
      </c>
      <c r="F2861" s="11">
        <v>26634</v>
      </c>
      <c r="H2861" s="12">
        <f>(PrincipalesVariables[[#This Row],[Base monetaria]]-C2860)/C2860</f>
        <v>4.1595094701992862E-3</v>
      </c>
      <c r="I2861" s="12">
        <f>(PrincipalesVariables[[#This Row],[Dólar  mayorista]]-E2860)/E2860</f>
        <v>5.7141224536389848E-5</v>
      </c>
      <c r="J2861" s="12">
        <f>(PrincipalesVariables[[#This Row],[Reservas internacionales]]-F2860)/F2860</f>
        <v>-1.0807799442896936E-2</v>
      </c>
    </row>
    <row r="2862" spans="1:10" ht="15.75" thickBot="1" x14ac:dyDescent="0.3">
      <c r="A2862" s="14">
        <v>45202</v>
      </c>
      <c r="B2862" s="15">
        <v>45202</v>
      </c>
      <c r="C2862" s="16">
        <v>6962279</v>
      </c>
      <c r="D2862" s="10">
        <f>PrincipalesVariables[[#This Row],[Base monetaria]]/1000000</f>
        <v>6.9622789999999997</v>
      </c>
      <c r="E2862" s="10">
        <v>350.03</v>
      </c>
      <c r="F2862" s="11">
        <v>26558</v>
      </c>
      <c r="H2862" s="12">
        <f>(PrincipalesVariables[[#This Row],[Base monetaria]]-C2861)/C2861</f>
        <v>1.5411111991040472E-2</v>
      </c>
      <c r="I2862" s="12">
        <f>(PrincipalesVariables[[#This Row],[Dólar  mayorista]]-E2861)/E2861</f>
        <v>0</v>
      </c>
      <c r="J2862" s="12">
        <f>(PrincipalesVariables[[#This Row],[Reservas internacionales]]-F2861)/F2861</f>
        <v>-2.8534955320267327E-3</v>
      </c>
    </row>
    <row r="2863" spans="1:10" ht="15.75" thickBot="1" x14ac:dyDescent="0.3">
      <c r="A2863" s="14">
        <v>45203</v>
      </c>
      <c r="B2863" s="15">
        <v>45203</v>
      </c>
      <c r="C2863" s="16">
        <v>6977096</v>
      </c>
      <c r="D2863" s="10">
        <f>PrincipalesVariables[[#This Row],[Base monetaria]]/1000000</f>
        <v>6.9770960000000004</v>
      </c>
      <c r="E2863" s="10">
        <v>350.03</v>
      </c>
      <c r="F2863" s="11">
        <v>26470</v>
      </c>
      <c r="H2863" s="12">
        <f>(PrincipalesVariables[[#This Row],[Base monetaria]]-C2862)/C2862</f>
        <v>2.128182452900839E-3</v>
      </c>
      <c r="I2863" s="12">
        <f>(PrincipalesVariables[[#This Row],[Dólar  mayorista]]-E2862)/E2862</f>
        <v>0</v>
      </c>
      <c r="J2863" s="12">
        <f>(PrincipalesVariables[[#This Row],[Reservas internacionales]]-F2862)/F2862</f>
        <v>-3.3135025227803297E-3</v>
      </c>
    </row>
    <row r="2864" spans="1:10" ht="15.75" thickBot="1" x14ac:dyDescent="0.3">
      <c r="A2864" s="14">
        <v>45204</v>
      </c>
      <c r="B2864" s="15">
        <v>45204</v>
      </c>
      <c r="C2864" s="16">
        <v>7025338</v>
      </c>
      <c r="D2864" s="10">
        <f>PrincipalesVariables[[#This Row],[Base monetaria]]/1000000</f>
        <v>7.0253379999999996</v>
      </c>
      <c r="E2864" s="10">
        <v>350.03</v>
      </c>
      <c r="F2864" s="11">
        <v>26382</v>
      </c>
      <c r="H2864" s="12">
        <f>(PrincipalesVariables[[#This Row],[Base monetaria]]-C2863)/C2863</f>
        <v>6.9143379996491373E-3</v>
      </c>
      <c r="I2864" s="12">
        <f>(PrincipalesVariables[[#This Row],[Dólar  mayorista]]-E2863)/E2863</f>
        <v>0</v>
      </c>
      <c r="J2864" s="12">
        <f>(PrincipalesVariables[[#This Row],[Reservas internacionales]]-F2863)/F2863</f>
        <v>-3.3245183226293918E-3</v>
      </c>
    </row>
    <row r="2865" spans="1:10" ht="15.75" thickBot="1" x14ac:dyDescent="0.3">
      <c r="A2865" s="14">
        <v>45205</v>
      </c>
      <c r="B2865" s="15">
        <v>45205</v>
      </c>
      <c r="C2865" s="16">
        <v>7137672</v>
      </c>
      <c r="D2865" s="10">
        <f>PrincipalesVariables[[#This Row],[Base monetaria]]/1000000</f>
        <v>7.1376720000000002</v>
      </c>
      <c r="E2865" s="10">
        <v>350.03</v>
      </c>
      <c r="F2865" s="11">
        <v>26262</v>
      </c>
      <c r="H2865" s="12">
        <f>(PrincipalesVariables[[#This Row],[Base monetaria]]-C2864)/C2864</f>
        <v>1.5989835649188693E-2</v>
      </c>
      <c r="I2865" s="12">
        <f>(PrincipalesVariables[[#This Row],[Dólar  mayorista]]-E2864)/E2864</f>
        <v>0</v>
      </c>
      <c r="J2865" s="12">
        <f>(PrincipalesVariables[[#This Row],[Reservas internacionales]]-F2864)/F2864</f>
        <v>-4.5485558335228568E-3</v>
      </c>
    </row>
    <row r="2866" spans="1:10" ht="15.75" thickBot="1" x14ac:dyDescent="0.3">
      <c r="A2866" s="14">
        <v>45208</v>
      </c>
      <c r="B2866" s="15">
        <v>45208</v>
      </c>
      <c r="C2866" s="16">
        <v>7087185</v>
      </c>
      <c r="D2866" s="10">
        <f>PrincipalesVariables[[#This Row],[Base monetaria]]/1000000</f>
        <v>7.0871849999999998</v>
      </c>
      <c r="E2866" s="10">
        <v>350.03</v>
      </c>
      <c r="F2866" s="11">
        <v>26269</v>
      </c>
      <c r="H2866" s="12">
        <f>(PrincipalesVariables[[#This Row],[Base monetaria]]-C2865)/C2865</f>
        <v>-7.0733146605784069E-3</v>
      </c>
      <c r="I2866" s="12">
        <f>(PrincipalesVariables[[#This Row],[Dólar  mayorista]]-E2865)/E2865</f>
        <v>0</v>
      </c>
      <c r="J2866" s="12">
        <f>(PrincipalesVariables[[#This Row],[Reservas internacionales]]-F2865)/F2865</f>
        <v>2.6654481760718911E-4</v>
      </c>
    </row>
    <row r="2867" spans="1:10" ht="15.75" thickBot="1" x14ac:dyDescent="0.3">
      <c r="A2867" s="14">
        <v>45209</v>
      </c>
      <c r="B2867" s="15">
        <v>45209</v>
      </c>
      <c r="C2867" s="16">
        <v>7259682</v>
      </c>
      <c r="D2867" s="10">
        <f>PrincipalesVariables[[#This Row],[Base monetaria]]/1000000</f>
        <v>7.2596819999999997</v>
      </c>
      <c r="E2867" s="10">
        <v>350.03</v>
      </c>
      <c r="F2867" s="11">
        <v>26059</v>
      </c>
      <c r="H2867" s="12">
        <f>(PrincipalesVariables[[#This Row],[Base monetaria]]-C2866)/C2866</f>
        <v>2.4339282804103461E-2</v>
      </c>
      <c r="I2867" s="12">
        <f>(PrincipalesVariables[[#This Row],[Dólar  mayorista]]-E2866)/E2866</f>
        <v>0</v>
      </c>
      <c r="J2867" s="12">
        <f>(PrincipalesVariables[[#This Row],[Reservas internacionales]]-F2866)/F2866</f>
        <v>-7.9942137119799004E-3</v>
      </c>
    </row>
    <row r="2868" spans="1:10" ht="15.75" thickBot="1" x14ac:dyDescent="0.3">
      <c r="A2868" s="14">
        <v>45210</v>
      </c>
      <c r="B2868" s="15">
        <v>45210</v>
      </c>
      <c r="C2868" s="16">
        <v>7307589</v>
      </c>
      <c r="D2868" s="10">
        <f>PrincipalesVariables[[#This Row],[Base monetaria]]/1000000</f>
        <v>7.3075890000000001</v>
      </c>
      <c r="E2868" s="10">
        <v>350.03</v>
      </c>
      <c r="F2868" s="11">
        <v>25772</v>
      </c>
      <c r="H2868" s="12">
        <f>(PrincipalesVariables[[#This Row],[Base monetaria]]-C2867)/C2867</f>
        <v>6.5990493798488694E-3</v>
      </c>
      <c r="I2868" s="12">
        <f>(PrincipalesVariables[[#This Row],[Dólar  mayorista]]-E2867)/E2867</f>
        <v>0</v>
      </c>
      <c r="J2868" s="12">
        <f>(PrincipalesVariables[[#This Row],[Reservas internacionales]]-F2867)/F2867</f>
        <v>-1.1013469434744235E-2</v>
      </c>
    </row>
    <row r="2869" spans="1:10" ht="15.75" thickBot="1" x14ac:dyDescent="0.3">
      <c r="A2869" s="14">
        <v>45211</v>
      </c>
      <c r="B2869" s="15">
        <v>45211</v>
      </c>
      <c r="C2869" s="16">
        <v>7621633</v>
      </c>
      <c r="D2869" s="10">
        <f>PrincipalesVariables[[#This Row],[Base monetaria]]/1000000</f>
        <v>7.6216330000000001</v>
      </c>
      <c r="E2869" s="10">
        <v>350.03</v>
      </c>
      <c r="F2869" s="11">
        <v>25225</v>
      </c>
      <c r="H2869" s="12">
        <f>(PrincipalesVariables[[#This Row],[Base monetaria]]-C2868)/C2868</f>
        <v>4.2975049636754338E-2</v>
      </c>
      <c r="I2869" s="12">
        <f>(PrincipalesVariables[[#This Row],[Dólar  mayorista]]-E2868)/E2868</f>
        <v>0</v>
      </c>
      <c r="J2869" s="12">
        <f>(PrincipalesVariables[[#This Row],[Reservas internacionales]]-F2868)/F2868</f>
        <v>-2.1224584820735682E-2</v>
      </c>
    </row>
    <row r="2870" spans="1:10" ht="15.75" thickBot="1" x14ac:dyDescent="0.3">
      <c r="A2870" s="14">
        <v>45216</v>
      </c>
      <c r="B2870" s="15">
        <v>45216</v>
      </c>
      <c r="C2870" s="16">
        <v>7319190</v>
      </c>
      <c r="D2870" s="10">
        <f>PrincipalesVariables[[#This Row],[Base monetaria]]/1000000</f>
        <v>7.3191899999999999</v>
      </c>
      <c r="E2870" s="10">
        <v>350.02</v>
      </c>
      <c r="F2870" s="11">
        <v>24995</v>
      </c>
      <c r="H2870" s="12">
        <f>(PrincipalesVariables[[#This Row],[Base monetaria]]-C2869)/C2869</f>
        <v>-3.968217834681885E-2</v>
      </c>
      <c r="I2870" s="12">
        <f>(PrincipalesVariables[[#This Row],[Dólar  mayorista]]-E2869)/E2869</f>
        <v>-2.85689798017053E-5</v>
      </c>
      <c r="J2870" s="12">
        <f>(PrincipalesVariables[[#This Row],[Reservas internacionales]]-F2869)/F2869</f>
        <v>-9.117938553022795E-3</v>
      </c>
    </row>
    <row r="2871" spans="1:10" ht="15.75" thickBot="1" x14ac:dyDescent="0.3">
      <c r="A2871" s="14">
        <v>45217</v>
      </c>
      <c r="B2871" s="15">
        <v>45217</v>
      </c>
      <c r="C2871" s="16">
        <v>7194750</v>
      </c>
      <c r="D2871" s="10">
        <f>PrincipalesVariables[[#This Row],[Base monetaria]]/1000000</f>
        <v>7.19475</v>
      </c>
      <c r="E2871" s="10">
        <v>350.03</v>
      </c>
      <c r="F2871" s="11">
        <v>24789</v>
      </c>
      <c r="H2871" s="12">
        <f>(PrincipalesVariables[[#This Row],[Base monetaria]]-C2870)/C2870</f>
        <v>-1.7001881355723791E-2</v>
      </c>
      <c r="I2871" s="12">
        <f>(PrincipalesVariables[[#This Row],[Dólar  mayorista]]-E2870)/E2870</f>
        <v>2.8569796011630495E-5</v>
      </c>
      <c r="J2871" s="12">
        <f>(PrincipalesVariables[[#This Row],[Reservas internacionales]]-F2870)/F2870</f>
        <v>-8.2416483296659324E-3</v>
      </c>
    </row>
    <row r="2872" spans="1:10" ht="15.75" thickBot="1" x14ac:dyDescent="0.3">
      <c r="A2872" s="14">
        <v>45218</v>
      </c>
      <c r="B2872" s="15">
        <v>45218</v>
      </c>
      <c r="C2872" s="16">
        <v>7350314</v>
      </c>
      <c r="D2872" s="10">
        <f>PrincipalesVariables[[#This Row],[Base monetaria]]/1000000</f>
        <v>7.350314</v>
      </c>
      <c r="E2872" s="10">
        <v>350.03</v>
      </c>
      <c r="F2872" s="11">
        <v>24793</v>
      </c>
      <c r="H2872" s="12">
        <f>(PrincipalesVariables[[#This Row],[Base monetaria]]-C2871)/C2871</f>
        <v>2.1621877063136313E-2</v>
      </c>
      <c r="I2872" s="12">
        <f>(PrincipalesVariables[[#This Row],[Dólar  mayorista]]-E2871)/E2871</f>
        <v>0</v>
      </c>
      <c r="J2872" s="12">
        <f>(PrincipalesVariables[[#This Row],[Reservas internacionales]]-F2871)/F2871</f>
        <v>1.6136189438864011E-4</v>
      </c>
    </row>
    <row r="2873" spans="1:10" ht="15.75" thickBot="1" x14ac:dyDescent="0.3">
      <c r="A2873" s="14">
        <v>45219</v>
      </c>
      <c r="B2873" s="15">
        <v>45219</v>
      </c>
      <c r="C2873" s="16">
        <v>7339111</v>
      </c>
      <c r="D2873" s="10">
        <f>PrincipalesVariables[[#This Row],[Base monetaria]]/1000000</f>
        <v>7.3391109999999999</v>
      </c>
      <c r="E2873" s="10">
        <v>350.03</v>
      </c>
      <c r="F2873" s="11">
        <v>24543</v>
      </c>
      <c r="H2873" s="12">
        <f>(PrincipalesVariables[[#This Row],[Base monetaria]]-C2872)/C2872</f>
        <v>-1.5241525736179435E-3</v>
      </c>
      <c r="I2873" s="12">
        <f>(PrincipalesVariables[[#This Row],[Dólar  mayorista]]-E2872)/E2872</f>
        <v>0</v>
      </c>
      <c r="J2873" s="12">
        <f>(PrincipalesVariables[[#This Row],[Reservas internacionales]]-F2872)/F2872</f>
        <v>-1.0083491308030492E-2</v>
      </c>
    </row>
    <row r="2874" spans="1:10" ht="15.75" thickBot="1" x14ac:dyDescent="0.3">
      <c r="A2874" s="14">
        <v>45222</v>
      </c>
      <c r="B2874" s="15">
        <v>45222</v>
      </c>
      <c r="C2874" s="16">
        <v>7054442</v>
      </c>
      <c r="D2874" s="10">
        <f>PrincipalesVariables[[#This Row],[Base monetaria]]/1000000</f>
        <v>7.0544419999999999</v>
      </c>
      <c r="E2874" s="10">
        <v>350</v>
      </c>
      <c r="F2874" s="11">
        <v>24553</v>
      </c>
      <c r="H2874" s="12">
        <f>(PrincipalesVariables[[#This Row],[Base monetaria]]-C2873)/C2873</f>
        <v>-3.8787940392235515E-2</v>
      </c>
      <c r="I2874" s="12">
        <f>(PrincipalesVariables[[#This Row],[Dólar  mayorista]]-E2873)/E2873</f>
        <v>-8.5706939405115893E-5</v>
      </c>
      <c r="J2874" s="12">
        <f>(PrincipalesVariables[[#This Row],[Reservas internacionales]]-F2873)/F2873</f>
        <v>4.0744815222262966E-4</v>
      </c>
    </row>
    <row r="2875" spans="1:10" ht="15.75" thickBot="1" x14ac:dyDescent="0.3">
      <c r="A2875" s="14">
        <v>45223</v>
      </c>
      <c r="B2875" s="15">
        <v>45223</v>
      </c>
      <c r="C2875" s="16">
        <v>7063024</v>
      </c>
      <c r="D2875" s="10">
        <f>PrincipalesVariables[[#This Row],[Base monetaria]]/1000000</f>
        <v>7.0630240000000004</v>
      </c>
      <c r="E2875" s="10">
        <v>350.03</v>
      </c>
      <c r="F2875" s="11">
        <v>24556</v>
      </c>
      <c r="H2875" s="12">
        <f>(PrincipalesVariables[[#This Row],[Base monetaria]]-C2874)/C2874</f>
        <v>1.2165384590304945E-3</v>
      </c>
      <c r="I2875" s="12">
        <f>(PrincipalesVariables[[#This Row],[Dólar  mayorista]]-E2874)/E2874</f>
        <v>8.5714285714207758E-5</v>
      </c>
      <c r="J2875" s="12">
        <f>(PrincipalesVariables[[#This Row],[Reservas internacionales]]-F2874)/F2874</f>
        <v>1.2218466175212804E-4</v>
      </c>
    </row>
    <row r="2876" spans="1:10" ht="15.75" thickBot="1" x14ac:dyDescent="0.3">
      <c r="A2876" s="14">
        <v>45224</v>
      </c>
      <c r="B2876" s="15">
        <v>45224</v>
      </c>
      <c r="C2876" s="16">
        <v>7022578</v>
      </c>
      <c r="D2876" s="10">
        <f>PrincipalesVariables[[#This Row],[Base monetaria]]/1000000</f>
        <v>7.0225780000000002</v>
      </c>
      <c r="E2876" s="10">
        <v>350.02</v>
      </c>
      <c r="F2876" s="11">
        <v>24499</v>
      </c>
      <c r="H2876" s="12">
        <f>(PrincipalesVariables[[#This Row],[Base monetaria]]-C2875)/C2875</f>
        <v>-5.7264423850180886E-3</v>
      </c>
      <c r="I2876" s="12">
        <f>(PrincipalesVariables[[#This Row],[Dólar  mayorista]]-E2875)/E2875</f>
        <v>-2.85689798017053E-5</v>
      </c>
      <c r="J2876" s="12">
        <f>(PrincipalesVariables[[#This Row],[Reservas internacionales]]-F2875)/F2875</f>
        <v>-2.3212249552044305E-3</v>
      </c>
    </row>
    <row r="2877" spans="1:10" ht="15.75" thickBot="1" x14ac:dyDescent="0.3">
      <c r="A2877" s="14">
        <v>45225</v>
      </c>
      <c r="B2877" s="15">
        <v>45225</v>
      </c>
      <c r="C2877" s="16">
        <v>7047138</v>
      </c>
      <c r="D2877" s="10">
        <f>PrincipalesVariables[[#This Row],[Base monetaria]]/1000000</f>
        <v>7.0471380000000003</v>
      </c>
      <c r="E2877" s="10">
        <v>350.01</v>
      </c>
      <c r="F2877" s="11">
        <v>24553</v>
      </c>
      <c r="H2877" s="12">
        <f>(PrincipalesVariables[[#This Row],[Base monetaria]]-C2876)/C2876</f>
        <v>3.4972911657229011E-3</v>
      </c>
      <c r="I2877" s="12">
        <f>(PrincipalesVariables[[#This Row],[Dólar  mayorista]]-E2876)/E2876</f>
        <v>-2.8569796011630495E-5</v>
      </c>
      <c r="J2877" s="12">
        <f>(PrincipalesVariables[[#This Row],[Reservas internacionales]]-F2876)/F2876</f>
        <v>2.2041715988407691E-3</v>
      </c>
    </row>
    <row r="2878" spans="1:10" ht="15.75" thickBot="1" x14ac:dyDescent="0.3">
      <c r="A2878" s="14">
        <v>45226</v>
      </c>
      <c r="B2878" s="15">
        <v>45226</v>
      </c>
      <c r="C2878" s="16">
        <v>7058426</v>
      </c>
      <c r="D2878" s="10">
        <f>PrincipalesVariables[[#This Row],[Base monetaria]]/1000000</f>
        <v>7.0584259999999999</v>
      </c>
      <c r="E2878" s="10">
        <v>350.01</v>
      </c>
      <c r="F2878" s="11">
        <v>24561</v>
      </c>
      <c r="H2878" s="12">
        <f>(PrincipalesVariables[[#This Row],[Base monetaria]]-C2877)/C2877</f>
        <v>1.6017850083253655E-3</v>
      </c>
      <c r="I2878" s="12">
        <f>(PrincipalesVariables[[#This Row],[Dólar  mayorista]]-E2877)/E2877</f>
        <v>0</v>
      </c>
      <c r="J2878" s="12">
        <f>(PrincipalesVariables[[#This Row],[Reservas internacionales]]-F2877)/F2877</f>
        <v>3.2582576467234147E-4</v>
      </c>
    </row>
    <row r="2879" spans="1:10" ht="15.75" thickBot="1" x14ac:dyDescent="0.3">
      <c r="A2879" s="14">
        <v>45229</v>
      </c>
      <c r="B2879" s="15">
        <v>45229</v>
      </c>
      <c r="C2879" s="16">
        <v>6971778</v>
      </c>
      <c r="D2879" s="10">
        <f>PrincipalesVariables[[#This Row],[Base monetaria]]/1000000</f>
        <v>6.9717779999999996</v>
      </c>
      <c r="E2879" s="10">
        <v>350.03</v>
      </c>
      <c r="F2879" s="11">
        <v>24614</v>
      </c>
      <c r="H2879" s="12">
        <f>(PrincipalesVariables[[#This Row],[Base monetaria]]-C2878)/C2878</f>
        <v>-1.2275824666859156E-2</v>
      </c>
      <c r="I2879" s="12">
        <f>(PrincipalesVariables[[#This Row],[Dólar  mayorista]]-E2878)/E2878</f>
        <v>5.7141224536389848E-5</v>
      </c>
      <c r="J2879" s="12">
        <f>(PrincipalesVariables[[#This Row],[Reservas internacionales]]-F2878)/F2878</f>
        <v>2.1578925939497577E-3</v>
      </c>
    </row>
    <row r="2880" spans="1:10" ht="15.75" thickBot="1" x14ac:dyDescent="0.3">
      <c r="A2880" s="14">
        <v>45230</v>
      </c>
      <c r="B2880" s="15">
        <v>45230</v>
      </c>
      <c r="C2880" s="16">
        <v>7237385</v>
      </c>
      <c r="D2880" s="10">
        <f>PrincipalesVariables[[#This Row],[Base monetaria]]/1000000</f>
        <v>7.2373849999999997</v>
      </c>
      <c r="E2880" s="10">
        <v>350.01</v>
      </c>
      <c r="F2880" s="11">
        <v>22559</v>
      </c>
      <c r="H2880" s="12">
        <f>(PrincipalesVariables[[#This Row],[Base monetaria]]-C2879)/C2879</f>
        <v>3.8097455197225155E-2</v>
      </c>
      <c r="I2880" s="12">
        <f>(PrincipalesVariables[[#This Row],[Dólar  mayorista]]-E2879)/E2879</f>
        <v>-5.71379596034106E-5</v>
      </c>
      <c r="J2880" s="12">
        <f>(PrincipalesVariables[[#This Row],[Reservas internacionales]]-F2879)/F2879</f>
        <v>-8.3489071260258396E-2</v>
      </c>
    </row>
    <row r="2881" spans="1:10" ht="15.75" thickBot="1" x14ac:dyDescent="0.3">
      <c r="A2881" s="14">
        <v>45231</v>
      </c>
      <c r="B2881" s="15">
        <v>45231</v>
      </c>
      <c r="C2881" s="16">
        <v>7450748</v>
      </c>
      <c r="D2881" s="10">
        <f>PrincipalesVariables[[#This Row],[Base monetaria]]/1000000</f>
        <v>7.4507479999999999</v>
      </c>
      <c r="E2881" s="10">
        <v>349.99</v>
      </c>
      <c r="F2881" s="11">
        <v>21876</v>
      </c>
      <c r="H2881" s="12">
        <f>(PrincipalesVariables[[#This Row],[Base monetaria]]-C2880)/C2880</f>
        <v>2.9480675686038536E-2</v>
      </c>
      <c r="I2881" s="12">
        <f>(PrincipalesVariables[[#This Row],[Dólar  mayorista]]-E2880)/E2880</f>
        <v>-5.7141224536389848E-5</v>
      </c>
      <c r="J2881" s="12">
        <f>(PrincipalesVariables[[#This Row],[Reservas internacionales]]-F2880)/F2880</f>
        <v>-3.0276164723613636E-2</v>
      </c>
    </row>
    <row r="2882" spans="1:10" ht="15.75" thickBot="1" x14ac:dyDescent="0.3">
      <c r="A2882" s="14">
        <v>45232</v>
      </c>
      <c r="B2882" s="15">
        <v>45232</v>
      </c>
      <c r="C2882" s="16">
        <v>7554488</v>
      </c>
      <c r="D2882" s="10">
        <f>PrincipalesVariables[[#This Row],[Base monetaria]]/1000000</f>
        <v>7.5544880000000001</v>
      </c>
      <c r="E2882" s="10">
        <v>350.03</v>
      </c>
      <c r="F2882" s="11">
        <v>21878</v>
      </c>
      <c r="H2882" s="12">
        <f>(PrincipalesVariables[[#This Row],[Base monetaria]]-C2881)/C2881</f>
        <v>1.3923434264586589E-2</v>
      </c>
      <c r="I2882" s="12">
        <f>(PrincipalesVariables[[#This Row],[Dólar  mayorista]]-E2881)/E2881</f>
        <v>1.1428897968502992E-4</v>
      </c>
      <c r="J2882" s="12">
        <f>(PrincipalesVariables[[#This Row],[Reservas internacionales]]-F2881)/F2881</f>
        <v>9.1424392027793011E-5</v>
      </c>
    </row>
    <row r="2883" spans="1:10" ht="15.75" thickBot="1" x14ac:dyDescent="0.3">
      <c r="A2883" s="14">
        <v>45233</v>
      </c>
      <c r="B2883" s="15">
        <v>45233</v>
      </c>
      <c r="C2883" s="16">
        <v>7694018</v>
      </c>
      <c r="D2883" s="10">
        <f>PrincipalesVariables[[#This Row],[Base monetaria]]/1000000</f>
        <v>7.6940179999999998</v>
      </c>
      <c r="E2883" s="10">
        <v>350.03</v>
      </c>
      <c r="F2883" s="11">
        <v>21883</v>
      </c>
      <c r="H2883" s="12">
        <f>(PrincipalesVariables[[#This Row],[Base monetaria]]-C2882)/C2882</f>
        <v>1.8469815558645405E-2</v>
      </c>
      <c r="I2883" s="12">
        <f>(PrincipalesVariables[[#This Row],[Dólar  mayorista]]-E2882)/E2882</f>
        <v>0</v>
      </c>
      <c r="J2883" s="12">
        <f>(PrincipalesVariables[[#This Row],[Reservas internacionales]]-F2882)/F2882</f>
        <v>2.2854008593107232E-4</v>
      </c>
    </row>
    <row r="2884" spans="1:10" ht="15.75" thickBot="1" x14ac:dyDescent="0.3">
      <c r="A2884" s="14">
        <v>45237</v>
      </c>
      <c r="B2884" s="15">
        <v>45237</v>
      </c>
      <c r="C2884" s="16">
        <v>7688193</v>
      </c>
      <c r="D2884" s="10">
        <f>PrincipalesVariables[[#This Row],[Base monetaria]]/1000000</f>
        <v>7.6881930000000001</v>
      </c>
      <c r="E2884" s="10">
        <v>350.03</v>
      </c>
      <c r="F2884" s="11">
        <v>20928</v>
      </c>
      <c r="H2884" s="12">
        <f>(PrincipalesVariables[[#This Row],[Base monetaria]]-C2883)/C2883</f>
        <v>-7.5708167046138958E-4</v>
      </c>
      <c r="I2884" s="12">
        <f>(PrincipalesVariables[[#This Row],[Dólar  mayorista]]-E2883)/E2883</f>
        <v>0</v>
      </c>
      <c r="J2884" s="12">
        <f>(PrincipalesVariables[[#This Row],[Reservas internacionales]]-F2883)/F2883</f>
        <v>-4.3641182653201112E-2</v>
      </c>
    </row>
    <row r="2885" spans="1:10" ht="15.75" thickBot="1" x14ac:dyDescent="0.3">
      <c r="A2885" s="14">
        <v>45238</v>
      </c>
      <c r="B2885" s="15">
        <v>45238</v>
      </c>
      <c r="C2885" s="16">
        <v>7672613</v>
      </c>
      <c r="D2885" s="10">
        <f>PrincipalesVariables[[#This Row],[Base monetaria]]/1000000</f>
        <v>7.6726130000000001</v>
      </c>
      <c r="E2885" s="10">
        <v>350.03</v>
      </c>
      <c r="F2885" s="11">
        <v>20938</v>
      </c>
      <c r="H2885" s="12">
        <f>(PrincipalesVariables[[#This Row],[Base monetaria]]-C2884)/C2884</f>
        <v>-2.026483986549245E-3</v>
      </c>
      <c r="I2885" s="12">
        <f>(PrincipalesVariables[[#This Row],[Dólar  mayorista]]-E2884)/E2884</f>
        <v>0</v>
      </c>
      <c r="J2885" s="12">
        <f>(PrincipalesVariables[[#This Row],[Reservas internacionales]]-F2884)/F2884</f>
        <v>4.7782874617737002E-4</v>
      </c>
    </row>
    <row r="2886" spans="1:10" ht="15.75" thickBot="1" x14ac:dyDescent="0.3">
      <c r="A2886" s="14">
        <v>45239</v>
      </c>
      <c r="B2886" s="15">
        <v>45239</v>
      </c>
      <c r="C2886" s="16">
        <v>7669483</v>
      </c>
      <c r="D2886" s="10">
        <f>PrincipalesVariables[[#This Row],[Base monetaria]]/1000000</f>
        <v>7.6694829999999996</v>
      </c>
      <c r="E2886" s="10">
        <v>350.03</v>
      </c>
      <c r="F2886" s="11">
        <v>20950</v>
      </c>
      <c r="H2886" s="12">
        <f>(PrincipalesVariables[[#This Row],[Base monetaria]]-C2885)/C2885</f>
        <v>-4.0794446429136982E-4</v>
      </c>
      <c r="I2886" s="12">
        <f>(PrincipalesVariables[[#This Row],[Dólar  mayorista]]-E2885)/E2885</f>
        <v>0</v>
      </c>
      <c r="J2886" s="12">
        <f>(PrincipalesVariables[[#This Row],[Reservas internacionales]]-F2885)/F2885</f>
        <v>5.7312064189511897E-4</v>
      </c>
    </row>
    <row r="2887" spans="1:10" ht="15.75" thickBot="1" x14ac:dyDescent="0.3">
      <c r="A2887" s="14">
        <v>45240</v>
      </c>
      <c r="B2887" s="15">
        <v>45240</v>
      </c>
      <c r="C2887" s="16">
        <v>7719679</v>
      </c>
      <c r="D2887" s="10">
        <f>PrincipalesVariables[[#This Row],[Base monetaria]]/1000000</f>
        <v>7.7196790000000002</v>
      </c>
      <c r="E2887" s="10">
        <v>350</v>
      </c>
      <c r="F2887" s="11">
        <v>20905</v>
      </c>
      <c r="H2887" s="12">
        <f>(PrincipalesVariables[[#This Row],[Base monetaria]]-C2886)/C2886</f>
        <v>6.544900093004965E-3</v>
      </c>
      <c r="I2887" s="12">
        <f>(PrincipalesVariables[[#This Row],[Dólar  mayorista]]-E2886)/E2886</f>
        <v>-8.5706939405115893E-5</v>
      </c>
      <c r="J2887" s="12">
        <f>(PrincipalesVariables[[#This Row],[Reservas internacionales]]-F2886)/F2886</f>
        <v>-2.1479713603818618E-3</v>
      </c>
    </row>
    <row r="2888" spans="1:10" ht="15.75" thickBot="1" x14ac:dyDescent="0.3">
      <c r="A2888" s="14">
        <v>45243</v>
      </c>
      <c r="B2888" s="15">
        <v>45243</v>
      </c>
      <c r="C2888" s="16">
        <v>7637519</v>
      </c>
      <c r="D2888" s="10">
        <f>PrincipalesVariables[[#This Row],[Base monetaria]]/1000000</f>
        <v>7.6375190000000002</v>
      </c>
      <c r="E2888" s="10">
        <v>350.03</v>
      </c>
      <c r="F2888" s="11">
        <v>20977</v>
      </c>
      <c r="H2888" s="12">
        <f>(PrincipalesVariables[[#This Row],[Base monetaria]]-C2887)/C2887</f>
        <v>-1.0642929582952867E-2</v>
      </c>
      <c r="I2888" s="12">
        <f>(PrincipalesVariables[[#This Row],[Dólar  mayorista]]-E2887)/E2887</f>
        <v>8.5714285714207758E-5</v>
      </c>
      <c r="J2888" s="12">
        <f>(PrincipalesVariables[[#This Row],[Reservas internacionales]]-F2887)/F2887</f>
        <v>3.4441521167184884E-3</v>
      </c>
    </row>
    <row r="2889" spans="1:10" ht="15.75" thickBot="1" x14ac:dyDescent="0.3">
      <c r="A2889" s="14">
        <v>45244</v>
      </c>
      <c r="B2889" s="15">
        <v>45244</v>
      </c>
      <c r="C2889" s="16">
        <v>7692162</v>
      </c>
      <c r="D2889" s="10">
        <f>PrincipalesVariables[[#This Row],[Base monetaria]]/1000000</f>
        <v>7.6921619999999997</v>
      </c>
      <c r="E2889" s="10">
        <v>350.03</v>
      </c>
      <c r="F2889" s="11">
        <v>21167</v>
      </c>
      <c r="H2889" s="12">
        <f>(PrincipalesVariables[[#This Row],[Base monetaria]]-C2888)/C2888</f>
        <v>7.1545484862296253E-3</v>
      </c>
      <c r="I2889" s="12">
        <f>(PrincipalesVariables[[#This Row],[Dólar  mayorista]]-E2888)/E2888</f>
        <v>0</v>
      </c>
      <c r="J2889" s="12">
        <f>(PrincipalesVariables[[#This Row],[Reservas internacionales]]-F2888)/F2888</f>
        <v>9.057539209610525E-3</v>
      </c>
    </row>
    <row r="2890" spans="1:10" ht="15.75" thickBot="1" x14ac:dyDescent="0.3">
      <c r="A2890" s="14">
        <v>45245</v>
      </c>
      <c r="B2890" s="15">
        <v>45245</v>
      </c>
      <c r="C2890" s="16">
        <v>7732874</v>
      </c>
      <c r="D2890" s="10">
        <f>PrincipalesVariables[[#This Row],[Base monetaria]]/1000000</f>
        <v>7.7328739999999998</v>
      </c>
      <c r="E2890" s="10">
        <v>353.01</v>
      </c>
      <c r="F2890" s="11">
        <v>21102</v>
      </c>
      <c r="H2890" s="12">
        <f>(PrincipalesVariables[[#This Row],[Base monetaria]]-C2889)/C2889</f>
        <v>5.2926602429850022E-3</v>
      </c>
      <c r="I2890" s="12">
        <f>(PrincipalesVariables[[#This Row],[Dólar  mayorista]]-E2889)/E2889</f>
        <v>8.5135559809159742E-3</v>
      </c>
      <c r="J2890" s="12">
        <f>(PrincipalesVariables[[#This Row],[Reservas internacionales]]-F2889)/F2889</f>
        <v>-3.0708177823971275E-3</v>
      </c>
    </row>
    <row r="2891" spans="1:10" ht="15.75" thickBot="1" x14ac:dyDescent="0.3">
      <c r="A2891" s="14">
        <v>45246</v>
      </c>
      <c r="B2891" s="15">
        <v>45246</v>
      </c>
      <c r="C2891" s="16">
        <v>7758988</v>
      </c>
      <c r="D2891" s="10">
        <f>PrincipalesVariables[[#This Row],[Base monetaria]]/1000000</f>
        <v>7.7589880000000004</v>
      </c>
      <c r="E2891" s="10">
        <v>353.48</v>
      </c>
      <c r="F2891" s="11">
        <v>21403</v>
      </c>
      <c r="H2891" s="12">
        <f>(PrincipalesVariables[[#This Row],[Base monetaria]]-C2890)/C2890</f>
        <v>3.3770109276318222E-3</v>
      </c>
      <c r="I2891" s="12">
        <f>(PrincipalesVariables[[#This Row],[Dólar  mayorista]]-E2890)/E2890</f>
        <v>1.3314070422934968E-3</v>
      </c>
      <c r="J2891" s="12">
        <f>(PrincipalesVariables[[#This Row],[Reservas internacionales]]-F2890)/F2890</f>
        <v>1.4264050800871956E-2</v>
      </c>
    </row>
    <row r="2892" spans="1:10" ht="15.75" thickBot="1" x14ac:dyDescent="0.3">
      <c r="A2892" s="14">
        <v>45247</v>
      </c>
      <c r="B2892" s="15">
        <v>45247</v>
      </c>
      <c r="C2892" s="16">
        <v>7834198</v>
      </c>
      <c r="D2892" s="10">
        <f>PrincipalesVariables[[#This Row],[Base monetaria]]/1000000</f>
        <v>7.8341979999999998</v>
      </c>
      <c r="E2892" s="10">
        <v>354.01</v>
      </c>
      <c r="F2892" s="11">
        <v>21505</v>
      </c>
      <c r="H2892" s="12">
        <f>(PrincipalesVariables[[#This Row],[Base monetaria]]-C2891)/C2891</f>
        <v>9.6932744321811034E-3</v>
      </c>
      <c r="I2892" s="12">
        <f>(PrincipalesVariables[[#This Row],[Dólar  mayorista]]-E2891)/E2891</f>
        <v>1.4993776168382162E-3</v>
      </c>
      <c r="J2892" s="12">
        <f>(PrincipalesVariables[[#This Row],[Reservas internacionales]]-F2891)/F2891</f>
        <v>4.7656870532168391E-3</v>
      </c>
    </row>
    <row r="2893" spans="1:10" ht="15.75" thickBot="1" x14ac:dyDescent="0.3">
      <c r="A2893" s="14">
        <v>45251</v>
      </c>
      <c r="B2893" s="15">
        <v>45251</v>
      </c>
      <c r="C2893" s="16">
        <v>7696992</v>
      </c>
      <c r="D2893" s="10">
        <f>PrincipalesVariables[[#This Row],[Base monetaria]]/1000000</f>
        <v>7.6969919999999998</v>
      </c>
      <c r="E2893" s="10">
        <v>356.03</v>
      </c>
      <c r="F2893" s="11">
        <v>21631</v>
      </c>
      <c r="H2893" s="12">
        <f>(PrincipalesVariables[[#This Row],[Base monetaria]]-C2892)/C2892</f>
        <v>-1.7513726357184234E-2</v>
      </c>
      <c r="I2893" s="12">
        <f>(PrincipalesVariables[[#This Row],[Dólar  mayorista]]-E2892)/E2892</f>
        <v>5.7060535013134708E-3</v>
      </c>
      <c r="J2893" s="12">
        <f>(PrincipalesVariables[[#This Row],[Reservas internacionales]]-F2892)/F2892</f>
        <v>5.8591025342943498E-3</v>
      </c>
    </row>
    <row r="2894" spans="1:10" ht="15.75" thickBot="1" x14ac:dyDescent="0.3">
      <c r="A2894" s="14">
        <v>45252</v>
      </c>
      <c r="B2894" s="15">
        <v>45252</v>
      </c>
      <c r="C2894" s="16">
        <v>7675811</v>
      </c>
      <c r="D2894" s="10">
        <f>PrincipalesVariables[[#This Row],[Base monetaria]]/1000000</f>
        <v>7.6758110000000004</v>
      </c>
      <c r="E2894" s="10">
        <v>356.51</v>
      </c>
      <c r="F2894" s="11">
        <v>21539</v>
      </c>
      <c r="H2894" s="12">
        <f>(PrincipalesVariables[[#This Row],[Base monetaria]]-C2893)/C2893</f>
        <v>-2.751854230847583E-3</v>
      </c>
      <c r="I2894" s="12">
        <f>(PrincipalesVariables[[#This Row],[Dólar  mayorista]]-E2893)/E2893</f>
        <v>1.3482009942982845E-3</v>
      </c>
      <c r="J2894" s="12">
        <f>(PrincipalesVariables[[#This Row],[Reservas internacionales]]-F2893)/F2893</f>
        <v>-4.2531551939346312E-3</v>
      </c>
    </row>
    <row r="2895" spans="1:10" ht="15.75" thickBot="1" x14ac:dyDescent="0.3">
      <c r="A2895" s="14">
        <v>45253</v>
      </c>
      <c r="B2895" s="15">
        <v>45253</v>
      </c>
      <c r="C2895" s="16">
        <v>7755607</v>
      </c>
      <c r="D2895" s="10">
        <f>PrincipalesVariables[[#This Row],[Base monetaria]]/1000000</f>
        <v>7.7556070000000004</v>
      </c>
      <c r="E2895" s="10">
        <v>357.01</v>
      </c>
      <c r="F2895" s="11">
        <v>21554</v>
      </c>
      <c r="H2895" s="12">
        <f>(PrincipalesVariables[[#This Row],[Base monetaria]]-C2894)/C2894</f>
        <v>1.0395774466046649E-2</v>
      </c>
      <c r="I2895" s="12">
        <f>(PrincipalesVariables[[#This Row],[Dólar  mayorista]]-E2894)/E2894</f>
        <v>1.4024852037811E-3</v>
      </c>
      <c r="J2895" s="12">
        <f>(PrincipalesVariables[[#This Row],[Reservas internacionales]]-F2894)/F2894</f>
        <v>6.9641116114954268E-4</v>
      </c>
    </row>
    <row r="2896" spans="1:10" ht="15.75" thickBot="1" x14ac:dyDescent="0.3">
      <c r="A2896" s="14">
        <v>45254</v>
      </c>
      <c r="B2896" s="15">
        <v>45254</v>
      </c>
      <c r="C2896" s="16">
        <v>7885973</v>
      </c>
      <c r="D2896" s="10">
        <f>PrincipalesVariables[[#This Row],[Base monetaria]]/1000000</f>
        <v>7.8859729999999999</v>
      </c>
      <c r="E2896" s="10">
        <v>357.53</v>
      </c>
      <c r="F2896" s="11">
        <v>21551</v>
      </c>
      <c r="H2896" s="12">
        <f>(PrincipalesVariables[[#This Row],[Base monetaria]]-C2895)/C2895</f>
        <v>1.6809258127700386E-2</v>
      </c>
      <c r="I2896" s="12">
        <f>(PrincipalesVariables[[#This Row],[Dólar  mayorista]]-E2895)/E2895</f>
        <v>1.4565418335620343E-3</v>
      </c>
      <c r="J2896" s="12">
        <f>(PrincipalesVariables[[#This Row],[Reservas internacionales]]-F2895)/F2895</f>
        <v>-1.3918530203210541E-4</v>
      </c>
    </row>
    <row r="2897" spans="1:10" ht="15.75" thickBot="1" x14ac:dyDescent="0.3">
      <c r="A2897" s="14">
        <v>45257</v>
      </c>
      <c r="B2897" s="15">
        <v>45257</v>
      </c>
      <c r="C2897" s="16">
        <v>7990982</v>
      </c>
      <c r="D2897" s="10">
        <f>PrincipalesVariables[[#This Row],[Base monetaria]]/1000000</f>
        <v>7.9909819999999998</v>
      </c>
      <c r="E2897" s="10">
        <v>359.03</v>
      </c>
      <c r="F2897" s="11">
        <v>21538</v>
      </c>
      <c r="H2897" s="12">
        <f>(PrincipalesVariables[[#This Row],[Base monetaria]]-C2896)/C2896</f>
        <v>1.3315921827274833E-2</v>
      </c>
      <c r="I2897" s="12">
        <f>(PrincipalesVariables[[#This Row],[Dólar  mayorista]]-E2896)/E2896</f>
        <v>4.1954521298911982E-3</v>
      </c>
      <c r="J2897" s="12">
        <f>(PrincipalesVariables[[#This Row],[Reservas internacionales]]-F2896)/F2896</f>
        <v>-6.0322026820101154E-4</v>
      </c>
    </row>
    <row r="2898" spans="1:10" ht="15.75" thickBot="1" x14ac:dyDescent="0.3">
      <c r="A2898" s="14">
        <v>45258</v>
      </c>
      <c r="B2898" s="15">
        <v>45258</v>
      </c>
      <c r="C2898" s="16">
        <v>8141499</v>
      </c>
      <c r="D2898" s="10">
        <f>PrincipalesVariables[[#This Row],[Base monetaria]]/1000000</f>
        <v>8.1414989999999996</v>
      </c>
      <c r="E2898" s="10">
        <v>359.53</v>
      </c>
      <c r="F2898" s="11">
        <v>21535</v>
      </c>
      <c r="H2898" s="12">
        <f>(PrincipalesVariables[[#This Row],[Base monetaria]]-C2897)/C2897</f>
        <v>1.8835857720615565E-2</v>
      </c>
      <c r="I2898" s="12">
        <f>(PrincipalesVariables[[#This Row],[Dólar  mayorista]]-E2897)/E2897</f>
        <v>1.392641283458207E-3</v>
      </c>
      <c r="J2898" s="12">
        <f>(PrincipalesVariables[[#This Row],[Reservas internacionales]]-F2897)/F2897</f>
        <v>-1.3928869904355093E-4</v>
      </c>
    </row>
    <row r="2899" spans="1:10" ht="15.75" thickBot="1" x14ac:dyDescent="0.3">
      <c r="A2899" s="14">
        <v>45259</v>
      </c>
      <c r="B2899" s="15">
        <v>45259</v>
      </c>
      <c r="C2899" s="16">
        <v>7906039</v>
      </c>
      <c r="D2899" s="10">
        <f>PrincipalesVariables[[#This Row],[Base monetaria]]/1000000</f>
        <v>7.9060389999999998</v>
      </c>
      <c r="E2899" s="10">
        <v>360.01</v>
      </c>
      <c r="F2899" s="11">
        <v>21603</v>
      </c>
      <c r="H2899" s="12">
        <f>(PrincipalesVariables[[#This Row],[Base monetaria]]-C2898)/C2898</f>
        <v>-2.8920964063251741E-2</v>
      </c>
      <c r="I2899" s="12">
        <f>(PrincipalesVariables[[#This Row],[Dólar  mayorista]]-E2898)/E2898</f>
        <v>1.335076349678798E-3</v>
      </c>
      <c r="J2899" s="12">
        <f>(PrincipalesVariables[[#This Row],[Reservas internacionales]]-F2898)/F2898</f>
        <v>3.1576503366612489E-3</v>
      </c>
    </row>
    <row r="2900" spans="1:10" ht="15.75" thickBot="1" x14ac:dyDescent="0.3">
      <c r="A2900" s="14">
        <v>45260</v>
      </c>
      <c r="B2900" s="15">
        <v>45260</v>
      </c>
      <c r="C2900" s="16">
        <v>8973530</v>
      </c>
      <c r="D2900" s="10">
        <f>PrincipalesVariables[[#This Row],[Base monetaria]]/1000000</f>
        <v>8.9735300000000002</v>
      </c>
      <c r="E2900" s="10">
        <v>360.53</v>
      </c>
      <c r="F2900" s="11">
        <v>21513</v>
      </c>
      <c r="H2900" s="12">
        <f>(PrincipalesVariables[[#This Row],[Base monetaria]]-C2899)/C2899</f>
        <v>0.13502222794499244</v>
      </c>
      <c r="I2900" s="12">
        <f>(PrincipalesVariables[[#This Row],[Dólar  mayorista]]-E2899)/E2899</f>
        <v>1.4444043221021133E-3</v>
      </c>
      <c r="J2900" s="12">
        <f>(PrincipalesVariables[[#This Row],[Reservas internacionales]]-F2899)/F2899</f>
        <v>-4.1660880433273158E-3</v>
      </c>
    </row>
    <row r="2901" spans="1:10" ht="15.75" thickBot="1" x14ac:dyDescent="0.3">
      <c r="A2901" s="14">
        <v>45261</v>
      </c>
      <c r="B2901" s="15">
        <v>45261</v>
      </c>
      <c r="C2901" s="16">
        <v>8510332</v>
      </c>
      <c r="D2901" s="10">
        <f>PrincipalesVariables[[#This Row],[Base monetaria]]/1000000</f>
        <v>8.510332</v>
      </c>
      <c r="E2901" s="10">
        <v>361.03</v>
      </c>
      <c r="F2901" s="11">
        <v>21428</v>
      </c>
      <c r="H2901" s="12">
        <f>(PrincipalesVariables[[#This Row],[Base monetaria]]-C2900)/C2900</f>
        <v>-5.1618259480940051E-2</v>
      </c>
      <c r="I2901" s="12">
        <f>(PrincipalesVariables[[#This Row],[Dólar  mayorista]]-E2900)/E2900</f>
        <v>1.386847141708041E-3</v>
      </c>
      <c r="J2901" s="12">
        <f>(PrincipalesVariables[[#This Row],[Reservas internacionales]]-F2900)/F2900</f>
        <v>-3.9510993352856408E-3</v>
      </c>
    </row>
    <row r="2902" spans="1:10" ht="15.75" thickBot="1" x14ac:dyDescent="0.3">
      <c r="A2902" s="14">
        <v>45264</v>
      </c>
      <c r="B2902" s="15">
        <v>45264</v>
      </c>
      <c r="C2902" s="16">
        <v>8457920</v>
      </c>
      <c r="D2902" s="10">
        <f>PrincipalesVariables[[#This Row],[Base monetaria]]/1000000</f>
        <v>8.4579199999999997</v>
      </c>
      <c r="E2902" s="10">
        <v>362.53</v>
      </c>
      <c r="F2902" s="11">
        <v>21329</v>
      </c>
      <c r="H2902" s="12">
        <f>(PrincipalesVariables[[#This Row],[Base monetaria]]-C2901)/C2901</f>
        <v>-6.1586316491530528E-3</v>
      </c>
      <c r="I2902" s="12">
        <f>(PrincipalesVariables[[#This Row],[Dólar  mayorista]]-E2901)/E2901</f>
        <v>4.1547793812148582E-3</v>
      </c>
      <c r="J2902" s="12">
        <f>(PrincipalesVariables[[#This Row],[Reservas internacionales]]-F2901)/F2901</f>
        <v>-4.6201232032854209E-3</v>
      </c>
    </row>
    <row r="2903" spans="1:10" ht="15.75" thickBot="1" x14ac:dyDescent="0.3">
      <c r="A2903" s="14">
        <v>45265</v>
      </c>
      <c r="B2903" s="15">
        <v>45265</v>
      </c>
      <c r="C2903" s="16">
        <v>8913664</v>
      </c>
      <c r="D2903" s="10">
        <f>PrincipalesVariables[[#This Row],[Base monetaria]]/1000000</f>
        <v>8.9136640000000007</v>
      </c>
      <c r="E2903" s="10">
        <v>363.03</v>
      </c>
      <c r="F2903" s="11">
        <v>21345</v>
      </c>
      <c r="H2903" s="12">
        <f>(PrincipalesVariables[[#This Row],[Base monetaria]]-C2902)/C2902</f>
        <v>5.3883697173773219E-2</v>
      </c>
      <c r="I2903" s="12">
        <f>(PrincipalesVariables[[#This Row],[Dólar  mayorista]]-E2902)/E2902</f>
        <v>1.3791962044520454E-3</v>
      </c>
      <c r="J2903" s="12">
        <f>(PrincipalesVariables[[#This Row],[Reservas internacionales]]-F2902)/F2902</f>
        <v>7.501523747011112E-4</v>
      </c>
    </row>
    <row r="2904" spans="1:10" ht="15.75" thickBot="1" x14ac:dyDescent="0.3">
      <c r="A2904" s="14">
        <v>45266</v>
      </c>
      <c r="B2904" s="15">
        <v>45266</v>
      </c>
      <c r="C2904" s="16">
        <v>8944454</v>
      </c>
      <c r="D2904" s="10">
        <f>PrincipalesVariables[[#This Row],[Base monetaria]]/1000000</f>
        <v>8.9444540000000003</v>
      </c>
      <c r="E2904" s="10">
        <v>363.55</v>
      </c>
      <c r="F2904" s="11">
        <v>21168</v>
      </c>
      <c r="H2904" s="12">
        <f>(PrincipalesVariables[[#This Row],[Base monetaria]]-C2903)/C2903</f>
        <v>3.4542473218644992E-3</v>
      </c>
      <c r="I2904" s="12">
        <f>(PrincipalesVariables[[#This Row],[Dólar  mayorista]]-E2903)/E2903</f>
        <v>1.4323885078369246E-3</v>
      </c>
      <c r="J2904" s="12">
        <f>(PrincipalesVariables[[#This Row],[Reservas internacionales]]-F2903)/F2903</f>
        <v>-8.2923401264933232E-3</v>
      </c>
    </row>
    <row r="2905" spans="1:10" ht="15.75" thickBot="1" x14ac:dyDescent="0.3">
      <c r="A2905" s="14">
        <v>45267</v>
      </c>
      <c r="B2905" s="15">
        <v>45267</v>
      </c>
      <c r="C2905" s="16">
        <v>10124959</v>
      </c>
      <c r="D2905" s="10">
        <f>PrincipalesVariables[[#This Row],[Base monetaria]]/1000000</f>
        <v>10.124959</v>
      </c>
      <c r="E2905" s="10">
        <v>364.41</v>
      </c>
      <c r="F2905" s="11">
        <v>21209</v>
      </c>
      <c r="H2905" s="12">
        <f>(PrincipalesVariables[[#This Row],[Base monetaria]]-C2904)/C2904</f>
        <v>0.13198178446666503</v>
      </c>
      <c r="I2905" s="12">
        <f>(PrincipalesVariables[[#This Row],[Dólar  mayorista]]-E2904)/E2904</f>
        <v>2.365561820932509E-3</v>
      </c>
      <c r="J2905" s="12">
        <f>(PrincipalesVariables[[#This Row],[Reservas internacionales]]-F2904)/F2904</f>
        <v>1.9368858654572941E-3</v>
      </c>
    </row>
    <row r="2906" spans="1:10" ht="15.75" thickBot="1" x14ac:dyDescent="0.3">
      <c r="A2906" s="14">
        <v>45271</v>
      </c>
      <c r="B2906" s="15">
        <v>45271</v>
      </c>
      <c r="C2906" s="16">
        <v>9770222</v>
      </c>
      <c r="D2906" s="10">
        <f>PrincipalesVariables[[#This Row],[Base monetaria]]/1000000</f>
        <v>9.7702220000000004</v>
      </c>
      <c r="E2906" s="10">
        <v>366</v>
      </c>
      <c r="F2906" s="11">
        <v>21017</v>
      </c>
      <c r="H2906" s="12">
        <f>(PrincipalesVariables[[#This Row],[Base monetaria]]-C2905)/C2905</f>
        <v>-3.5035894960167249E-2</v>
      </c>
      <c r="I2906" s="12">
        <f>(PrincipalesVariables[[#This Row],[Dólar  mayorista]]-E2905)/E2905</f>
        <v>4.3632172552893027E-3</v>
      </c>
      <c r="J2906" s="12">
        <f>(PrincipalesVariables[[#This Row],[Reservas internacionales]]-F2905)/F2905</f>
        <v>-9.0527606204913007E-3</v>
      </c>
    </row>
    <row r="2907" spans="1:10" ht="15.75" thickBot="1" x14ac:dyDescent="0.3">
      <c r="A2907" s="14">
        <v>45272</v>
      </c>
      <c r="B2907" s="15">
        <v>45272</v>
      </c>
      <c r="C2907" s="16">
        <v>9927997</v>
      </c>
      <c r="D2907" s="10">
        <f>PrincipalesVariables[[#This Row],[Base monetaria]]/1000000</f>
        <v>9.9279969999999995</v>
      </c>
      <c r="E2907" s="10">
        <v>366.5</v>
      </c>
      <c r="F2907" s="11">
        <v>20920</v>
      </c>
      <c r="H2907" s="12">
        <f>(PrincipalesVariables[[#This Row],[Base monetaria]]-C2906)/C2906</f>
        <v>1.6148558343914807E-2</v>
      </c>
      <c r="I2907" s="12">
        <f>(PrincipalesVariables[[#This Row],[Dólar  mayorista]]-E2906)/E2906</f>
        <v>1.366120218579235E-3</v>
      </c>
      <c r="J2907" s="12">
        <f>(PrincipalesVariables[[#This Row],[Reservas internacionales]]-F2906)/F2906</f>
        <v>-4.6153114145691581E-3</v>
      </c>
    </row>
    <row r="2908" spans="1:10" ht="15.75" thickBot="1" x14ac:dyDescent="0.3">
      <c r="A2908" s="14">
        <v>45273</v>
      </c>
      <c r="B2908" s="15">
        <v>45273</v>
      </c>
      <c r="C2908" s="16">
        <v>8854100</v>
      </c>
      <c r="D2908" s="10">
        <f>PrincipalesVariables[[#This Row],[Base monetaria]]/1000000</f>
        <v>8.8541000000000007</v>
      </c>
      <c r="E2908" s="10">
        <v>799.98</v>
      </c>
      <c r="F2908" s="11">
        <v>21133</v>
      </c>
      <c r="H2908" s="12">
        <f>(PrincipalesVariables[[#This Row],[Base monetaria]]-C2907)/C2907</f>
        <v>-0.10816854598163154</v>
      </c>
      <c r="I2908" s="12">
        <f>(PrincipalesVariables[[#This Row],[Dólar  mayorista]]-E2907)/E2907</f>
        <v>1.1827557980900409</v>
      </c>
      <c r="J2908" s="12">
        <f>(PrincipalesVariables[[#This Row],[Reservas internacionales]]-F2907)/F2907</f>
        <v>1.0181644359464627E-2</v>
      </c>
    </row>
    <row r="2909" spans="1:10" ht="15.75" thickBot="1" x14ac:dyDescent="0.3">
      <c r="A2909" s="14">
        <v>45274</v>
      </c>
      <c r="B2909" s="15">
        <v>45274</v>
      </c>
      <c r="C2909" s="16">
        <v>8839974</v>
      </c>
      <c r="D2909" s="10">
        <f>PrincipalesVariables[[#This Row],[Base monetaria]]/1000000</f>
        <v>8.8399739999999998</v>
      </c>
      <c r="E2909" s="10">
        <v>800.53</v>
      </c>
      <c r="F2909" s="11">
        <v>21499</v>
      </c>
      <c r="H2909" s="12">
        <f>(PrincipalesVariables[[#This Row],[Base monetaria]]-C2908)/C2908</f>
        <v>-1.5954190713906552E-3</v>
      </c>
      <c r="I2909" s="12">
        <f>(PrincipalesVariables[[#This Row],[Dólar  mayorista]]-E2908)/E2908</f>
        <v>6.8751718792964137E-4</v>
      </c>
      <c r="J2909" s="12">
        <f>(PrincipalesVariables[[#This Row],[Reservas internacionales]]-F2908)/F2908</f>
        <v>1.7318885155917285E-2</v>
      </c>
    </row>
    <row r="2910" spans="1:10" ht="15.75" thickBot="1" x14ac:dyDescent="0.3">
      <c r="A2910" s="14">
        <v>45275</v>
      </c>
      <c r="B2910" s="15">
        <v>45275</v>
      </c>
      <c r="C2910" s="16">
        <v>9032404</v>
      </c>
      <c r="D2910" s="10">
        <f>PrincipalesVariables[[#This Row],[Base monetaria]]/1000000</f>
        <v>9.0324039999999997</v>
      </c>
      <c r="E2910" s="10">
        <v>801.08</v>
      </c>
      <c r="F2910" s="11">
        <v>21451</v>
      </c>
      <c r="H2910" s="12">
        <f>(PrincipalesVariables[[#This Row],[Base monetaria]]-C2909)/C2909</f>
        <v>2.1768163571521816E-2</v>
      </c>
      <c r="I2910" s="12">
        <f>(PrincipalesVariables[[#This Row],[Dólar  mayorista]]-E2909)/E2909</f>
        <v>6.8704483279835636E-4</v>
      </c>
      <c r="J2910" s="12">
        <f>(PrincipalesVariables[[#This Row],[Reservas internacionales]]-F2909)/F2909</f>
        <v>-2.2326619842783385E-3</v>
      </c>
    </row>
    <row r="2911" spans="1:10" ht="15.75" thickBot="1" x14ac:dyDescent="0.3">
      <c r="A2911" s="14">
        <v>45278</v>
      </c>
      <c r="B2911" s="15">
        <v>45278</v>
      </c>
      <c r="C2911" s="16">
        <v>8901432</v>
      </c>
      <c r="D2911" s="10">
        <f>PrincipalesVariables[[#This Row],[Base monetaria]]/1000000</f>
        <v>8.9014319999999998</v>
      </c>
      <c r="E2911" s="10">
        <v>802.63</v>
      </c>
      <c r="F2911" s="11">
        <v>21477</v>
      </c>
      <c r="H2911" s="12">
        <f>(PrincipalesVariables[[#This Row],[Base monetaria]]-C2910)/C2910</f>
        <v>-1.4500237146168396E-2</v>
      </c>
      <c r="I2911" s="12">
        <f>(PrincipalesVariables[[#This Row],[Dólar  mayorista]]-E2910)/E2910</f>
        <v>1.9348879013331433E-3</v>
      </c>
      <c r="J2911" s="12">
        <f>(PrincipalesVariables[[#This Row],[Reservas internacionales]]-F2910)/F2910</f>
        <v>1.2120647056081302E-3</v>
      </c>
    </row>
    <row r="2912" spans="1:10" ht="15.75" thickBot="1" x14ac:dyDescent="0.3">
      <c r="A2912" s="14">
        <v>45279</v>
      </c>
      <c r="B2912" s="15">
        <v>45279</v>
      </c>
      <c r="C2912" s="16">
        <v>8953095</v>
      </c>
      <c r="D2912" s="10">
        <f>PrincipalesVariables[[#This Row],[Base monetaria]]/1000000</f>
        <v>8.9530949999999994</v>
      </c>
      <c r="E2912" s="10">
        <v>803.18</v>
      </c>
      <c r="F2912" s="11">
        <v>22663</v>
      </c>
      <c r="H2912" s="12">
        <f>(PrincipalesVariables[[#This Row],[Base monetaria]]-C2911)/C2911</f>
        <v>5.8038976200683219E-3</v>
      </c>
      <c r="I2912" s="12">
        <f>(PrincipalesVariables[[#This Row],[Dólar  mayorista]]-E2911)/E2911</f>
        <v>6.8524724966666402E-4</v>
      </c>
      <c r="J2912" s="12">
        <f>(PrincipalesVariables[[#This Row],[Reservas internacionales]]-F2911)/F2911</f>
        <v>5.5221865251198959E-2</v>
      </c>
    </row>
    <row r="2913" spans="1:10" ht="15.75" thickBot="1" x14ac:dyDescent="0.3">
      <c r="A2913" s="14">
        <v>45280</v>
      </c>
      <c r="B2913" s="15">
        <v>45280</v>
      </c>
      <c r="C2913" s="16">
        <v>9044980</v>
      </c>
      <c r="D2913" s="10">
        <f>PrincipalesVariables[[#This Row],[Base monetaria]]/1000000</f>
        <v>9.0449800000000007</v>
      </c>
      <c r="E2913" s="10">
        <v>803.73</v>
      </c>
      <c r="F2913" s="11">
        <v>22758</v>
      </c>
      <c r="H2913" s="12">
        <f>(PrincipalesVariables[[#This Row],[Base monetaria]]-C2912)/C2912</f>
        <v>1.0262931422038971E-2</v>
      </c>
      <c r="I2913" s="12">
        <f>(PrincipalesVariables[[#This Row],[Dólar  mayorista]]-E2912)/E2912</f>
        <v>6.8477800742058849E-4</v>
      </c>
      <c r="J2913" s="12">
        <f>(PrincipalesVariables[[#This Row],[Reservas internacionales]]-F2912)/F2912</f>
        <v>4.1918545647089966E-3</v>
      </c>
    </row>
    <row r="2914" spans="1:10" ht="15.75" thickBot="1" x14ac:dyDescent="0.3">
      <c r="A2914" s="14">
        <v>45281</v>
      </c>
      <c r="B2914" s="15">
        <v>45281</v>
      </c>
      <c r="C2914" s="16">
        <v>9167600</v>
      </c>
      <c r="D2914" s="10">
        <f>PrincipalesVariables[[#This Row],[Base monetaria]]/1000000</f>
        <v>9.1676000000000002</v>
      </c>
      <c r="E2914" s="10">
        <v>804.23</v>
      </c>
      <c r="F2914" s="11">
        <v>22209</v>
      </c>
      <c r="H2914" s="12">
        <f>(PrincipalesVariables[[#This Row],[Base monetaria]]-C2913)/C2913</f>
        <v>1.3556691114850448E-2</v>
      </c>
      <c r="I2914" s="12">
        <f>(PrincipalesVariables[[#This Row],[Dólar  mayorista]]-E2913)/E2913</f>
        <v>6.2209946126186657E-4</v>
      </c>
      <c r="J2914" s="12">
        <f>(PrincipalesVariables[[#This Row],[Reservas internacionales]]-F2913)/F2913</f>
        <v>-2.412338518323227E-2</v>
      </c>
    </row>
    <row r="2915" spans="1:10" ht="15.75" thickBot="1" x14ac:dyDescent="0.3">
      <c r="A2915" s="14">
        <v>45282</v>
      </c>
      <c r="B2915" s="15">
        <v>45282</v>
      </c>
      <c r="C2915" s="16">
        <v>9030905</v>
      </c>
      <c r="D2915" s="10">
        <f>PrincipalesVariables[[#This Row],[Base monetaria]]/1000000</f>
        <v>9.0309050000000006</v>
      </c>
      <c r="E2915" s="10">
        <v>804.78</v>
      </c>
      <c r="F2915" s="11">
        <v>22581</v>
      </c>
      <c r="H2915" s="12">
        <f>(PrincipalesVariables[[#This Row],[Base monetaria]]-C2914)/C2914</f>
        <v>-1.4910663641520137E-2</v>
      </c>
      <c r="I2915" s="12">
        <f>(PrincipalesVariables[[#This Row],[Dólar  mayorista]]-E2914)/E2914</f>
        <v>6.8388396354271104E-4</v>
      </c>
      <c r="J2915" s="12">
        <f>(PrincipalesVariables[[#This Row],[Reservas internacionales]]-F2914)/F2914</f>
        <v>1.6749966229906793E-2</v>
      </c>
    </row>
    <row r="2916" spans="1:10" ht="15.75" thickBot="1" x14ac:dyDescent="0.3">
      <c r="A2916" s="14">
        <v>45286</v>
      </c>
      <c r="B2916" s="15">
        <v>45286</v>
      </c>
      <c r="C2916" s="16">
        <v>9213444</v>
      </c>
      <c r="D2916" s="10">
        <f>PrincipalesVariables[[#This Row],[Base monetaria]]/1000000</f>
        <v>9.2134440000000009</v>
      </c>
      <c r="E2916" s="10">
        <v>806.88</v>
      </c>
      <c r="F2916" s="11">
        <v>22571</v>
      </c>
      <c r="H2916" s="12">
        <f>(PrincipalesVariables[[#This Row],[Base monetaria]]-C2915)/C2915</f>
        <v>2.0212702935087902E-2</v>
      </c>
      <c r="I2916" s="12">
        <f>(PrincipalesVariables[[#This Row],[Dólar  mayorista]]-E2915)/E2915</f>
        <v>2.6094087825244451E-3</v>
      </c>
      <c r="J2916" s="12">
        <f>(PrincipalesVariables[[#This Row],[Reservas internacionales]]-F2915)/F2915</f>
        <v>-4.4285018378282625E-4</v>
      </c>
    </row>
    <row r="2917" spans="1:10" ht="15.75" thickBot="1" x14ac:dyDescent="0.3">
      <c r="A2917" s="14">
        <v>45287</v>
      </c>
      <c r="B2917" s="15">
        <v>45287</v>
      </c>
      <c r="C2917" s="16">
        <v>9226815</v>
      </c>
      <c r="D2917" s="10">
        <f>PrincipalesVariables[[#This Row],[Base monetaria]]/1000000</f>
        <v>9.2268150000000002</v>
      </c>
      <c r="E2917" s="10">
        <v>807.43</v>
      </c>
      <c r="F2917" s="11">
        <v>22763</v>
      </c>
      <c r="H2917" s="12">
        <f>(PrincipalesVariables[[#This Row],[Base monetaria]]-C2916)/C2916</f>
        <v>1.4512488489646217E-3</v>
      </c>
      <c r="I2917" s="12">
        <f>(PrincipalesVariables[[#This Row],[Dólar  mayorista]]-E2916)/E2916</f>
        <v>6.8163791394005864E-4</v>
      </c>
      <c r="J2917" s="12">
        <f>(PrincipalesVariables[[#This Row],[Reservas internacionales]]-F2916)/F2916</f>
        <v>8.5064906295689163E-3</v>
      </c>
    </row>
    <row r="2918" spans="1:10" ht="15.75" thickBot="1" x14ac:dyDescent="0.3">
      <c r="A2918" s="14">
        <v>45288</v>
      </c>
      <c r="B2918" s="15">
        <v>45288</v>
      </c>
      <c r="C2918" s="16">
        <v>9205744</v>
      </c>
      <c r="D2918" s="10">
        <f>PrincipalesVariables[[#This Row],[Base monetaria]]/1000000</f>
        <v>9.2057439999999993</v>
      </c>
      <c r="E2918" s="10">
        <v>807.98</v>
      </c>
      <c r="F2918" s="11">
        <v>23125</v>
      </c>
      <c r="H2918" s="12">
        <f>(PrincipalesVariables[[#This Row],[Base monetaria]]-C2917)/C2917</f>
        <v>-2.2836699337745472E-3</v>
      </c>
      <c r="I2918" s="12">
        <f>(PrincipalesVariables[[#This Row],[Dólar  mayorista]]-E2917)/E2917</f>
        <v>6.8117360018833618E-4</v>
      </c>
      <c r="J2918" s="12">
        <f>(PrincipalesVariables[[#This Row],[Reservas internacionales]]-F2917)/F2917</f>
        <v>1.5903000483240348E-2</v>
      </c>
    </row>
    <row r="2919" spans="1:10" ht="15.75" thickBot="1" x14ac:dyDescent="0.3">
      <c r="A2919" s="14">
        <v>45289</v>
      </c>
      <c r="B2919" s="15">
        <v>45289</v>
      </c>
      <c r="C2919" s="16">
        <v>9607992</v>
      </c>
      <c r="D2919" s="10">
        <f>PrincipalesVariables[[#This Row],[Base monetaria]]/1000000</f>
        <v>9.6079919999999994</v>
      </c>
      <c r="E2919" s="10">
        <v>808.48</v>
      </c>
      <c r="F2919" s="11">
        <v>23073</v>
      </c>
      <c r="H2919" s="12">
        <f>(PrincipalesVariables[[#This Row],[Base monetaria]]-C2918)/C2918</f>
        <v>4.3695327612846939E-2</v>
      </c>
      <c r="I2919" s="12">
        <f>(PrincipalesVariables[[#This Row],[Dólar  mayorista]]-E2918)/E2918</f>
        <v>6.1882719869303692E-4</v>
      </c>
      <c r="J2919" s="12">
        <f>(PrincipalesVariables[[#This Row],[Reservas internacionales]]-F2918)/F2918</f>
        <v>-2.2486486486486485E-3</v>
      </c>
    </row>
    <row r="2920" spans="1:10" ht="15.75" thickBot="1" x14ac:dyDescent="0.3">
      <c r="A2920" s="14">
        <v>45293</v>
      </c>
      <c r="B2920" s="15">
        <v>45293</v>
      </c>
      <c r="C2920" s="16">
        <v>9698733</v>
      </c>
      <c r="D2920" s="10">
        <f>PrincipalesVariables[[#This Row],[Base monetaria]]/1000000</f>
        <v>9.6987330000000007</v>
      </c>
      <c r="E2920" s="10">
        <v>810.65</v>
      </c>
      <c r="F2920" s="11">
        <v>23470</v>
      </c>
      <c r="H2920" s="12">
        <f>(PrincipalesVariables[[#This Row],[Base monetaria]]-C2919)/C2919</f>
        <v>9.4443250993547865E-3</v>
      </c>
      <c r="I2920" s="12">
        <f>(PrincipalesVariables[[#This Row],[Dólar  mayorista]]-E2919)/E2919</f>
        <v>2.6840490797545506E-3</v>
      </c>
      <c r="J2920" s="12">
        <f>(PrincipalesVariables[[#This Row],[Reservas internacionales]]-F2919)/F2919</f>
        <v>1.7206258397260869E-2</v>
      </c>
    </row>
    <row r="2921" spans="1:10" ht="15.75" thickBot="1" x14ac:dyDescent="0.3">
      <c r="A2921" s="14">
        <v>45294</v>
      </c>
      <c r="B2921" s="15">
        <v>45294</v>
      </c>
      <c r="C2921" s="16">
        <v>9676236</v>
      </c>
      <c r="D2921" s="10">
        <f>PrincipalesVariables[[#This Row],[Base monetaria]]/1000000</f>
        <v>9.6762359999999994</v>
      </c>
      <c r="E2921" s="10">
        <v>811.15</v>
      </c>
      <c r="F2921" s="11">
        <v>23677</v>
      </c>
      <c r="H2921" s="12">
        <f>(PrincipalesVariables[[#This Row],[Base monetaria]]-C2920)/C2920</f>
        <v>-2.3195813308810541E-3</v>
      </c>
      <c r="I2921" s="12">
        <f>(PrincipalesVariables[[#This Row],[Dólar  mayorista]]-E2920)/E2920</f>
        <v>6.1678899648430268E-4</v>
      </c>
      <c r="J2921" s="12">
        <f>(PrincipalesVariables[[#This Row],[Reservas internacionales]]-F2920)/F2920</f>
        <v>8.8197699190455895E-3</v>
      </c>
    </row>
    <row r="2922" spans="1:10" ht="15.75" thickBot="1" x14ac:dyDescent="0.3">
      <c r="A2922" s="14">
        <v>45295</v>
      </c>
      <c r="B2922" s="15">
        <v>45295</v>
      </c>
      <c r="C2922" s="16">
        <v>9692584</v>
      </c>
      <c r="D2922" s="10">
        <f>PrincipalesVariables[[#This Row],[Base monetaria]]/1000000</f>
        <v>9.6925840000000001</v>
      </c>
      <c r="E2922" s="10">
        <v>811.75</v>
      </c>
      <c r="F2922" s="11">
        <v>23835</v>
      </c>
      <c r="H2922" s="12">
        <f>(PrincipalesVariables[[#This Row],[Base monetaria]]-C2921)/C2921</f>
        <v>1.6894999253842093E-3</v>
      </c>
      <c r="I2922" s="12">
        <f>(PrincipalesVariables[[#This Row],[Dólar  mayorista]]-E2921)/E2921</f>
        <v>7.3969056278126461E-4</v>
      </c>
      <c r="J2922" s="12">
        <f>(PrincipalesVariables[[#This Row],[Reservas internacionales]]-F2921)/F2921</f>
        <v>6.6731427123368674E-3</v>
      </c>
    </row>
    <row r="2923" spans="1:10" ht="15.75" thickBot="1" x14ac:dyDescent="0.3">
      <c r="A2923" s="14">
        <v>45296</v>
      </c>
      <c r="B2923" s="15">
        <v>45296</v>
      </c>
      <c r="C2923" s="16">
        <v>9832701</v>
      </c>
      <c r="D2923" s="10">
        <f>PrincipalesVariables[[#This Row],[Base monetaria]]/1000000</f>
        <v>9.8327010000000001</v>
      </c>
      <c r="E2923" s="10">
        <v>812.25</v>
      </c>
      <c r="F2923" s="11">
        <v>24119</v>
      </c>
      <c r="H2923" s="12">
        <f>(PrincipalesVariables[[#This Row],[Base monetaria]]-C2922)/C2922</f>
        <v>1.445610375932775E-2</v>
      </c>
      <c r="I2923" s="12">
        <f>(PrincipalesVariables[[#This Row],[Dólar  mayorista]]-E2922)/E2922</f>
        <v>6.1595318755774562E-4</v>
      </c>
      <c r="J2923" s="12">
        <f>(PrincipalesVariables[[#This Row],[Reservas internacionales]]-F2922)/F2922</f>
        <v>1.1915250681770505E-2</v>
      </c>
    </row>
    <row r="2924" spans="1:10" ht="15.75" thickBot="1" x14ac:dyDescent="0.3">
      <c r="A2924" s="14">
        <v>45299</v>
      </c>
      <c r="B2924" s="15">
        <v>45299</v>
      </c>
      <c r="C2924" s="16">
        <v>10005620</v>
      </c>
      <c r="D2924" s="10">
        <f>PrincipalesVariables[[#This Row],[Base monetaria]]/1000000</f>
        <v>10.00562</v>
      </c>
      <c r="E2924" s="10">
        <v>813.85</v>
      </c>
      <c r="F2924" s="11">
        <v>23233</v>
      </c>
      <c r="H2924" s="12">
        <f>(PrincipalesVariables[[#This Row],[Base monetaria]]-C2923)/C2923</f>
        <v>1.7586113927393909E-2</v>
      </c>
      <c r="I2924" s="12">
        <f>(PrincipalesVariables[[#This Row],[Dólar  mayorista]]-E2923)/E2923</f>
        <v>1.9698368728839925E-3</v>
      </c>
      <c r="J2924" s="12">
        <f>(PrincipalesVariables[[#This Row],[Reservas internacionales]]-F2923)/F2923</f>
        <v>-3.6734524648617276E-2</v>
      </c>
    </row>
    <row r="2925" spans="1:10" ht="15.75" thickBot="1" x14ac:dyDescent="0.3">
      <c r="A2925" s="14">
        <v>45300</v>
      </c>
      <c r="B2925" s="15">
        <v>45300</v>
      </c>
      <c r="C2925" s="16">
        <v>10286320</v>
      </c>
      <c r="D2925" s="10">
        <f>PrincipalesVariables[[#This Row],[Base monetaria]]/1000000</f>
        <v>10.28632</v>
      </c>
      <c r="E2925" s="10">
        <v>814.35</v>
      </c>
      <c r="F2925" s="11">
        <v>23286</v>
      </c>
      <c r="H2925" s="12">
        <f>(PrincipalesVariables[[#This Row],[Base monetaria]]-C2924)/C2924</f>
        <v>2.8054233520761331E-2</v>
      </c>
      <c r="I2925" s="12">
        <f>(PrincipalesVariables[[#This Row],[Dólar  mayorista]]-E2924)/E2924</f>
        <v>6.143638262579099E-4</v>
      </c>
      <c r="J2925" s="12">
        <f>(PrincipalesVariables[[#This Row],[Reservas internacionales]]-F2924)/F2924</f>
        <v>2.2812378943743812E-3</v>
      </c>
    </row>
    <row r="2926" spans="1:10" ht="15.75" thickBot="1" x14ac:dyDescent="0.3">
      <c r="A2926" s="14">
        <v>45301</v>
      </c>
      <c r="B2926" s="15">
        <v>45301</v>
      </c>
      <c r="C2926" s="16">
        <v>10274059</v>
      </c>
      <c r="D2926" s="10">
        <f>PrincipalesVariables[[#This Row],[Base monetaria]]/1000000</f>
        <v>10.274058999999999</v>
      </c>
      <c r="E2926" s="10">
        <v>814.95</v>
      </c>
      <c r="F2926" s="11">
        <v>23411</v>
      </c>
      <c r="H2926" s="12">
        <f>(PrincipalesVariables[[#This Row],[Base monetaria]]-C2925)/C2925</f>
        <v>-1.1919714727910468E-3</v>
      </c>
      <c r="I2926" s="12">
        <f>(PrincipalesVariables[[#This Row],[Dólar  mayorista]]-E2925)/E2925</f>
        <v>7.3678393811017707E-4</v>
      </c>
      <c r="J2926" s="12">
        <f>(PrincipalesVariables[[#This Row],[Reservas internacionales]]-F2925)/F2925</f>
        <v>5.3680322940822811E-3</v>
      </c>
    </row>
    <row r="2927" spans="1:10" ht="15.75" thickBot="1" x14ac:dyDescent="0.3">
      <c r="A2927" s="14">
        <v>45302</v>
      </c>
      <c r="B2927" s="15">
        <v>45302</v>
      </c>
      <c r="C2927" s="16">
        <v>10266635</v>
      </c>
      <c r="D2927" s="10">
        <f>PrincipalesVariables[[#This Row],[Base monetaria]]/1000000</f>
        <v>10.266635000000001</v>
      </c>
      <c r="E2927" s="10">
        <v>815.45</v>
      </c>
      <c r="F2927" s="11">
        <v>23571</v>
      </c>
      <c r="H2927" s="12">
        <f>(PrincipalesVariables[[#This Row],[Base monetaria]]-C2926)/C2926</f>
        <v>-7.2259659011107485E-4</v>
      </c>
      <c r="I2927" s="12">
        <f>(PrincipalesVariables[[#This Row],[Dólar  mayorista]]-E2926)/E2926</f>
        <v>6.1353457267317006E-4</v>
      </c>
      <c r="J2927" s="12">
        <f>(PrincipalesVariables[[#This Row],[Reservas internacionales]]-F2926)/F2926</f>
        <v>6.8343940882491135E-3</v>
      </c>
    </row>
    <row r="2928" spans="1:10" ht="15.75" thickBot="1" x14ac:dyDescent="0.3">
      <c r="A2928" s="14">
        <v>45303</v>
      </c>
      <c r="B2928" s="15">
        <v>45303</v>
      </c>
      <c r="C2928" s="16">
        <v>10261901</v>
      </c>
      <c r="D2928" s="10">
        <f>PrincipalesVariables[[#This Row],[Base monetaria]]/1000000</f>
        <v>10.261901</v>
      </c>
      <c r="E2928" s="10">
        <v>816.05</v>
      </c>
      <c r="F2928" s="11">
        <v>23980</v>
      </c>
      <c r="H2928" s="12">
        <f>(PrincipalesVariables[[#This Row],[Base monetaria]]-C2927)/C2927</f>
        <v>-4.6110531834432606E-4</v>
      </c>
      <c r="I2928" s="12">
        <f>(PrincipalesVariables[[#This Row],[Dólar  mayorista]]-E2927)/E2927</f>
        <v>7.3579005457098418E-4</v>
      </c>
      <c r="J2928" s="12">
        <f>(PrincipalesVariables[[#This Row],[Reservas internacionales]]-F2927)/F2927</f>
        <v>1.7351830639344958E-2</v>
      </c>
    </row>
    <row r="2929" spans="1:10" ht="15.75" thickBot="1" x14ac:dyDescent="0.3">
      <c r="A2929" s="14">
        <v>45306</v>
      </c>
      <c r="B2929" s="15">
        <v>45306</v>
      </c>
      <c r="C2929" s="16">
        <v>10357211</v>
      </c>
      <c r="D2929" s="10">
        <f>PrincipalesVariables[[#This Row],[Base monetaria]]/1000000</f>
        <v>10.357211</v>
      </c>
      <c r="E2929" s="10">
        <v>817.65</v>
      </c>
      <c r="F2929" s="11">
        <v>24001</v>
      </c>
      <c r="H2929" s="12">
        <f>(PrincipalesVariables[[#This Row],[Base monetaria]]-C2928)/C2928</f>
        <v>9.2877528247446543E-3</v>
      </c>
      <c r="I2929" s="12">
        <f>(PrincipalesVariables[[#This Row],[Dólar  mayorista]]-E2928)/E2928</f>
        <v>1.9606641749893056E-3</v>
      </c>
      <c r="J2929" s="12">
        <f>(PrincipalesVariables[[#This Row],[Reservas internacionales]]-F2928)/F2928</f>
        <v>8.7572977481234363E-4</v>
      </c>
    </row>
    <row r="2930" spans="1:10" ht="15.75" thickBot="1" x14ac:dyDescent="0.3">
      <c r="A2930" s="14">
        <v>45307</v>
      </c>
      <c r="B2930" s="15">
        <v>45307</v>
      </c>
      <c r="C2930" s="16">
        <v>10371251</v>
      </c>
      <c r="D2930" s="10">
        <f>PrincipalesVariables[[#This Row],[Base monetaria]]/1000000</f>
        <v>10.371251000000001</v>
      </c>
      <c r="E2930" s="10">
        <v>818.15</v>
      </c>
      <c r="F2930" s="11">
        <v>23972</v>
      </c>
      <c r="H2930" s="12">
        <f>(PrincipalesVariables[[#This Row],[Base monetaria]]-C2929)/C2929</f>
        <v>1.3555772881328767E-3</v>
      </c>
      <c r="I2930" s="12">
        <f>(PrincipalesVariables[[#This Row],[Dólar  mayorista]]-E2929)/E2929</f>
        <v>6.1150859169571334E-4</v>
      </c>
      <c r="J2930" s="12">
        <f>(PrincipalesVariables[[#This Row],[Reservas internacionales]]-F2929)/F2929</f>
        <v>-1.2082829882088246E-3</v>
      </c>
    </row>
    <row r="2931" spans="1:10" ht="15.75" thickBot="1" x14ac:dyDescent="0.3">
      <c r="A2931" s="14">
        <v>45308</v>
      </c>
      <c r="B2931" s="15">
        <v>45308</v>
      </c>
      <c r="C2931" s="16">
        <v>10829100</v>
      </c>
      <c r="D2931" s="10">
        <f>PrincipalesVariables[[#This Row],[Base monetaria]]/1000000</f>
        <v>10.8291</v>
      </c>
      <c r="E2931" s="10">
        <v>818.65</v>
      </c>
      <c r="F2931" s="11">
        <v>24167</v>
      </c>
      <c r="H2931" s="12">
        <f>(PrincipalesVariables[[#This Row],[Base monetaria]]-C2930)/C2930</f>
        <v>4.4145976218298064E-2</v>
      </c>
      <c r="I2931" s="12">
        <f>(PrincipalesVariables[[#This Row],[Dólar  mayorista]]-E2930)/E2930</f>
        <v>6.1113487746745703E-4</v>
      </c>
      <c r="J2931" s="12">
        <f>(PrincipalesVariables[[#This Row],[Reservas internacionales]]-F2930)/F2930</f>
        <v>8.1344902386117132E-3</v>
      </c>
    </row>
    <row r="2932" spans="1:10" ht="15.75" thickBot="1" x14ac:dyDescent="0.3">
      <c r="A2932" s="14">
        <v>45309</v>
      </c>
      <c r="B2932" s="15">
        <v>45309</v>
      </c>
      <c r="C2932" s="16">
        <v>10209034</v>
      </c>
      <c r="D2932" s="10">
        <f>PrincipalesVariables[[#This Row],[Base monetaria]]/1000000</f>
        <v>10.209034000000001</v>
      </c>
      <c r="E2932" s="10">
        <v>819.25</v>
      </c>
      <c r="F2932" s="11">
        <v>24300</v>
      </c>
      <c r="H2932" s="12">
        <f>(PrincipalesVariables[[#This Row],[Base monetaria]]-C2931)/C2931</f>
        <v>-5.7259236686335889E-2</v>
      </c>
      <c r="I2932" s="12">
        <f>(PrincipalesVariables[[#This Row],[Dólar  mayorista]]-E2931)/E2931</f>
        <v>7.3291394368780647E-4</v>
      </c>
      <c r="J2932" s="12">
        <f>(PrincipalesVariables[[#This Row],[Reservas internacionales]]-F2931)/F2931</f>
        <v>5.5033723672776929E-3</v>
      </c>
    </row>
    <row r="2933" spans="1:10" ht="15.75" thickBot="1" x14ac:dyDescent="0.3">
      <c r="A2933" s="14">
        <v>45310</v>
      </c>
      <c r="B2933" s="15">
        <v>45310</v>
      </c>
      <c r="C2933" s="16">
        <v>10253476</v>
      </c>
      <c r="D2933" s="10">
        <f>PrincipalesVariables[[#This Row],[Base monetaria]]/1000000</f>
        <v>10.253475999999999</v>
      </c>
      <c r="E2933" s="10">
        <v>819.75</v>
      </c>
      <c r="F2933" s="11">
        <v>24427</v>
      </c>
      <c r="H2933" s="12">
        <f>(PrincipalesVariables[[#This Row],[Base monetaria]]-C2932)/C2932</f>
        <v>4.3532032511597084E-3</v>
      </c>
      <c r="I2933" s="12">
        <f>(PrincipalesVariables[[#This Row],[Dólar  mayorista]]-E2932)/E2932</f>
        <v>6.1031431187061336E-4</v>
      </c>
      <c r="J2933" s="12">
        <f>(PrincipalesVariables[[#This Row],[Reservas internacionales]]-F2932)/F2932</f>
        <v>5.2263374485596705E-3</v>
      </c>
    </row>
    <row r="2934" spans="1:10" ht="15.75" thickBot="1" x14ac:dyDescent="0.3">
      <c r="A2934" s="14">
        <v>45313</v>
      </c>
      <c r="B2934" s="15">
        <v>45313</v>
      </c>
      <c r="C2934" s="16">
        <v>10144159</v>
      </c>
      <c r="D2934" s="10">
        <f>PrincipalesVariables[[#This Row],[Base monetaria]]/1000000</f>
        <v>10.144159</v>
      </c>
      <c r="E2934" s="10">
        <v>821.45</v>
      </c>
      <c r="F2934" s="11">
        <v>24488</v>
      </c>
      <c r="H2934" s="12">
        <f>(PrincipalesVariables[[#This Row],[Base monetaria]]-C2933)/C2933</f>
        <v>-1.0661457636415203E-2</v>
      </c>
      <c r="I2934" s="12">
        <f>(PrincipalesVariables[[#This Row],[Dólar  mayorista]]-E2933)/E2933</f>
        <v>2.0738029887161277E-3</v>
      </c>
      <c r="J2934" s="12">
        <f>(PrincipalesVariables[[#This Row],[Reservas internacionales]]-F2933)/F2933</f>
        <v>2.4972366643468292E-3</v>
      </c>
    </row>
    <row r="2935" spans="1:10" ht="15.75" thickBot="1" x14ac:dyDescent="0.3">
      <c r="A2935" s="14">
        <v>45314</v>
      </c>
      <c r="B2935" s="15">
        <v>45314</v>
      </c>
      <c r="C2935" s="16">
        <v>10363492</v>
      </c>
      <c r="D2935" s="10">
        <f>PrincipalesVariables[[#This Row],[Base monetaria]]/1000000</f>
        <v>10.363492000000001</v>
      </c>
      <c r="E2935" s="10">
        <v>821.95</v>
      </c>
      <c r="F2935" s="11">
        <v>24675</v>
      </c>
      <c r="H2935" s="12">
        <f>(PrincipalesVariables[[#This Row],[Base monetaria]]-C2934)/C2934</f>
        <v>2.1621605102995725E-2</v>
      </c>
      <c r="I2935" s="12">
        <f>(PrincipalesVariables[[#This Row],[Dólar  mayorista]]-E2934)/E2934</f>
        <v>6.0867977357112425E-4</v>
      </c>
      <c r="J2935" s="12">
        <f>(PrincipalesVariables[[#This Row],[Reservas internacionales]]-F2934)/F2934</f>
        <v>7.6363933355112707E-3</v>
      </c>
    </row>
    <row r="2936" spans="1:10" ht="15.75" thickBot="1" x14ac:dyDescent="0.3">
      <c r="A2936" s="14">
        <v>45315</v>
      </c>
      <c r="B2936" s="15">
        <v>45315</v>
      </c>
      <c r="C2936" s="16">
        <v>10351652</v>
      </c>
      <c r="D2936" s="10">
        <f>PrincipalesVariables[[#This Row],[Base monetaria]]/1000000</f>
        <v>10.351652</v>
      </c>
      <c r="E2936" s="10">
        <v>822.45</v>
      </c>
      <c r="F2936" s="11">
        <v>24848</v>
      </c>
      <c r="H2936" s="12">
        <f>(PrincipalesVariables[[#This Row],[Base monetaria]]-C2935)/C2935</f>
        <v>-1.1424720547861668E-3</v>
      </c>
      <c r="I2936" s="12">
        <f>(PrincipalesVariables[[#This Row],[Dólar  mayorista]]-E2935)/E2935</f>
        <v>6.0830950787760804E-4</v>
      </c>
      <c r="J2936" s="12">
        <f>(PrincipalesVariables[[#This Row],[Reservas internacionales]]-F2935)/F2935</f>
        <v>7.0111448834853088E-3</v>
      </c>
    </row>
    <row r="2937" spans="1:10" ht="15.75" thickBot="1" x14ac:dyDescent="0.3">
      <c r="A2937" s="14">
        <v>45316</v>
      </c>
      <c r="B2937" s="15">
        <v>45316</v>
      </c>
      <c r="C2937" s="16">
        <v>10325641</v>
      </c>
      <c r="D2937" s="10">
        <f>PrincipalesVariables[[#This Row],[Base monetaria]]/1000000</f>
        <v>10.325640999999999</v>
      </c>
      <c r="E2937" s="10">
        <v>823.05</v>
      </c>
      <c r="F2937" s="11">
        <v>24859</v>
      </c>
      <c r="H2937" s="12">
        <f>(PrincipalesVariables[[#This Row],[Base monetaria]]-C2936)/C2936</f>
        <v>-2.5127390294805117E-3</v>
      </c>
      <c r="I2937" s="12">
        <f>(PrincipalesVariables[[#This Row],[Dólar  mayorista]]-E2936)/E2936</f>
        <v>7.2952763085890819E-4</v>
      </c>
      <c r="J2937" s="12">
        <f>(PrincipalesVariables[[#This Row],[Reservas internacionales]]-F2936)/F2936</f>
        <v>4.4269156471345785E-4</v>
      </c>
    </row>
    <row r="2938" spans="1:10" ht="15.75" thickBot="1" x14ac:dyDescent="0.3">
      <c r="A2938" s="14">
        <v>45317</v>
      </c>
      <c r="B2938" s="15">
        <v>45317</v>
      </c>
      <c r="C2938" s="16">
        <v>10649618</v>
      </c>
      <c r="D2938" s="10">
        <f>PrincipalesVariables[[#This Row],[Base monetaria]]/1000000</f>
        <v>10.649618</v>
      </c>
      <c r="E2938" s="10">
        <v>823.55</v>
      </c>
      <c r="F2938" s="11">
        <v>25007</v>
      </c>
      <c r="H2938" s="12">
        <f>(PrincipalesVariables[[#This Row],[Base monetaria]]-C2937)/C2937</f>
        <v>3.1375969782408669E-2</v>
      </c>
      <c r="I2938" s="12">
        <f>(PrincipalesVariables[[#This Row],[Dólar  mayorista]]-E2937)/E2937</f>
        <v>6.0749650689508538E-4</v>
      </c>
      <c r="J2938" s="12">
        <f>(PrincipalesVariables[[#This Row],[Reservas internacionales]]-F2937)/F2937</f>
        <v>5.9535781809405041E-3</v>
      </c>
    </row>
    <row r="2939" spans="1:10" ht="15.75" thickBot="1" x14ac:dyDescent="0.3">
      <c r="A2939" s="14">
        <v>45320</v>
      </c>
      <c r="B2939" s="15">
        <v>45320</v>
      </c>
      <c r="C2939" s="16">
        <v>10406173</v>
      </c>
      <c r="D2939" s="10">
        <f>PrincipalesVariables[[#This Row],[Base monetaria]]/1000000</f>
        <v>10.406173000000001</v>
      </c>
      <c r="E2939" s="10">
        <v>825.25</v>
      </c>
      <c r="F2939" s="11">
        <v>25158</v>
      </c>
      <c r="H2939" s="12">
        <f>(PrincipalesVariables[[#This Row],[Base monetaria]]-C2938)/C2938</f>
        <v>-2.2859505383197781E-2</v>
      </c>
      <c r="I2939" s="12">
        <f>(PrincipalesVariables[[#This Row],[Dólar  mayorista]]-E2938)/E2938</f>
        <v>2.0642341084330588E-3</v>
      </c>
      <c r="J2939" s="12">
        <f>(PrincipalesVariables[[#This Row],[Reservas internacionales]]-F2938)/F2938</f>
        <v>6.038309273403447E-3</v>
      </c>
    </row>
    <row r="2940" spans="1:10" ht="15.75" thickBot="1" x14ac:dyDescent="0.3">
      <c r="A2940" s="14">
        <v>45321</v>
      </c>
      <c r="B2940" s="15">
        <v>45321</v>
      </c>
      <c r="C2940" s="16">
        <v>10326024</v>
      </c>
      <c r="D2940" s="10">
        <f>PrincipalesVariables[[#This Row],[Base monetaria]]/1000000</f>
        <v>10.326024</v>
      </c>
      <c r="E2940" s="10">
        <v>825.75</v>
      </c>
      <c r="F2940" s="11">
        <v>25105</v>
      </c>
      <c r="H2940" s="12">
        <f>(PrincipalesVariables[[#This Row],[Base monetaria]]-C2939)/C2939</f>
        <v>-7.7020629966463175E-3</v>
      </c>
      <c r="I2940" s="12">
        <f>(PrincipalesVariables[[#This Row],[Dólar  mayorista]]-E2939)/E2939</f>
        <v>6.0587700696758558E-4</v>
      </c>
      <c r="J2940" s="12">
        <f>(PrincipalesVariables[[#This Row],[Reservas internacionales]]-F2939)/F2939</f>
        <v>-2.1066857460847444E-3</v>
      </c>
    </row>
    <row r="2941" spans="1:10" ht="15.75" thickBot="1" x14ac:dyDescent="0.3">
      <c r="A2941" s="14">
        <v>45322</v>
      </c>
      <c r="B2941" s="15">
        <v>45322</v>
      </c>
      <c r="C2941" s="16">
        <v>10923532</v>
      </c>
      <c r="D2941" s="10">
        <f>PrincipalesVariables[[#This Row],[Base monetaria]]/1000000</f>
        <v>10.923532</v>
      </c>
      <c r="E2941" s="10">
        <v>826.25</v>
      </c>
      <c r="F2941" s="11">
        <v>27642</v>
      </c>
      <c r="H2941" s="12">
        <f>(PrincipalesVariables[[#This Row],[Base monetaria]]-C2940)/C2940</f>
        <v>5.7864285420990695E-2</v>
      </c>
      <c r="I2941" s="12">
        <f>(PrincipalesVariables[[#This Row],[Dólar  mayorista]]-E2940)/E2940</f>
        <v>6.0551014229488342E-4</v>
      </c>
      <c r="J2941" s="12">
        <f>(PrincipalesVariables[[#This Row],[Reservas internacionales]]-F2940)/F2940</f>
        <v>0.10105556662019519</v>
      </c>
    </row>
    <row r="2942" spans="1:10" ht="15.75" thickBot="1" x14ac:dyDescent="0.3">
      <c r="A2942" s="14">
        <v>45323</v>
      </c>
      <c r="B2942" s="15">
        <v>45323</v>
      </c>
      <c r="C2942" s="16">
        <v>10430278</v>
      </c>
      <c r="D2942" s="10">
        <f>PrincipalesVariables[[#This Row],[Base monetaria]]/1000000</f>
        <v>10.430277999999999</v>
      </c>
      <c r="E2942" s="10">
        <v>826.85</v>
      </c>
      <c r="F2942" s="11">
        <v>27072</v>
      </c>
      <c r="H2942" s="12">
        <f>(PrincipalesVariables[[#This Row],[Base monetaria]]-C2941)/C2941</f>
        <v>-4.5155175084395781E-2</v>
      </c>
      <c r="I2942" s="12">
        <f>(PrincipalesVariables[[#This Row],[Dólar  mayorista]]-E2941)/E2941</f>
        <v>7.2617246596069318E-4</v>
      </c>
      <c r="J2942" s="12">
        <f>(PrincipalesVariables[[#This Row],[Reservas internacionales]]-F2941)/F2941</f>
        <v>-2.0620794443238551E-2</v>
      </c>
    </row>
    <row r="2943" spans="1:10" ht="15.75" thickBot="1" x14ac:dyDescent="0.3">
      <c r="A2943" s="14">
        <v>45324</v>
      </c>
      <c r="B2943" s="15">
        <v>45324</v>
      </c>
      <c r="C2943" s="16">
        <v>10613776</v>
      </c>
      <c r="D2943" s="10">
        <f>PrincipalesVariables[[#This Row],[Base monetaria]]/1000000</f>
        <v>10.613776</v>
      </c>
      <c r="E2943" s="10">
        <v>827.35</v>
      </c>
      <c r="F2943" s="11">
        <v>27016</v>
      </c>
      <c r="H2943" s="12">
        <f>(PrincipalesVariables[[#This Row],[Base monetaria]]-C2942)/C2942</f>
        <v>1.7592819673646284E-2</v>
      </c>
      <c r="I2943" s="12">
        <f>(PrincipalesVariables[[#This Row],[Dólar  mayorista]]-E2942)/E2942</f>
        <v>6.0470460180201975E-4</v>
      </c>
      <c r="J2943" s="12">
        <f>(PrincipalesVariables[[#This Row],[Reservas internacionales]]-F2942)/F2942</f>
        <v>-2.0685579196217494E-3</v>
      </c>
    </row>
    <row r="2944" spans="1:10" ht="15.75" thickBot="1" x14ac:dyDescent="0.3">
      <c r="A2944" s="14">
        <v>45327</v>
      </c>
      <c r="B2944" s="15">
        <v>45327</v>
      </c>
      <c r="C2944" s="16">
        <v>10442517</v>
      </c>
      <c r="D2944" s="10">
        <f>PrincipalesVariables[[#This Row],[Base monetaria]]/1000000</f>
        <v>10.442517</v>
      </c>
      <c r="E2944" s="10">
        <v>829.05</v>
      </c>
      <c r="F2944" s="11">
        <v>26991</v>
      </c>
      <c r="H2944" s="12">
        <f>(PrincipalesVariables[[#This Row],[Base monetaria]]-C2943)/C2943</f>
        <v>-1.6135539321726781E-2</v>
      </c>
      <c r="I2944" s="12">
        <f>(PrincipalesVariables[[#This Row],[Dólar  mayorista]]-E2943)/E2943</f>
        <v>2.0547531274550455E-3</v>
      </c>
      <c r="J2944" s="12">
        <f>(PrincipalesVariables[[#This Row],[Reservas internacionales]]-F2943)/F2943</f>
        <v>-9.2537755404204912E-4</v>
      </c>
    </row>
    <row r="2945" spans="1:10" ht="15.75" thickBot="1" x14ac:dyDescent="0.3">
      <c r="A2945" s="14">
        <v>45328</v>
      </c>
      <c r="B2945" s="15">
        <v>45328</v>
      </c>
      <c r="C2945" s="16">
        <v>10394760</v>
      </c>
      <c r="D2945" s="10">
        <f>PrincipalesVariables[[#This Row],[Base monetaria]]/1000000</f>
        <v>10.39476</v>
      </c>
      <c r="E2945" s="10">
        <v>829.55</v>
      </c>
      <c r="F2945" s="11">
        <v>26414</v>
      </c>
      <c r="H2945" s="12">
        <f>(PrincipalesVariables[[#This Row],[Base monetaria]]-C2944)/C2944</f>
        <v>-4.5733226960511528E-3</v>
      </c>
      <c r="I2945" s="12">
        <f>(PrincipalesVariables[[#This Row],[Dólar  mayorista]]-E2944)/E2944</f>
        <v>6.0309993365900737E-4</v>
      </c>
      <c r="J2945" s="12">
        <f>(PrincipalesVariables[[#This Row],[Reservas internacionales]]-F2944)/F2944</f>
        <v>-2.1377496202437851E-2</v>
      </c>
    </row>
    <row r="2946" spans="1:10" ht="15.75" thickBot="1" x14ac:dyDescent="0.3">
      <c r="A2946" s="14">
        <v>45329</v>
      </c>
      <c r="B2946" s="15">
        <v>45329</v>
      </c>
      <c r="C2946" s="16">
        <v>10430577</v>
      </c>
      <c r="D2946" s="10">
        <f>PrincipalesVariables[[#This Row],[Base monetaria]]/1000000</f>
        <v>10.430577</v>
      </c>
      <c r="E2946" s="10">
        <v>830.15</v>
      </c>
      <c r="F2946" s="11">
        <v>26483</v>
      </c>
      <c r="H2946" s="12">
        <f>(PrincipalesVariables[[#This Row],[Base monetaria]]-C2945)/C2945</f>
        <v>3.4456783995012873E-3</v>
      </c>
      <c r="I2946" s="12">
        <f>(PrincipalesVariables[[#This Row],[Dólar  mayorista]]-E2945)/E2945</f>
        <v>7.2328370803450399E-4</v>
      </c>
      <c r="J2946" s="12">
        <f>(PrincipalesVariables[[#This Row],[Reservas internacionales]]-F2945)/F2945</f>
        <v>2.6122510789732718E-3</v>
      </c>
    </row>
    <row r="2947" spans="1:10" ht="15.75" thickBot="1" x14ac:dyDescent="0.3">
      <c r="A2947" s="14">
        <v>45330</v>
      </c>
      <c r="B2947" s="15">
        <v>45330</v>
      </c>
      <c r="C2947" s="16">
        <v>10488814</v>
      </c>
      <c r="D2947" s="10">
        <f>PrincipalesVariables[[#This Row],[Base monetaria]]/1000000</f>
        <v>10.488814</v>
      </c>
      <c r="E2947" s="10">
        <v>830.65</v>
      </c>
      <c r="F2947" s="11">
        <v>26377</v>
      </c>
      <c r="H2947" s="12">
        <f>(PrincipalesVariables[[#This Row],[Base monetaria]]-C2946)/C2946</f>
        <v>5.5832961110396867E-3</v>
      </c>
      <c r="I2947" s="12">
        <f>(PrincipalesVariables[[#This Row],[Dólar  mayorista]]-E2946)/E2946</f>
        <v>6.0230078901403364E-4</v>
      </c>
      <c r="J2947" s="12">
        <f>(PrincipalesVariables[[#This Row],[Reservas internacionales]]-F2946)/F2946</f>
        <v>-4.002567684929955E-3</v>
      </c>
    </row>
    <row r="2948" spans="1:10" ht="15.75" thickBot="1" x14ac:dyDescent="0.3">
      <c r="A2948" s="14">
        <v>45331</v>
      </c>
      <c r="B2948" s="15">
        <v>45331</v>
      </c>
      <c r="C2948" s="16">
        <v>10633243</v>
      </c>
      <c r="D2948" s="10">
        <f>PrincipalesVariables[[#This Row],[Base monetaria]]/1000000</f>
        <v>10.633243</v>
      </c>
      <c r="E2948" s="10">
        <v>831.25</v>
      </c>
      <c r="F2948" s="11">
        <v>26502</v>
      </c>
      <c r="H2948" s="12">
        <f>(PrincipalesVariables[[#This Row],[Base monetaria]]-C2947)/C2947</f>
        <v>1.3769812297176783E-2</v>
      </c>
      <c r="I2948" s="12">
        <f>(PrincipalesVariables[[#This Row],[Dólar  mayorista]]-E2947)/E2947</f>
        <v>7.223258893637787E-4</v>
      </c>
      <c r="J2948" s="12">
        <f>(PrincipalesVariables[[#This Row],[Reservas internacionales]]-F2947)/F2947</f>
        <v>4.7389771391742807E-3</v>
      </c>
    </row>
    <row r="2949" spans="1:10" ht="15.75" thickBot="1" x14ac:dyDescent="0.3">
      <c r="A2949" s="14">
        <v>45336</v>
      </c>
      <c r="B2949" s="15">
        <v>45336</v>
      </c>
      <c r="C2949" s="16">
        <v>10493206</v>
      </c>
      <c r="D2949" s="10">
        <f>PrincipalesVariables[[#This Row],[Base monetaria]]/1000000</f>
        <v>10.493206000000001</v>
      </c>
      <c r="E2949" s="10">
        <v>833.95</v>
      </c>
      <c r="F2949" s="11">
        <v>26603</v>
      </c>
      <c r="H2949" s="12">
        <f>(PrincipalesVariables[[#This Row],[Base monetaria]]-C2948)/C2948</f>
        <v>-1.3169735705278249E-2</v>
      </c>
      <c r="I2949" s="12">
        <f>(PrincipalesVariables[[#This Row],[Dólar  mayorista]]-E2948)/E2948</f>
        <v>3.2481203007519344E-3</v>
      </c>
      <c r="J2949" s="12">
        <f>(PrincipalesVariables[[#This Row],[Reservas internacionales]]-F2948)/F2948</f>
        <v>3.8110331295751264E-3</v>
      </c>
    </row>
    <row r="2950" spans="1:10" ht="15.75" thickBot="1" x14ac:dyDescent="0.3">
      <c r="A2950" s="14">
        <v>45337</v>
      </c>
      <c r="B2950" s="15">
        <v>45337</v>
      </c>
      <c r="C2950" s="16">
        <v>10391159</v>
      </c>
      <c r="D2950" s="10">
        <f>PrincipalesVariables[[#This Row],[Base monetaria]]/1000000</f>
        <v>10.391159</v>
      </c>
      <c r="E2950" s="10">
        <v>834.57</v>
      </c>
      <c r="F2950" s="11">
        <v>26641</v>
      </c>
      <c r="H2950" s="12">
        <f>(PrincipalesVariables[[#This Row],[Base monetaria]]-C2949)/C2949</f>
        <v>-9.7250544781070716E-3</v>
      </c>
      <c r="I2950" s="12">
        <f>(PrincipalesVariables[[#This Row],[Dólar  mayorista]]-E2949)/E2949</f>
        <v>7.4344984711314165E-4</v>
      </c>
      <c r="J2950" s="12">
        <f>(PrincipalesVariables[[#This Row],[Reservas internacionales]]-F2949)/F2949</f>
        <v>1.4284103296620682E-3</v>
      </c>
    </row>
    <row r="2951" spans="1:10" ht="15.75" thickBot="1" x14ac:dyDescent="0.3">
      <c r="A2951" s="14">
        <v>45338</v>
      </c>
      <c r="B2951" s="15">
        <v>45338</v>
      </c>
      <c r="C2951" s="16">
        <v>10397490</v>
      </c>
      <c r="D2951" s="10">
        <f>PrincipalesVariables[[#This Row],[Base monetaria]]/1000000</f>
        <v>10.397489999999999</v>
      </c>
      <c r="E2951" s="10">
        <v>835.05</v>
      </c>
      <c r="F2951" s="11">
        <v>26860</v>
      </c>
      <c r="H2951" s="12">
        <f>(PrincipalesVariables[[#This Row],[Base monetaria]]-C2950)/C2950</f>
        <v>6.0926793632933539E-4</v>
      </c>
      <c r="I2951" s="12">
        <f>(PrincipalesVariables[[#This Row],[Dólar  mayorista]]-E2950)/E2950</f>
        <v>5.7514648261967774E-4</v>
      </c>
      <c r="J2951" s="12">
        <f>(PrincipalesVariables[[#This Row],[Reservas internacionales]]-F2950)/F2950</f>
        <v>8.2204121466911903E-3</v>
      </c>
    </row>
    <row r="2952" spans="1:10" ht="15.75" thickBot="1" x14ac:dyDescent="0.3">
      <c r="A2952" s="14">
        <v>45341</v>
      </c>
      <c r="B2952" s="15">
        <v>45341</v>
      </c>
      <c r="C2952" s="16">
        <v>11111551</v>
      </c>
      <c r="D2952" s="10">
        <f>PrincipalesVariables[[#This Row],[Base monetaria]]/1000000</f>
        <v>11.111551</v>
      </c>
      <c r="E2952" s="10">
        <v>836.75</v>
      </c>
      <c r="F2952" s="11">
        <v>26859</v>
      </c>
      <c r="H2952" s="12">
        <f>(PrincipalesVariables[[#This Row],[Base monetaria]]-C2951)/C2951</f>
        <v>6.8676286296019518E-2</v>
      </c>
      <c r="I2952" s="12">
        <f>(PrincipalesVariables[[#This Row],[Dólar  mayorista]]-E2951)/E2951</f>
        <v>2.0358062391474109E-3</v>
      </c>
      <c r="J2952" s="12">
        <f>(PrincipalesVariables[[#This Row],[Reservas internacionales]]-F2951)/F2951</f>
        <v>-3.7230081906180197E-5</v>
      </c>
    </row>
    <row r="2953" spans="1:10" ht="15.75" thickBot="1" x14ac:dyDescent="0.3">
      <c r="A2953" s="14">
        <v>45342</v>
      </c>
      <c r="B2953" s="15">
        <v>45342</v>
      </c>
      <c r="C2953" s="16">
        <v>10381534</v>
      </c>
      <c r="D2953" s="10">
        <f>PrincipalesVariables[[#This Row],[Base monetaria]]/1000000</f>
        <v>10.381534</v>
      </c>
      <c r="E2953" s="10">
        <v>837.25</v>
      </c>
      <c r="F2953" s="11">
        <v>27104</v>
      </c>
      <c r="H2953" s="12">
        <f>(PrincipalesVariables[[#This Row],[Base monetaria]]-C2952)/C2952</f>
        <v>-6.5698928979401702E-2</v>
      </c>
      <c r="I2953" s="12">
        <f>(PrincipalesVariables[[#This Row],[Dólar  mayorista]]-E2952)/E2952</f>
        <v>5.9755004481625333E-4</v>
      </c>
      <c r="J2953" s="12">
        <f>(PrincipalesVariables[[#This Row],[Reservas internacionales]]-F2952)/F2952</f>
        <v>9.1217096690122488E-3</v>
      </c>
    </row>
    <row r="2954" spans="1:10" ht="15.75" thickBot="1" x14ac:dyDescent="0.3">
      <c r="A2954" s="14">
        <v>45343</v>
      </c>
      <c r="B2954" s="15">
        <v>45343</v>
      </c>
      <c r="C2954" s="16">
        <v>10339788</v>
      </c>
      <c r="D2954" s="10">
        <f>PrincipalesVariables[[#This Row],[Base monetaria]]/1000000</f>
        <v>10.339788</v>
      </c>
      <c r="E2954" s="10">
        <v>837.85</v>
      </c>
      <c r="F2954" s="11">
        <v>27140</v>
      </c>
      <c r="H2954" s="12">
        <f>(PrincipalesVariables[[#This Row],[Base monetaria]]-C2953)/C2953</f>
        <v>-4.0211783730612453E-3</v>
      </c>
      <c r="I2954" s="12">
        <f>(PrincipalesVariables[[#This Row],[Dólar  mayorista]]-E2953)/E2953</f>
        <v>7.1663183039716066E-4</v>
      </c>
      <c r="J2954" s="12">
        <f>(PrincipalesVariables[[#This Row],[Reservas internacionales]]-F2953)/F2953</f>
        <v>1.3282172373081465E-3</v>
      </c>
    </row>
    <row r="2955" spans="1:10" ht="15.75" thickBot="1" x14ac:dyDescent="0.3">
      <c r="A2955" s="14">
        <v>45344</v>
      </c>
      <c r="B2955" s="15">
        <v>45344</v>
      </c>
      <c r="C2955" s="16">
        <v>10345424</v>
      </c>
      <c r="D2955" s="10">
        <f>PrincipalesVariables[[#This Row],[Base monetaria]]/1000000</f>
        <v>10.345424</v>
      </c>
      <c r="E2955" s="10">
        <v>838.35</v>
      </c>
      <c r="F2955" s="11">
        <v>27347</v>
      </c>
      <c r="H2955" s="12">
        <f>(PrincipalesVariables[[#This Row],[Base monetaria]]-C2954)/C2954</f>
        <v>5.4507887395757054E-4</v>
      </c>
      <c r="I2955" s="12">
        <f>(PrincipalesVariables[[#This Row],[Dólar  mayorista]]-E2954)/E2954</f>
        <v>5.9676553082293961E-4</v>
      </c>
      <c r="J2955" s="12">
        <f>(PrincipalesVariables[[#This Row],[Reservas internacionales]]-F2954)/F2954</f>
        <v>7.6271186440677969E-3</v>
      </c>
    </row>
    <row r="2956" spans="1:10" ht="15.75" thickBot="1" x14ac:dyDescent="0.3">
      <c r="A2956" s="14">
        <v>45345</v>
      </c>
      <c r="B2956" s="15">
        <v>45345</v>
      </c>
      <c r="C2956" s="16">
        <v>10346909</v>
      </c>
      <c r="D2956" s="10">
        <f>PrincipalesVariables[[#This Row],[Base monetaria]]/1000000</f>
        <v>10.346909</v>
      </c>
      <c r="E2956" s="10">
        <v>838.95</v>
      </c>
      <c r="F2956" s="11">
        <v>27485</v>
      </c>
      <c r="H2956" s="12">
        <f>(PrincipalesVariables[[#This Row],[Base monetaria]]-C2955)/C2955</f>
        <v>1.4354172434111932E-4</v>
      </c>
      <c r="I2956" s="12">
        <f>(PrincipalesVariables[[#This Row],[Dólar  mayorista]]-E2955)/E2955</f>
        <v>7.1569153694760266E-4</v>
      </c>
      <c r="J2956" s="12">
        <f>(PrincipalesVariables[[#This Row],[Reservas internacionales]]-F2955)/F2955</f>
        <v>5.0462573591253156E-3</v>
      </c>
    </row>
    <row r="2957" spans="1:10" ht="15.75" thickBot="1" x14ac:dyDescent="0.3">
      <c r="A2957" s="14">
        <v>45348</v>
      </c>
      <c r="B2957" s="15">
        <v>45348</v>
      </c>
      <c r="C2957" s="16">
        <v>10544290</v>
      </c>
      <c r="D2957" s="10">
        <f>PrincipalesVariables[[#This Row],[Base monetaria]]/1000000</f>
        <v>10.54429</v>
      </c>
      <c r="E2957" s="10">
        <v>840.65</v>
      </c>
      <c r="F2957" s="11">
        <v>27490</v>
      </c>
      <c r="H2957" s="12">
        <f>(PrincipalesVariables[[#This Row],[Base monetaria]]-C2956)/C2956</f>
        <v>1.9076325113132821E-2</v>
      </c>
      <c r="I2957" s="12">
        <f>(PrincipalesVariables[[#This Row],[Dólar  mayorista]]-E2956)/E2956</f>
        <v>2.0263424518742854E-3</v>
      </c>
      <c r="J2957" s="12">
        <f>(PrincipalesVariables[[#This Row],[Reservas internacionales]]-F2956)/F2956</f>
        <v>1.8191740949608878E-4</v>
      </c>
    </row>
    <row r="2958" spans="1:10" ht="15.75" thickBot="1" x14ac:dyDescent="0.3">
      <c r="A2958" s="14">
        <v>45349</v>
      </c>
      <c r="B2958" s="15">
        <v>45349</v>
      </c>
      <c r="C2958" s="16">
        <v>10298380</v>
      </c>
      <c r="D2958" s="10">
        <f>PrincipalesVariables[[#This Row],[Base monetaria]]/1000000</f>
        <v>10.29838</v>
      </c>
      <c r="E2958" s="10">
        <v>841.15</v>
      </c>
      <c r="F2958" s="11">
        <v>27558</v>
      </c>
      <c r="H2958" s="12">
        <f>(PrincipalesVariables[[#This Row],[Base monetaria]]-C2957)/C2957</f>
        <v>-2.3321627155550539E-2</v>
      </c>
      <c r="I2958" s="12">
        <f>(PrincipalesVariables[[#This Row],[Dólar  mayorista]]-E2957)/E2957</f>
        <v>5.947778504728484E-4</v>
      </c>
      <c r="J2958" s="12">
        <f>(PrincipalesVariables[[#This Row],[Reservas internacionales]]-F2957)/F2957</f>
        <v>2.4736267733721355E-3</v>
      </c>
    </row>
    <row r="2959" spans="1:10" ht="15.75" thickBot="1" x14ac:dyDescent="0.3">
      <c r="A2959" s="14">
        <v>45350</v>
      </c>
      <c r="B2959" s="15">
        <v>45350</v>
      </c>
      <c r="C2959" s="16">
        <v>10401212</v>
      </c>
      <c r="D2959" s="10">
        <f>PrincipalesVariables[[#This Row],[Base monetaria]]/1000000</f>
        <v>10.401211999999999</v>
      </c>
      <c r="E2959" s="10">
        <v>841.75</v>
      </c>
      <c r="F2959" s="11">
        <v>27597</v>
      </c>
      <c r="H2959" s="12">
        <f>(PrincipalesVariables[[#This Row],[Base monetaria]]-C2958)/C2958</f>
        <v>9.9852598175635392E-3</v>
      </c>
      <c r="I2959" s="12">
        <f>(PrincipalesVariables[[#This Row],[Dólar  mayorista]]-E2958)/E2958</f>
        <v>7.1330916007849101E-4</v>
      </c>
      <c r="J2959" s="12">
        <f>(PrincipalesVariables[[#This Row],[Reservas internacionales]]-F2958)/F2958</f>
        <v>1.4151970389723492E-3</v>
      </c>
    </row>
    <row r="2960" spans="1:10" ht="15.75" thickBot="1" x14ac:dyDescent="0.3">
      <c r="A2960" s="14">
        <v>45351</v>
      </c>
      <c r="B2960" s="15">
        <v>45351</v>
      </c>
      <c r="C2960" s="16">
        <v>10541474</v>
      </c>
      <c r="D2960" s="10">
        <f>PrincipalesVariables[[#This Row],[Base monetaria]]/1000000</f>
        <v>10.541473999999999</v>
      </c>
      <c r="E2960" s="10">
        <v>842.25</v>
      </c>
      <c r="F2960" s="11">
        <v>26690</v>
      </c>
      <c r="H2960" s="12">
        <f>(PrincipalesVariables[[#This Row],[Base monetaria]]-C2959)/C2959</f>
        <v>1.3485159229520561E-2</v>
      </c>
      <c r="I2960" s="12">
        <f>(PrincipalesVariables[[#This Row],[Dólar  mayorista]]-E2959)/E2959</f>
        <v>5.9400059400059396E-4</v>
      </c>
      <c r="J2960" s="12">
        <f>(PrincipalesVariables[[#This Row],[Reservas internacionales]]-F2959)/F2959</f>
        <v>-3.2865891220060152E-2</v>
      </c>
    </row>
    <row r="2961" spans="1:10" ht="15.75" thickBot="1" x14ac:dyDescent="0.3">
      <c r="A2961" s="14">
        <v>45352</v>
      </c>
      <c r="B2961" s="15">
        <v>45352</v>
      </c>
      <c r="C2961" s="16">
        <v>10792565</v>
      </c>
      <c r="D2961" s="10">
        <f>PrincipalesVariables[[#This Row],[Base monetaria]]/1000000</f>
        <v>10.792565</v>
      </c>
      <c r="E2961" s="10">
        <v>842.75</v>
      </c>
      <c r="F2961" s="11">
        <v>27334</v>
      </c>
      <c r="H2961" s="12">
        <f>(PrincipalesVariables[[#This Row],[Base monetaria]]-C2960)/C2960</f>
        <v>2.381934442944127E-2</v>
      </c>
      <c r="I2961" s="12">
        <f>(PrincipalesVariables[[#This Row],[Dólar  mayorista]]-E2960)/E2960</f>
        <v>5.9364796675571388E-4</v>
      </c>
      <c r="J2961" s="12">
        <f>(PrincipalesVariables[[#This Row],[Reservas internacionales]]-F2960)/F2960</f>
        <v>2.4128887223679282E-2</v>
      </c>
    </row>
    <row r="2962" spans="1:10" ht="15.75" thickBot="1" x14ac:dyDescent="0.3">
      <c r="A2962" s="14">
        <v>45355</v>
      </c>
      <c r="B2962" s="15">
        <v>45355</v>
      </c>
      <c r="C2962" s="16">
        <v>10767977</v>
      </c>
      <c r="D2962" s="10">
        <f>PrincipalesVariables[[#This Row],[Base monetaria]]/1000000</f>
        <v>10.767977</v>
      </c>
      <c r="E2962" s="10">
        <v>844.25</v>
      </c>
      <c r="F2962" s="11">
        <v>27641</v>
      </c>
      <c r="H2962" s="12">
        <f>(PrincipalesVariables[[#This Row],[Base monetaria]]-C2961)/C2961</f>
        <v>-2.2782350627492168E-3</v>
      </c>
      <c r="I2962" s="12">
        <f>(PrincipalesVariables[[#This Row],[Dólar  mayorista]]-E2961)/E2961</f>
        <v>1.7798872738059924E-3</v>
      </c>
      <c r="J2962" s="12">
        <f>(PrincipalesVariables[[#This Row],[Reservas internacionales]]-F2961)/F2961</f>
        <v>1.1231433379673667E-2</v>
      </c>
    </row>
    <row r="2963" spans="1:10" ht="15.75" thickBot="1" x14ac:dyDescent="0.3">
      <c r="A2963" s="14">
        <v>45356</v>
      </c>
      <c r="B2963" s="15">
        <v>45356</v>
      </c>
      <c r="C2963" s="16">
        <v>10643741</v>
      </c>
      <c r="D2963" s="10">
        <f>PrincipalesVariables[[#This Row],[Base monetaria]]/1000000</f>
        <v>10.643741</v>
      </c>
      <c r="E2963" s="10">
        <v>845.25</v>
      </c>
      <c r="F2963" s="11">
        <v>27755</v>
      </c>
      <c r="H2963" s="12">
        <f>(PrincipalesVariables[[#This Row],[Base monetaria]]-C2962)/C2962</f>
        <v>-1.1537543217263559E-2</v>
      </c>
      <c r="I2963" s="12">
        <f>(PrincipalesVariables[[#This Row],[Dólar  mayorista]]-E2962)/E2962</f>
        <v>1.1844832691738228E-3</v>
      </c>
      <c r="J2963" s="12">
        <f>(PrincipalesVariables[[#This Row],[Reservas internacionales]]-F2962)/F2962</f>
        <v>4.1243080930501788E-3</v>
      </c>
    </row>
    <row r="2964" spans="1:10" ht="15.75" thickBot="1" x14ac:dyDescent="0.3">
      <c r="A2964" s="14">
        <v>45357</v>
      </c>
      <c r="B2964" s="15">
        <v>45357</v>
      </c>
      <c r="C2964" s="16">
        <v>10597459</v>
      </c>
      <c r="D2964" s="10">
        <f>PrincipalesVariables[[#This Row],[Base monetaria]]/1000000</f>
        <v>10.597459000000001</v>
      </c>
      <c r="E2964" s="10">
        <v>845.75</v>
      </c>
      <c r="F2964" s="11">
        <v>27854</v>
      </c>
      <c r="H2964" s="12">
        <f>(PrincipalesVariables[[#This Row],[Base monetaria]]-C2963)/C2963</f>
        <v>-4.3482831835160215E-3</v>
      </c>
      <c r="I2964" s="12">
        <f>(PrincipalesVariables[[#This Row],[Dólar  mayorista]]-E2963)/E2963</f>
        <v>5.9154096421177161E-4</v>
      </c>
      <c r="J2964" s="12">
        <f>(PrincipalesVariables[[#This Row],[Reservas internacionales]]-F2963)/F2963</f>
        <v>3.5669248784002882E-3</v>
      </c>
    </row>
    <row r="2965" spans="1:10" ht="15.75" thickBot="1" x14ac:dyDescent="0.3">
      <c r="A2965" s="14">
        <v>45358</v>
      </c>
      <c r="B2965" s="15">
        <v>45358</v>
      </c>
      <c r="C2965" s="16">
        <v>10768972</v>
      </c>
      <c r="D2965" s="10">
        <f>PrincipalesVariables[[#This Row],[Base monetaria]]/1000000</f>
        <v>10.768972</v>
      </c>
      <c r="E2965" s="10">
        <v>846.25</v>
      </c>
      <c r="F2965" s="11">
        <v>28049</v>
      </c>
      <c r="H2965" s="12">
        <f>(PrincipalesVariables[[#This Row],[Base monetaria]]-C2964)/C2964</f>
        <v>1.6184351361963278E-2</v>
      </c>
      <c r="I2965" s="12">
        <f>(PrincipalesVariables[[#This Row],[Dólar  mayorista]]-E2964)/E2964</f>
        <v>5.9119125036949458E-4</v>
      </c>
      <c r="J2965" s="12">
        <f>(PrincipalesVariables[[#This Row],[Reservas internacionales]]-F2964)/F2964</f>
        <v>7.0007898326990741E-3</v>
      </c>
    </row>
    <row r="2966" spans="1:10" ht="15.75" thickBot="1" x14ac:dyDescent="0.3">
      <c r="A2966" s="14">
        <v>45359</v>
      </c>
      <c r="B2966" s="15">
        <v>45359</v>
      </c>
      <c r="C2966" s="16">
        <v>10830171</v>
      </c>
      <c r="D2966" s="10">
        <f>PrincipalesVariables[[#This Row],[Base monetaria]]/1000000</f>
        <v>10.830171</v>
      </c>
      <c r="E2966" s="10">
        <v>846.75</v>
      </c>
      <c r="F2966" s="11">
        <v>28221</v>
      </c>
      <c r="H2966" s="12">
        <f>(PrincipalesVariables[[#This Row],[Base monetaria]]-C2965)/C2965</f>
        <v>5.6829008377029862E-3</v>
      </c>
      <c r="I2966" s="12">
        <f>(PrincipalesVariables[[#This Row],[Dólar  mayorista]]-E2965)/E2965</f>
        <v>5.9084194977843422E-4</v>
      </c>
      <c r="J2966" s="12">
        <f>(PrincipalesVariables[[#This Row],[Reservas internacionales]]-F2965)/F2965</f>
        <v>6.1321259224927805E-3</v>
      </c>
    </row>
    <row r="2967" spans="1:10" ht="15.75" thickBot="1" x14ac:dyDescent="0.3">
      <c r="A2967" s="14">
        <v>45362</v>
      </c>
      <c r="B2967" s="15">
        <v>45362</v>
      </c>
      <c r="C2967" s="16">
        <v>10823785</v>
      </c>
      <c r="D2967" s="10">
        <f>PrincipalesVariables[[#This Row],[Base monetaria]]/1000000</f>
        <v>10.823785000000001</v>
      </c>
      <c r="E2967" s="10">
        <v>848.25</v>
      </c>
      <c r="F2967" s="11">
        <v>28296</v>
      </c>
      <c r="H2967" s="12">
        <f>(PrincipalesVariables[[#This Row],[Base monetaria]]-C2966)/C2966</f>
        <v>-5.8964904616926181E-4</v>
      </c>
      <c r="I2967" s="12">
        <f>(PrincipalesVariables[[#This Row],[Dólar  mayorista]]-E2966)/E2966</f>
        <v>1.7714791851195749E-3</v>
      </c>
      <c r="J2967" s="12">
        <f>(PrincipalesVariables[[#This Row],[Reservas internacionales]]-F2966)/F2966</f>
        <v>2.6575954076751354E-3</v>
      </c>
    </row>
    <row r="2968" spans="1:10" ht="15.75" thickBot="1" x14ac:dyDescent="0.3">
      <c r="A2968" s="14">
        <v>45363</v>
      </c>
      <c r="B2968" s="15">
        <v>45363</v>
      </c>
      <c r="C2968" s="16">
        <v>10795498</v>
      </c>
      <c r="D2968" s="10">
        <f>PrincipalesVariables[[#This Row],[Base monetaria]]/1000000</f>
        <v>10.795498</v>
      </c>
      <c r="E2968" s="10">
        <v>848.75</v>
      </c>
      <c r="F2968" s="11">
        <v>28272</v>
      </c>
      <c r="H2968" s="12">
        <f>(PrincipalesVariables[[#This Row],[Base monetaria]]-C2967)/C2967</f>
        <v>-2.6134111126560624E-3</v>
      </c>
      <c r="I2968" s="12">
        <f>(PrincipalesVariables[[#This Row],[Dólar  mayorista]]-E2967)/E2967</f>
        <v>5.8944886531093425E-4</v>
      </c>
      <c r="J2968" s="12">
        <f>(PrincipalesVariables[[#This Row],[Reservas internacionales]]-F2967)/F2967</f>
        <v>-8.4817642069550466E-4</v>
      </c>
    </row>
    <row r="2969" spans="1:10" ht="15.75" thickBot="1" x14ac:dyDescent="0.3">
      <c r="A2969" s="14">
        <v>45364</v>
      </c>
      <c r="B2969" s="15">
        <v>45364</v>
      </c>
      <c r="C2969" s="16">
        <v>10801122</v>
      </c>
      <c r="D2969" s="10">
        <f>PrincipalesVariables[[#This Row],[Base monetaria]]/1000000</f>
        <v>10.801121999999999</v>
      </c>
      <c r="E2969" s="10">
        <v>849.75</v>
      </c>
      <c r="F2969" s="11">
        <v>28488</v>
      </c>
      <c r="H2969" s="12">
        <f>(PrincipalesVariables[[#This Row],[Base monetaria]]-C2968)/C2968</f>
        <v>5.2095790300734626E-4</v>
      </c>
      <c r="I2969" s="12">
        <f>(PrincipalesVariables[[#This Row],[Dólar  mayorista]]-E2968)/E2968</f>
        <v>1.1782032400589101E-3</v>
      </c>
      <c r="J2969" s="12">
        <f>(PrincipalesVariables[[#This Row],[Reservas internacionales]]-F2968)/F2968</f>
        <v>7.6400679117147709E-3</v>
      </c>
    </row>
    <row r="2970" spans="1:10" ht="15.75" thickBot="1" x14ac:dyDescent="0.3">
      <c r="A2970" s="14">
        <v>45365</v>
      </c>
      <c r="B2970" s="15">
        <v>45365</v>
      </c>
      <c r="C2970" s="16">
        <v>10479341</v>
      </c>
      <c r="D2970" s="10">
        <f>PrincipalesVariables[[#This Row],[Base monetaria]]/1000000</f>
        <v>10.479341</v>
      </c>
      <c r="E2970" s="10">
        <v>850.25</v>
      </c>
      <c r="F2970" s="11">
        <v>28489</v>
      </c>
      <c r="H2970" s="12">
        <f>(PrincipalesVariables[[#This Row],[Base monetaria]]-C2969)/C2969</f>
        <v>-2.9791442037225391E-2</v>
      </c>
      <c r="I2970" s="12">
        <f>(PrincipalesVariables[[#This Row],[Dólar  mayorista]]-E2969)/E2969</f>
        <v>5.8840835539864661E-4</v>
      </c>
      <c r="J2970" s="12">
        <f>(PrincipalesVariables[[#This Row],[Reservas internacionales]]-F2969)/F2969</f>
        <v>3.5102499297950014E-5</v>
      </c>
    </row>
    <row r="2971" spans="1:10" ht="15.75" thickBot="1" x14ac:dyDescent="0.3">
      <c r="A2971" s="14">
        <v>45366</v>
      </c>
      <c r="B2971" s="15">
        <v>45366</v>
      </c>
      <c r="C2971" s="16">
        <v>10505532</v>
      </c>
      <c r="D2971" s="10">
        <f>PrincipalesVariables[[#This Row],[Base monetaria]]/1000000</f>
        <v>10.505532000000001</v>
      </c>
      <c r="E2971" s="10">
        <v>850.75</v>
      </c>
      <c r="F2971" s="11">
        <v>28209</v>
      </c>
      <c r="H2971" s="12">
        <f>(PrincipalesVariables[[#This Row],[Base monetaria]]-C2970)/C2970</f>
        <v>2.4992983814535667E-3</v>
      </c>
      <c r="I2971" s="12">
        <f>(PrincipalesVariables[[#This Row],[Dólar  mayorista]]-E2970)/E2970</f>
        <v>5.8806233460746834E-4</v>
      </c>
      <c r="J2971" s="12">
        <f>(PrincipalesVariables[[#This Row],[Reservas internacionales]]-F2970)/F2970</f>
        <v>-9.8283548036084099E-3</v>
      </c>
    </row>
    <row r="2972" spans="1:10" ht="15.75" thickBot="1" x14ac:dyDescent="0.3">
      <c r="A2972" s="14">
        <v>45369</v>
      </c>
      <c r="B2972" s="15">
        <v>45369</v>
      </c>
      <c r="C2972" s="16">
        <v>10556634</v>
      </c>
      <c r="D2972" s="10">
        <f>PrincipalesVariables[[#This Row],[Base monetaria]]/1000000</f>
        <v>10.556634000000001</v>
      </c>
      <c r="E2972" s="10">
        <v>852.25</v>
      </c>
      <c r="F2972" s="11">
        <v>28176</v>
      </c>
      <c r="H2972" s="12">
        <f>(PrincipalesVariables[[#This Row],[Base monetaria]]-C2971)/C2971</f>
        <v>4.8642943546314456E-3</v>
      </c>
      <c r="I2972" s="12">
        <f>(PrincipalesVariables[[#This Row],[Dólar  mayorista]]-E2971)/E2971</f>
        <v>1.7631501616220981E-3</v>
      </c>
      <c r="J2972" s="12">
        <f>(PrincipalesVariables[[#This Row],[Reservas internacionales]]-F2971)/F2971</f>
        <v>-1.1698394129533128E-3</v>
      </c>
    </row>
    <row r="2973" spans="1:10" ht="15.75" thickBot="1" x14ac:dyDescent="0.3">
      <c r="A2973" s="14">
        <v>45370</v>
      </c>
      <c r="B2973" s="15">
        <v>45370</v>
      </c>
      <c r="C2973" s="16">
        <v>10590711</v>
      </c>
      <c r="D2973" s="10">
        <f>PrincipalesVariables[[#This Row],[Base monetaria]]/1000000</f>
        <v>10.590711000000001</v>
      </c>
      <c r="E2973" s="10">
        <v>852.75</v>
      </c>
      <c r="F2973" s="11">
        <v>27979</v>
      </c>
      <c r="H2973" s="12">
        <f>(PrincipalesVariables[[#This Row],[Base monetaria]]-C2972)/C2972</f>
        <v>3.2280175669631059E-3</v>
      </c>
      <c r="I2973" s="12">
        <f>(PrincipalesVariables[[#This Row],[Dólar  mayorista]]-E2972)/E2972</f>
        <v>5.8668231152830743E-4</v>
      </c>
      <c r="J2973" s="12">
        <f>(PrincipalesVariables[[#This Row],[Reservas internacionales]]-F2972)/F2972</f>
        <v>-6.9917660420215789E-3</v>
      </c>
    </row>
    <row r="2974" spans="1:10" ht="15.75" thickBot="1" x14ac:dyDescent="0.3">
      <c r="A2974" s="14">
        <v>45371</v>
      </c>
      <c r="B2974" s="15">
        <v>45371</v>
      </c>
      <c r="C2974" s="16">
        <v>11249647</v>
      </c>
      <c r="D2974" s="10">
        <f>PrincipalesVariables[[#This Row],[Base monetaria]]/1000000</f>
        <v>11.249647</v>
      </c>
      <c r="E2974" s="10">
        <v>853.25</v>
      </c>
      <c r="F2974" s="11">
        <v>28041</v>
      </c>
      <c r="H2974" s="12">
        <f>(PrincipalesVariables[[#This Row],[Base monetaria]]-C2973)/C2973</f>
        <v>6.2218296769688076E-2</v>
      </c>
      <c r="I2974" s="12">
        <f>(PrincipalesVariables[[#This Row],[Dólar  mayorista]]-E2973)/E2973</f>
        <v>5.863383172090296E-4</v>
      </c>
      <c r="J2974" s="12">
        <f>(PrincipalesVariables[[#This Row],[Reservas internacionales]]-F2973)/F2973</f>
        <v>2.2159476750419956E-3</v>
      </c>
    </row>
    <row r="2975" spans="1:10" ht="15.75" thickBot="1" x14ac:dyDescent="0.3">
      <c r="A2975" s="14">
        <v>45372</v>
      </c>
      <c r="B2975" s="15">
        <v>45372</v>
      </c>
      <c r="C2975" s="16">
        <v>10826223</v>
      </c>
      <c r="D2975" s="10">
        <f>PrincipalesVariables[[#This Row],[Base monetaria]]/1000000</f>
        <v>10.826223000000001</v>
      </c>
      <c r="E2975" s="10">
        <v>854.25</v>
      </c>
      <c r="F2975" s="11">
        <v>28107</v>
      </c>
      <c r="H2975" s="12">
        <f>(PrincipalesVariables[[#This Row],[Base monetaria]]-C2974)/C2974</f>
        <v>-3.7638869912984825E-2</v>
      </c>
      <c r="I2975" s="12">
        <f>(PrincipalesVariables[[#This Row],[Dólar  mayorista]]-E2974)/E2974</f>
        <v>1.1719894520949312E-3</v>
      </c>
      <c r="J2975" s="12">
        <f>(PrincipalesVariables[[#This Row],[Reservas internacionales]]-F2974)/F2974</f>
        <v>2.3536963731678614E-3</v>
      </c>
    </row>
    <row r="2976" spans="1:10" ht="15.75" thickBot="1" x14ac:dyDescent="0.3">
      <c r="A2976" s="14">
        <v>45373</v>
      </c>
      <c r="B2976" s="15">
        <v>45373</v>
      </c>
      <c r="C2976" s="16">
        <v>11319773</v>
      </c>
      <c r="D2976" s="10">
        <f>PrincipalesVariables[[#This Row],[Base monetaria]]/1000000</f>
        <v>11.319773</v>
      </c>
      <c r="E2976" s="10">
        <v>854.75</v>
      </c>
      <c r="F2976" s="11">
        <v>28025</v>
      </c>
      <c r="H2976" s="12">
        <f>(PrincipalesVariables[[#This Row],[Base monetaria]]-C2975)/C2975</f>
        <v>4.5588382947589386E-2</v>
      </c>
      <c r="I2976" s="12">
        <f>(PrincipalesVariables[[#This Row],[Dólar  mayorista]]-E2975)/E2975</f>
        <v>5.8530875036581797E-4</v>
      </c>
      <c r="J2976" s="12">
        <f>(PrincipalesVariables[[#This Row],[Reservas internacionales]]-F2975)/F2975</f>
        <v>-2.9174227060874513E-3</v>
      </c>
    </row>
    <row r="2977" spans="1:10" ht="15.75" thickBot="1" x14ac:dyDescent="0.3">
      <c r="A2977" s="14">
        <v>45376</v>
      </c>
      <c r="B2977" s="15">
        <v>45376</v>
      </c>
      <c r="C2977" s="16">
        <v>11191441</v>
      </c>
      <c r="D2977" s="10">
        <f>PrincipalesVariables[[#This Row],[Base monetaria]]/1000000</f>
        <v>11.191440999999999</v>
      </c>
      <c r="E2977" s="10">
        <v>856.25</v>
      </c>
      <c r="F2977" s="11">
        <v>28266</v>
      </c>
      <c r="H2977" s="12">
        <f>(PrincipalesVariables[[#This Row],[Base monetaria]]-C2976)/C2976</f>
        <v>-1.1336976457036727E-2</v>
      </c>
      <c r="I2977" s="12">
        <f>(PrincipalesVariables[[#This Row],[Dólar  mayorista]]-E2976)/E2976</f>
        <v>1.7548990933021352E-3</v>
      </c>
      <c r="J2977" s="12">
        <f>(PrincipalesVariables[[#This Row],[Reservas internacionales]]-F2976)/F2976</f>
        <v>8.5994647636039243E-3</v>
      </c>
    </row>
    <row r="2978" spans="1:10" ht="15.75" thickBot="1" x14ac:dyDescent="0.3">
      <c r="A2978" s="14">
        <v>45377</v>
      </c>
      <c r="B2978" s="15">
        <v>45377</v>
      </c>
      <c r="C2978" s="16">
        <v>11232990</v>
      </c>
      <c r="D2978" s="10">
        <f>PrincipalesVariables[[#This Row],[Base monetaria]]/1000000</f>
        <v>11.232989999999999</v>
      </c>
      <c r="E2978" s="10">
        <v>856.75</v>
      </c>
      <c r="F2978" s="11">
        <v>27644</v>
      </c>
      <c r="H2978" s="12">
        <f>(PrincipalesVariables[[#This Row],[Base monetaria]]-C2977)/C2977</f>
        <v>3.7125692750379509E-3</v>
      </c>
      <c r="I2978" s="12">
        <f>(PrincipalesVariables[[#This Row],[Dólar  mayorista]]-E2977)/E2977</f>
        <v>5.8394160583941611E-4</v>
      </c>
      <c r="J2978" s="12">
        <f>(PrincipalesVariables[[#This Row],[Reservas internacionales]]-F2977)/F2977</f>
        <v>-2.2005235972546524E-2</v>
      </c>
    </row>
    <row r="2979" spans="1:10" ht="15.75" thickBot="1" x14ac:dyDescent="0.3">
      <c r="A2979" s="14">
        <v>45378</v>
      </c>
      <c r="B2979" s="15">
        <v>45378</v>
      </c>
      <c r="C2979" s="16">
        <v>12463695</v>
      </c>
      <c r="D2979" s="10">
        <f>PrincipalesVariables[[#This Row],[Base monetaria]]/1000000</f>
        <v>12.463695</v>
      </c>
      <c r="E2979" s="10">
        <v>857.42</v>
      </c>
      <c r="F2979" s="11">
        <v>27127</v>
      </c>
      <c r="H2979" s="12">
        <f>(PrincipalesVariables[[#This Row],[Base monetaria]]-C2978)/C2978</f>
        <v>0.10956165722572529</v>
      </c>
      <c r="I2979" s="12">
        <f>(PrincipalesVariables[[#This Row],[Dólar  mayorista]]-E2978)/E2978</f>
        <v>7.8202509483508498E-4</v>
      </c>
      <c r="J2979" s="12">
        <f>(PrincipalesVariables[[#This Row],[Reservas internacionales]]-F2978)/F2978</f>
        <v>-1.8702069165099117E-2</v>
      </c>
    </row>
    <row r="2980" spans="1:10" ht="15.75" thickBot="1" x14ac:dyDescent="0.3">
      <c r="A2980" s="14">
        <v>45385</v>
      </c>
      <c r="B2980" s="15">
        <v>45385</v>
      </c>
      <c r="C2980" s="16">
        <v>11604677</v>
      </c>
      <c r="D2980" s="10">
        <f>PrincipalesVariables[[#This Row],[Base monetaria]]/1000000</f>
        <v>11.604677000000001</v>
      </c>
      <c r="E2980" s="10">
        <v>861.25</v>
      </c>
      <c r="F2980" s="11">
        <v>27882</v>
      </c>
      <c r="H2980" s="12">
        <f>(PrincipalesVariables[[#This Row],[Base monetaria]]-C2979)/C2979</f>
        <v>-6.8921615941340025E-2</v>
      </c>
      <c r="I2980" s="12">
        <f>(PrincipalesVariables[[#This Row],[Dólar  mayorista]]-E2979)/E2979</f>
        <v>4.4668890392107032E-3</v>
      </c>
      <c r="J2980" s="12">
        <f>(PrincipalesVariables[[#This Row],[Reservas internacionales]]-F2979)/F2979</f>
        <v>2.7832049249824898E-2</v>
      </c>
    </row>
    <row r="2981" spans="1:10" ht="15.75" thickBot="1" x14ac:dyDescent="0.3">
      <c r="A2981" s="14">
        <v>45386</v>
      </c>
      <c r="B2981" s="15">
        <v>45386</v>
      </c>
      <c r="C2981" s="16">
        <v>11600629</v>
      </c>
      <c r="D2981" s="10">
        <f>PrincipalesVariables[[#This Row],[Base monetaria]]/1000000</f>
        <v>11.600629</v>
      </c>
      <c r="E2981" s="10">
        <v>861.75</v>
      </c>
      <c r="F2981" s="11">
        <v>28400</v>
      </c>
      <c r="H2981" s="12">
        <f>(PrincipalesVariables[[#This Row],[Base monetaria]]-C2980)/C2980</f>
        <v>-3.4882487466044939E-4</v>
      </c>
      <c r="I2981" s="12">
        <f>(PrincipalesVariables[[#This Row],[Dólar  mayorista]]-E2980)/E2980</f>
        <v>5.8055152394775032E-4</v>
      </c>
      <c r="J2981" s="12">
        <f>(PrincipalesVariables[[#This Row],[Reservas internacionales]]-F2980)/F2980</f>
        <v>1.8578294240011478E-2</v>
      </c>
    </row>
    <row r="2982" spans="1:10" ht="15.75" thickBot="1" x14ac:dyDescent="0.3">
      <c r="A2982" s="14">
        <v>45387</v>
      </c>
      <c r="B2982" s="15">
        <v>45387</v>
      </c>
      <c r="C2982" s="16">
        <v>11744788</v>
      </c>
      <c r="D2982" s="10">
        <f>PrincipalesVariables[[#This Row],[Base monetaria]]/1000000</f>
        <v>11.744788</v>
      </c>
      <c r="E2982" s="10">
        <v>862.75</v>
      </c>
      <c r="F2982" s="11">
        <v>28765</v>
      </c>
      <c r="H2982" s="12">
        <f>(PrincipalesVariables[[#This Row],[Base monetaria]]-C2981)/C2981</f>
        <v>1.2426826166063927E-2</v>
      </c>
      <c r="I2982" s="12">
        <f>(PrincipalesVariables[[#This Row],[Dólar  mayorista]]-E2981)/E2981</f>
        <v>1.1604293588627793E-3</v>
      </c>
      <c r="J2982" s="12">
        <f>(PrincipalesVariables[[#This Row],[Reservas internacionales]]-F2981)/F2981</f>
        <v>1.2852112676056338E-2</v>
      </c>
    </row>
    <row r="2983" spans="1:10" ht="15.75" thickBot="1" x14ac:dyDescent="0.3">
      <c r="A2983" s="14">
        <v>45390</v>
      </c>
      <c r="B2983" s="15">
        <v>45390</v>
      </c>
      <c r="C2983" s="16">
        <v>11627333</v>
      </c>
      <c r="D2983" s="10">
        <f>PrincipalesVariables[[#This Row],[Base monetaria]]/1000000</f>
        <v>11.627333</v>
      </c>
      <c r="E2983" s="10">
        <v>864.25</v>
      </c>
      <c r="F2983" s="11">
        <v>28904</v>
      </c>
      <c r="H2983" s="12">
        <f>(PrincipalesVariables[[#This Row],[Base monetaria]]-C2982)/C2982</f>
        <v>-1.0000606226353341E-2</v>
      </c>
      <c r="I2983" s="12">
        <f>(PrincipalesVariables[[#This Row],[Dólar  mayorista]]-E2982)/E2982</f>
        <v>1.7386264850767893E-3</v>
      </c>
      <c r="J2983" s="12">
        <f>(PrincipalesVariables[[#This Row],[Reservas internacionales]]-F2982)/F2982</f>
        <v>4.8322614288197462E-3</v>
      </c>
    </row>
    <row r="2984" spans="1:10" ht="15.75" thickBot="1" x14ac:dyDescent="0.3">
      <c r="A2984" s="14">
        <v>45391</v>
      </c>
      <c r="B2984" s="15">
        <v>45391</v>
      </c>
      <c r="C2984" s="16">
        <v>11668345</v>
      </c>
      <c r="D2984" s="10">
        <f>PrincipalesVariables[[#This Row],[Base monetaria]]/1000000</f>
        <v>11.668345</v>
      </c>
      <c r="E2984" s="10">
        <v>864.75</v>
      </c>
      <c r="F2984" s="11">
        <v>29043</v>
      </c>
      <c r="H2984" s="12">
        <f>(PrincipalesVariables[[#This Row],[Base monetaria]]-C2983)/C2983</f>
        <v>3.5272061099479992E-3</v>
      </c>
      <c r="I2984" s="12">
        <f>(PrincipalesVariables[[#This Row],[Dólar  mayorista]]-E2983)/E2983</f>
        <v>5.785363031530228E-4</v>
      </c>
      <c r="J2984" s="12">
        <f>(PrincipalesVariables[[#This Row],[Reservas internacionales]]-F2983)/F2983</f>
        <v>4.809022972598948E-3</v>
      </c>
    </row>
    <row r="2985" spans="1:10" ht="15.75" thickBot="1" x14ac:dyDescent="0.3">
      <c r="A2985" s="14">
        <v>45392</v>
      </c>
      <c r="B2985" s="15">
        <v>45392</v>
      </c>
      <c r="C2985" s="16">
        <v>11645675</v>
      </c>
      <c r="D2985" s="10">
        <f>PrincipalesVariables[[#This Row],[Base monetaria]]/1000000</f>
        <v>11.645675000000001</v>
      </c>
      <c r="E2985" s="10">
        <v>865.25</v>
      </c>
      <c r="F2985" s="11">
        <v>29047</v>
      </c>
      <c r="H2985" s="12">
        <f>(PrincipalesVariables[[#This Row],[Base monetaria]]-C2984)/C2984</f>
        <v>-1.9428633623705847E-3</v>
      </c>
      <c r="I2985" s="12">
        <f>(PrincipalesVariables[[#This Row],[Dólar  mayorista]]-E2984)/E2984</f>
        <v>5.7820179242555657E-4</v>
      </c>
      <c r="J2985" s="12">
        <f>(PrincipalesVariables[[#This Row],[Reservas internacionales]]-F2984)/F2984</f>
        <v>1.377268188548015E-4</v>
      </c>
    </row>
    <row r="2986" spans="1:10" ht="15.75" thickBot="1" x14ac:dyDescent="0.3">
      <c r="A2986" s="14">
        <v>45393</v>
      </c>
      <c r="B2986" s="15">
        <v>45393</v>
      </c>
      <c r="C2986" s="16">
        <v>11820859</v>
      </c>
      <c r="D2986" s="10">
        <f>PrincipalesVariables[[#This Row],[Base monetaria]]/1000000</f>
        <v>11.820859</v>
      </c>
      <c r="E2986" s="10">
        <v>865.75</v>
      </c>
      <c r="F2986" s="11">
        <v>29181</v>
      </c>
      <c r="H2986" s="12">
        <f>(PrincipalesVariables[[#This Row],[Base monetaria]]-C2985)/C2985</f>
        <v>1.5042837791712374E-2</v>
      </c>
      <c r="I2986" s="12">
        <f>(PrincipalesVariables[[#This Row],[Dólar  mayorista]]-E2985)/E2985</f>
        <v>5.7786766830395843E-4</v>
      </c>
      <c r="J2986" s="12">
        <f>(PrincipalesVariables[[#This Row],[Reservas internacionales]]-F2985)/F2985</f>
        <v>4.6132130684752295E-3</v>
      </c>
    </row>
    <row r="2987" spans="1:10" ht="15.75" thickBot="1" x14ac:dyDescent="0.3">
      <c r="A2987" s="14">
        <v>45394</v>
      </c>
      <c r="B2987" s="15">
        <v>45394</v>
      </c>
      <c r="C2987" s="16">
        <v>12224079</v>
      </c>
      <c r="D2987" s="10">
        <f>PrincipalesVariables[[#This Row],[Base monetaria]]/1000000</f>
        <v>12.224079</v>
      </c>
      <c r="E2987" s="10">
        <v>866.75</v>
      </c>
      <c r="F2987" s="11">
        <v>29321</v>
      </c>
      <c r="H2987" s="12">
        <f>(PrincipalesVariables[[#This Row],[Base monetaria]]-C2986)/C2986</f>
        <v>3.411088821886802E-2</v>
      </c>
      <c r="I2987" s="12">
        <f>(PrincipalesVariables[[#This Row],[Dólar  mayorista]]-E2986)/E2986</f>
        <v>1.155067860236789E-3</v>
      </c>
      <c r="J2987" s="12">
        <f>(PrincipalesVariables[[#This Row],[Reservas internacionales]]-F2986)/F2986</f>
        <v>4.7976423014975495E-3</v>
      </c>
    </row>
    <row r="2988" spans="1:10" ht="15.75" thickBot="1" x14ac:dyDescent="0.3">
      <c r="A2988" s="14">
        <v>45397</v>
      </c>
      <c r="B2988" s="15">
        <v>45397</v>
      </c>
      <c r="C2988" s="16">
        <v>12377194</v>
      </c>
      <c r="D2988" s="10">
        <f>PrincipalesVariables[[#This Row],[Base monetaria]]/1000000</f>
        <v>12.377193999999999</v>
      </c>
      <c r="E2988" s="10">
        <v>868.25</v>
      </c>
      <c r="F2988" s="11">
        <v>29240</v>
      </c>
      <c r="H2988" s="12">
        <f>(PrincipalesVariables[[#This Row],[Base monetaria]]-C2987)/C2987</f>
        <v>1.252568802933947E-2</v>
      </c>
      <c r="I2988" s="12">
        <f>(PrincipalesVariables[[#This Row],[Dólar  mayorista]]-E2987)/E2987</f>
        <v>1.7306028266512836E-3</v>
      </c>
      <c r="J2988" s="12">
        <f>(PrincipalesVariables[[#This Row],[Reservas internacionales]]-F2987)/F2987</f>
        <v>-2.7625251526209884E-3</v>
      </c>
    </row>
    <row r="2989" spans="1:10" ht="15.75" thickBot="1" x14ac:dyDescent="0.3">
      <c r="A2989" s="14">
        <v>45398</v>
      </c>
      <c r="B2989" s="15">
        <v>45398</v>
      </c>
      <c r="C2989" s="16">
        <v>12674554</v>
      </c>
      <c r="D2989" s="10">
        <f>PrincipalesVariables[[#This Row],[Base monetaria]]/1000000</f>
        <v>12.674554000000001</v>
      </c>
      <c r="E2989" s="10">
        <v>868.75</v>
      </c>
      <c r="F2989" s="11">
        <v>29360</v>
      </c>
      <c r="H2989" s="12">
        <f>(PrincipalesVariables[[#This Row],[Base monetaria]]-C2988)/C2988</f>
        <v>2.4024831476342698E-2</v>
      </c>
      <c r="I2989" s="12">
        <f>(PrincipalesVariables[[#This Row],[Dólar  mayorista]]-E2988)/E2988</f>
        <v>5.7587100489490354E-4</v>
      </c>
      <c r="J2989" s="12">
        <f>(PrincipalesVariables[[#This Row],[Reservas internacionales]]-F2988)/F2988</f>
        <v>4.1039671682626538E-3</v>
      </c>
    </row>
    <row r="2990" spans="1:10" ht="15.75" thickBot="1" x14ac:dyDescent="0.3">
      <c r="A2990" s="14">
        <v>45399</v>
      </c>
      <c r="B2990" s="15">
        <v>45399</v>
      </c>
      <c r="C2990" s="16">
        <v>12639839</v>
      </c>
      <c r="D2990" s="10">
        <f>PrincipalesVariables[[#This Row],[Base monetaria]]/1000000</f>
        <v>12.639839</v>
      </c>
      <c r="E2990" s="10">
        <v>869.25</v>
      </c>
      <c r="F2990" s="11">
        <v>29471</v>
      </c>
      <c r="H2990" s="12">
        <f>(PrincipalesVariables[[#This Row],[Base monetaria]]-C2989)/C2989</f>
        <v>-2.7389523923287556E-3</v>
      </c>
      <c r="I2990" s="12">
        <f>(PrincipalesVariables[[#This Row],[Dólar  mayorista]]-E2989)/E2989</f>
        <v>5.7553956834532373E-4</v>
      </c>
      <c r="J2990" s="12">
        <f>(PrincipalesVariables[[#This Row],[Reservas internacionales]]-F2989)/F2989</f>
        <v>3.7806539509536784E-3</v>
      </c>
    </row>
    <row r="2991" spans="1:10" ht="15.75" thickBot="1" x14ac:dyDescent="0.3">
      <c r="A2991" s="14">
        <v>45400</v>
      </c>
      <c r="B2991" s="15">
        <v>45400</v>
      </c>
      <c r="C2991" s="16">
        <v>12681030</v>
      </c>
      <c r="D2991" s="10">
        <f>PrincipalesVariables[[#This Row],[Base monetaria]]/1000000</f>
        <v>12.68103</v>
      </c>
      <c r="E2991" s="10">
        <v>869.75</v>
      </c>
      <c r="F2991" s="11">
        <v>29717</v>
      </c>
      <c r="H2991" s="12">
        <f>(PrincipalesVariables[[#This Row],[Base monetaria]]-C2990)/C2990</f>
        <v>3.2588231543139116E-3</v>
      </c>
      <c r="I2991" s="12">
        <f>(PrincipalesVariables[[#This Row],[Dólar  mayorista]]-E2990)/E2990</f>
        <v>5.7520851308599363E-4</v>
      </c>
      <c r="J2991" s="12">
        <f>(PrincipalesVariables[[#This Row],[Reservas internacionales]]-F2990)/F2990</f>
        <v>8.3471887618336675E-3</v>
      </c>
    </row>
    <row r="2992" spans="1:10" ht="15.75" thickBot="1" x14ac:dyDescent="0.3">
      <c r="A2992" s="14">
        <v>45401</v>
      </c>
      <c r="B2992" s="15">
        <v>45401</v>
      </c>
      <c r="C2992" s="16">
        <v>13156723</v>
      </c>
      <c r="D2992" s="10">
        <f>PrincipalesVariables[[#This Row],[Base monetaria]]/1000000</f>
        <v>13.156723</v>
      </c>
      <c r="E2992" s="10">
        <v>870.75</v>
      </c>
      <c r="F2992" s="11">
        <v>29850</v>
      </c>
      <c r="H2992" s="12">
        <f>(PrincipalesVariables[[#This Row],[Base monetaria]]-C2991)/C2991</f>
        <v>3.751217369566983E-2</v>
      </c>
      <c r="I2992" s="12">
        <f>(PrincipalesVariables[[#This Row],[Dólar  mayorista]]-E2991)/E2991</f>
        <v>1.1497556769186547E-3</v>
      </c>
      <c r="J2992" s="12">
        <f>(PrincipalesVariables[[#This Row],[Reservas internacionales]]-F2991)/F2991</f>
        <v>4.4755527139347844E-3</v>
      </c>
    </row>
    <row r="2993" spans="1:10" ht="15.75" thickBot="1" x14ac:dyDescent="0.3">
      <c r="A2993" s="14">
        <v>45404</v>
      </c>
      <c r="B2993" s="15">
        <v>45404</v>
      </c>
      <c r="C2993" s="16">
        <v>13180870</v>
      </c>
      <c r="D2993" s="10">
        <f>PrincipalesVariables[[#This Row],[Base monetaria]]/1000000</f>
        <v>13.180870000000001</v>
      </c>
      <c r="E2993" s="10">
        <v>872.25</v>
      </c>
      <c r="F2993" s="11">
        <v>29907</v>
      </c>
      <c r="H2993" s="12">
        <f>(PrincipalesVariables[[#This Row],[Base monetaria]]-C2992)/C2992</f>
        <v>1.8353354402916289E-3</v>
      </c>
      <c r="I2993" s="12">
        <f>(PrincipalesVariables[[#This Row],[Dólar  mayorista]]-E2992)/E2992</f>
        <v>1.7226528854435831E-3</v>
      </c>
      <c r="J2993" s="12">
        <f>(PrincipalesVariables[[#This Row],[Reservas internacionales]]-F2992)/F2992</f>
        <v>1.9095477386934674E-3</v>
      </c>
    </row>
    <row r="2994" spans="1:10" ht="15.75" thickBot="1" x14ac:dyDescent="0.3">
      <c r="A2994" s="14">
        <v>45405</v>
      </c>
      <c r="B2994" s="15">
        <v>45405</v>
      </c>
      <c r="C2994" s="16">
        <v>13306320</v>
      </c>
      <c r="D2994" s="10">
        <f>PrincipalesVariables[[#This Row],[Base monetaria]]/1000000</f>
        <v>13.306319999999999</v>
      </c>
      <c r="E2994" s="10">
        <v>872.75</v>
      </c>
      <c r="F2994" s="11">
        <v>29899</v>
      </c>
      <c r="H2994" s="12">
        <f>(PrincipalesVariables[[#This Row],[Base monetaria]]-C2993)/C2993</f>
        <v>9.5175811611828351E-3</v>
      </c>
      <c r="I2994" s="12">
        <f>(PrincipalesVariables[[#This Row],[Dólar  mayorista]]-E2993)/E2993</f>
        <v>5.7323015190599027E-4</v>
      </c>
      <c r="J2994" s="12">
        <f>(PrincipalesVariables[[#This Row],[Reservas internacionales]]-F2993)/F2993</f>
        <v>-2.6749590396897045E-4</v>
      </c>
    </row>
    <row r="2995" spans="1:10" ht="15.75" thickBot="1" x14ac:dyDescent="0.3">
      <c r="A2995" s="14">
        <v>45406</v>
      </c>
      <c r="B2995" s="15">
        <v>45406</v>
      </c>
      <c r="C2995" s="16">
        <v>13344121</v>
      </c>
      <c r="D2995" s="10">
        <f>PrincipalesVariables[[#This Row],[Base monetaria]]/1000000</f>
        <v>13.344120999999999</v>
      </c>
      <c r="E2995" s="10">
        <v>873.25</v>
      </c>
      <c r="F2995" s="11">
        <v>30023</v>
      </c>
      <c r="H2995" s="12">
        <f>(PrincipalesVariables[[#This Row],[Base monetaria]]-C2994)/C2994</f>
        <v>2.8408305226388661E-3</v>
      </c>
      <c r="I2995" s="12">
        <f>(PrincipalesVariables[[#This Row],[Dólar  mayorista]]-E2994)/E2994</f>
        <v>5.7290174735032942E-4</v>
      </c>
      <c r="J2995" s="12">
        <f>(PrincipalesVariables[[#This Row],[Reservas internacionales]]-F2994)/F2994</f>
        <v>4.1472958961838186E-3</v>
      </c>
    </row>
    <row r="2996" spans="1:10" ht="15.75" thickBot="1" x14ac:dyDescent="0.3">
      <c r="A2996" s="14">
        <v>45407</v>
      </c>
      <c r="B2996" s="15">
        <v>45407</v>
      </c>
      <c r="C2996" s="16">
        <v>13540291</v>
      </c>
      <c r="D2996" s="10">
        <f>PrincipalesVariables[[#This Row],[Base monetaria]]/1000000</f>
        <v>13.540291</v>
      </c>
      <c r="E2996" s="10">
        <v>873.75</v>
      </c>
      <c r="F2996" s="11">
        <v>30096</v>
      </c>
      <c r="H2996" s="12">
        <f>(PrincipalesVariables[[#This Row],[Base monetaria]]-C2995)/C2995</f>
        <v>1.4700855905008655E-2</v>
      </c>
      <c r="I2996" s="12">
        <f>(PrincipalesVariables[[#This Row],[Dólar  mayorista]]-E2995)/E2995</f>
        <v>5.7257371886630399E-4</v>
      </c>
      <c r="J2996" s="12">
        <f>(PrincipalesVariables[[#This Row],[Reservas internacionales]]-F2995)/F2995</f>
        <v>2.431469206941345E-3</v>
      </c>
    </row>
    <row r="2997" spans="1:10" ht="15.75" thickBot="1" x14ac:dyDescent="0.3">
      <c r="A2997" s="14">
        <v>45408</v>
      </c>
      <c r="B2997" s="15">
        <v>45408</v>
      </c>
      <c r="C2997" s="16">
        <v>13672428</v>
      </c>
      <c r="D2997" s="10">
        <f>PrincipalesVariables[[#This Row],[Base monetaria]]/1000000</f>
        <v>13.672428</v>
      </c>
      <c r="E2997" s="10">
        <v>874.75</v>
      </c>
      <c r="F2997" s="11">
        <v>30141</v>
      </c>
      <c r="H2997" s="12">
        <f>(PrincipalesVariables[[#This Row],[Base monetaria]]-C2996)/C2996</f>
        <v>9.7588006048023642E-3</v>
      </c>
      <c r="I2997" s="12">
        <f>(PrincipalesVariables[[#This Row],[Dólar  mayorista]]-E2996)/E2996</f>
        <v>1.1444921316165952E-3</v>
      </c>
      <c r="J2997" s="12">
        <f>(PrincipalesVariables[[#This Row],[Reservas internacionales]]-F2996)/F2996</f>
        <v>1.4952153110047847E-3</v>
      </c>
    </row>
    <row r="2998" spans="1:10" ht="15.75" thickBot="1" x14ac:dyDescent="0.3">
      <c r="A2998" s="14">
        <v>45411</v>
      </c>
      <c r="B2998" s="15">
        <v>45411</v>
      </c>
      <c r="C2998" s="16">
        <v>14034425</v>
      </c>
      <c r="D2998" s="10">
        <f>PrincipalesVariables[[#This Row],[Base monetaria]]/1000000</f>
        <v>14.034425000000001</v>
      </c>
      <c r="E2998" s="10">
        <v>876.42</v>
      </c>
      <c r="F2998" s="11">
        <v>29869</v>
      </c>
      <c r="H2998" s="12">
        <f>(PrincipalesVariables[[#This Row],[Base monetaria]]-C2997)/C2997</f>
        <v>2.6476423938747384E-2</v>
      </c>
      <c r="I2998" s="12">
        <f>(PrincipalesVariables[[#This Row],[Dólar  mayorista]]-E2997)/E2997</f>
        <v>1.9091168905401076E-3</v>
      </c>
      <c r="J2998" s="12">
        <f>(PrincipalesVariables[[#This Row],[Reservas internacionales]]-F2997)/F2997</f>
        <v>-9.0242526790750149E-3</v>
      </c>
    </row>
    <row r="2999" spans="1:10" ht="15.75" thickBot="1" x14ac:dyDescent="0.3">
      <c r="A2999" s="14">
        <v>45412</v>
      </c>
      <c r="B2999" s="15">
        <v>45412</v>
      </c>
      <c r="C2999" s="16">
        <v>14969070</v>
      </c>
      <c r="D2999" s="10">
        <f>PrincipalesVariables[[#This Row],[Base monetaria]]/1000000</f>
        <v>14.96907</v>
      </c>
      <c r="E2999" s="10">
        <v>876.75</v>
      </c>
      <c r="F2999" s="11">
        <v>27578</v>
      </c>
      <c r="H2999" s="12">
        <f>(PrincipalesVariables[[#This Row],[Base monetaria]]-C2998)/C2998</f>
        <v>6.6596600858246771E-2</v>
      </c>
      <c r="I2999" s="12">
        <f>(PrincipalesVariables[[#This Row],[Dólar  mayorista]]-E2998)/E2998</f>
        <v>3.7653179982204989E-4</v>
      </c>
      <c r="J2999" s="12">
        <f>(PrincipalesVariables[[#This Row],[Reservas internacionales]]-F2998)/F2998</f>
        <v>-7.6701596973450734E-2</v>
      </c>
    </row>
    <row r="3000" spans="1:10" ht="15.75" thickBot="1" x14ac:dyDescent="0.3">
      <c r="A3000" s="14">
        <v>45414</v>
      </c>
      <c r="B3000" s="15">
        <v>45414</v>
      </c>
      <c r="C3000" s="16">
        <v>13245377</v>
      </c>
      <c r="D3000" s="10">
        <f>PrincipalesVariables[[#This Row],[Base monetaria]]/1000000</f>
        <v>13.245377</v>
      </c>
      <c r="E3000" s="10">
        <v>878.25</v>
      </c>
      <c r="F3000" s="11">
        <v>28200</v>
      </c>
      <c r="H3000" s="12">
        <f>(PrincipalesVariables[[#This Row],[Base monetaria]]-C2999)/C2999</f>
        <v>-0.11515030659887354</v>
      </c>
      <c r="I3000" s="12">
        <f>(PrincipalesVariables[[#This Row],[Dólar  mayorista]]-E2999)/E2999</f>
        <v>1.710863986313088E-3</v>
      </c>
      <c r="J3000" s="12">
        <f>(PrincipalesVariables[[#This Row],[Reservas internacionales]]-F2999)/F2999</f>
        <v>2.2554209877438537E-2</v>
      </c>
    </row>
    <row r="3001" spans="1:10" ht="15.75" thickBot="1" x14ac:dyDescent="0.3">
      <c r="A3001" s="14">
        <v>45415</v>
      </c>
      <c r="B3001" s="15">
        <v>45415</v>
      </c>
      <c r="C3001" s="16">
        <v>13375995</v>
      </c>
      <c r="D3001" s="10">
        <f>PrincipalesVariables[[#This Row],[Base monetaria]]/1000000</f>
        <v>13.375995</v>
      </c>
      <c r="E3001" s="10">
        <v>878.75</v>
      </c>
      <c r="F3001" s="11">
        <v>28381</v>
      </c>
      <c r="H3001" s="12">
        <f>(PrincipalesVariables[[#This Row],[Base monetaria]]-C3000)/C3000</f>
        <v>9.8614029634641574E-3</v>
      </c>
      <c r="I3001" s="12">
        <f>(PrincipalesVariables[[#This Row],[Dólar  mayorista]]-E3000)/E3000</f>
        <v>5.6931397665812699E-4</v>
      </c>
      <c r="J3001" s="12">
        <f>(PrincipalesVariables[[#This Row],[Reservas internacionales]]-F3000)/F3000</f>
        <v>6.4184397163120572E-3</v>
      </c>
    </row>
    <row r="3002" spans="1:10" ht="15.75" thickBot="1" x14ac:dyDescent="0.3">
      <c r="A3002" s="14">
        <v>45418</v>
      </c>
      <c r="B3002" s="15">
        <v>45418</v>
      </c>
      <c r="C3002" s="16">
        <v>13533488</v>
      </c>
      <c r="D3002" s="10">
        <f>PrincipalesVariables[[#This Row],[Base monetaria]]/1000000</f>
        <v>13.533488</v>
      </c>
      <c r="E3002" s="10">
        <v>880.25</v>
      </c>
      <c r="F3002" s="11">
        <v>27688</v>
      </c>
      <c r="H3002" s="12">
        <f>(PrincipalesVariables[[#This Row],[Base monetaria]]-C3001)/C3001</f>
        <v>1.1774301650082853E-2</v>
      </c>
      <c r="I3002" s="12">
        <f>(PrincipalesVariables[[#This Row],[Dólar  mayorista]]-E3001)/E3001</f>
        <v>1.7069701280227596E-3</v>
      </c>
      <c r="J3002" s="12">
        <f>(PrincipalesVariables[[#This Row],[Reservas internacionales]]-F3001)/F3001</f>
        <v>-2.4417744265529756E-2</v>
      </c>
    </row>
    <row r="3003" spans="1:10" ht="15.75" thickBot="1" x14ac:dyDescent="0.3">
      <c r="A3003" s="14">
        <v>45419</v>
      </c>
      <c r="B3003" s="15">
        <v>45419</v>
      </c>
      <c r="C3003" s="16">
        <v>13474015</v>
      </c>
      <c r="D3003" s="10">
        <f>PrincipalesVariables[[#This Row],[Base monetaria]]/1000000</f>
        <v>13.474015</v>
      </c>
      <c r="E3003" s="10">
        <v>880.75</v>
      </c>
      <c r="F3003" s="11">
        <v>27791</v>
      </c>
      <c r="H3003" s="12">
        <f>(PrincipalesVariables[[#This Row],[Base monetaria]]-C3002)/C3002</f>
        <v>-4.3945064273157074E-3</v>
      </c>
      <c r="I3003" s="12">
        <f>(PrincipalesVariables[[#This Row],[Dólar  mayorista]]-E3002)/E3002</f>
        <v>5.6802044873615449E-4</v>
      </c>
      <c r="J3003" s="12">
        <f>(PrincipalesVariables[[#This Row],[Reservas internacionales]]-F3002)/F3002</f>
        <v>3.7200231147067322E-3</v>
      </c>
    </row>
    <row r="3004" spans="1:10" ht="15.75" thickBot="1" x14ac:dyDescent="0.3">
      <c r="A3004" s="14">
        <v>45420</v>
      </c>
      <c r="B3004" s="15">
        <v>45420</v>
      </c>
      <c r="C3004" s="16">
        <v>13946583</v>
      </c>
      <c r="D3004" s="10">
        <f>PrincipalesVariables[[#This Row],[Base monetaria]]/1000000</f>
        <v>13.946583</v>
      </c>
      <c r="E3004" s="10">
        <v>881.75</v>
      </c>
      <c r="F3004" s="11">
        <v>27967</v>
      </c>
      <c r="H3004" s="12">
        <f>(PrincipalesVariables[[#This Row],[Base monetaria]]-C3003)/C3003</f>
        <v>3.5072545191615123E-2</v>
      </c>
      <c r="I3004" s="12">
        <f>(PrincipalesVariables[[#This Row],[Dólar  mayorista]]-E3003)/E3003</f>
        <v>1.1353959693443088E-3</v>
      </c>
      <c r="J3004" s="12">
        <f>(PrincipalesVariables[[#This Row],[Reservas internacionales]]-F3003)/F3003</f>
        <v>6.3329854989025228E-3</v>
      </c>
    </row>
    <row r="3005" spans="1:10" ht="15.75" thickBot="1" x14ac:dyDescent="0.3">
      <c r="A3005" s="14">
        <v>45421</v>
      </c>
      <c r="B3005" s="15">
        <v>45421</v>
      </c>
      <c r="C3005" s="16">
        <v>13888653</v>
      </c>
      <c r="D3005" s="10">
        <f>PrincipalesVariables[[#This Row],[Base monetaria]]/1000000</f>
        <v>13.888653</v>
      </c>
      <c r="E3005" s="10">
        <v>882.25</v>
      </c>
      <c r="F3005" s="11">
        <v>28037</v>
      </c>
      <c r="H3005" s="12">
        <f>(PrincipalesVariables[[#This Row],[Base monetaria]]-C3004)/C3004</f>
        <v>-4.1537056065991222E-3</v>
      </c>
      <c r="I3005" s="12">
        <f>(PrincipalesVariables[[#This Row],[Dólar  mayorista]]-E3004)/E3004</f>
        <v>5.6705415367167564E-4</v>
      </c>
      <c r="J3005" s="12">
        <f>(PrincipalesVariables[[#This Row],[Reservas internacionales]]-F3004)/F3004</f>
        <v>2.502949905245468E-3</v>
      </c>
    </row>
    <row r="3006" spans="1:10" ht="15.75" thickBot="1" x14ac:dyDescent="0.3">
      <c r="A3006" s="14">
        <v>45422</v>
      </c>
      <c r="B3006" s="15">
        <v>45422</v>
      </c>
      <c r="C3006" s="16">
        <v>13971064</v>
      </c>
      <c r="D3006" s="10">
        <f>PrincipalesVariables[[#This Row],[Base monetaria]]/1000000</f>
        <v>13.971064</v>
      </c>
      <c r="E3006" s="10">
        <v>882.75</v>
      </c>
      <c r="F3006" s="11">
        <v>28361</v>
      </c>
      <c r="H3006" s="12">
        <f>(PrincipalesVariables[[#This Row],[Base monetaria]]-C3005)/C3005</f>
        <v>5.9336927778381385E-3</v>
      </c>
      <c r="I3006" s="12">
        <f>(PrincipalesVariables[[#This Row],[Dólar  mayorista]]-E3005)/E3005</f>
        <v>5.6673278549164072E-4</v>
      </c>
      <c r="J3006" s="12">
        <f>(PrincipalesVariables[[#This Row],[Reservas internacionales]]-F3005)/F3005</f>
        <v>1.1556157934158434E-2</v>
      </c>
    </row>
    <row r="3007" spans="1:10" ht="15.75" thickBot="1" x14ac:dyDescent="0.3">
      <c r="A3007" s="14">
        <v>45425</v>
      </c>
      <c r="B3007" s="15">
        <v>45425</v>
      </c>
      <c r="C3007" s="16">
        <v>14005521</v>
      </c>
      <c r="D3007" s="10">
        <f>PrincipalesVariables[[#This Row],[Base monetaria]]/1000000</f>
        <v>14.005521</v>
      </c>
      <c r="E3007" s="10">
        <v>884.25</v>
      </c>
      <c r="F3007" s="11">
        <v>28325</v>
      </c>
      <c r="H3007" s="12">
        <f>(PrincipalesVariables[[#This Row],[Base monetaria]]-C3006)/C3006</f>
        <v>2.4663117998743691E-3</v>
      </c>
      <c r="I3007" s="12">
        <f>(PrincipalesVariables[[#This Row],[Dólar  mayorista]]-E3006)/E3006</f>
        <v>1.6992353440951572E-3</v>
      </c>
      <c r="J3007" s="12">
        <f>(PrincipalesVariables[[#This Row],[Reservas internacionales]]-F3006)/F3006</f>
        <v>-1.2693487535700434E-3</v>
      </c>
    </row>
    <row r="3008" spans="1:10" ht="15.75" thickBot="1" x14ac:dyDescent="0.3">
      <c r="A3008" s="14">
        <v>45426</v>
      </c>
      <c r="B3008" s="15">
        <v>45426</v>
      </c>
      <c r="C3008" s="16">
        <v>14125646</v>
      </c>
      <c r="D3008" s="10">
        <f>PrincipalesVariables[[#This Row],[Base monetaria]]/1000000</f>
        <v>14.125646</v>
      </c>
      <c r="E3008" s="10">
        <v>885.25</v>
      </c>
      <c r="F3008" s="11">
        <v>28368</v>
      </c>
      <c r="H3008" s="12">
        <f>(PrincipalesVariables[[#This Row],[Base monetaria]]-C3007)/C3007</f>
        <v>8.5769747515997436E-3</v>
      </c>
      <c r="I3008" s="12">
        <f>(PrincipalesVariables[[#This Row],[Dólar  mayorista]]-E3007)/E3007</f>
        <v>1.1309018942606728E-3</v>
      </c>
      <c r="J3008" s="12">
        <f>(PrincipalesVariables[[#This Row],[Reservas internacionales]]-F3007)/F3007</f>
        <v>1.5180935569285084E-3</v>
      </c>
    </row>
    <row r="3009" spans="1:10" ht="15.75" thickBot="1" x14ac:dyDescent="0.3">
      <c r="A3009" s="14">
        <v>45427</v>
      </c>
      <c r="B3009" s="15">
        <v>45427</v>
      </c>
      <c r="C3009" s="16">
        <v>15938665</v>
      </c>
      <c r="D3009" s="10">
        <f>PrincipalesVariables[[#This Row],[Base monetaria]]/1000000</f>
        <v>15.938665</v>
      </c>
      <c r="E3009" s="10">
        <v>885.75</v>
      </c>
      <c r="F3009" s="11">
        <v>28271</v>
      </c>
      <c r="H3009" s="12">
        <f>(PrincipalesVariables[[#This Row],[Base monetaria]]-C3008)/C3008</f>
        <v>0.12834945743366358</v>
      </c>
      <c r="I3009" s="12">
        <f>(PrincipalesVariables[[#This Row],[Dólar  mayorista]]-E3008)/E3008</f>
        <v>5.6481219994351881E-4</v>
      </c>
      <c r="J3009" s="12">
        <f>(PrincipalesVariables[[#This Row],[Reservas internacionales]]-F3008)/F3008</f>
        <v>-3.419345741680767E-3</v>
      </c>
    </row>
    <row r="3010" spans="1:10" ht="15.75" thickBot="1" x14ac:dyDescent="0.3">
      <c r="A3010" s="14">
        <v>45428</v>
      </c>
      <c r="B3010" s="15">
        <v>45428</v>
      </c>
      <c r="C3010" s="16">
        <v>15817730</v>
      </c>
      <c r="D3010" s="10">
        <f>PrincipalesVariables[[#This Row],[Base monetaria]]/1000000</f>
        <v>15.817729999999999</v>
      </c>
      <c r="E3010" s="10">
        <v>886.25</v>
      </c>
      <c r="F3010" s="11">
        <v>28576</v>
      </c>
      <c r="H3010" s="12">
        <f>(PrincipalesVariables[[#This Row],[Base monetaria]]-C3009)/C3009</f>
        <v>-7.5875237982603941E-3</v>
      </c>
      <c r="I3010" s="12">
        <f>(PrincipalesVariables[[#This Row],[Dólar  mayorista]]-E3009)/E3009</f>
        <v>5.6449336720293538E-4</v>
      </c>
      <c r="J3010" s="12">
        <f>(PrincipalesVariables[[#This Row],[Reservas internacionales]]-F3009)/F3009</f>
        <v>1.0788440451345901E-2</v>
      </c>
    </row>
    <row r="3011" spans="1:10" ht="15.75" thickBot="1" x14ac:dyDescent="0.3">
      <c r="A3011" s="14">
        <v>45429</v>
      </c>
      <c r="B3011" s="15">
        <v>45429</v>
      </c>
      <c r="C3011" s="16">
        <v>15826106</v>
      </c>
      <c r="D3011" s="10">
        <f>PrincipalesVariables[[#This Row],[Base monetaria]]/1000000</f>
        <v>15.826105999999999</v>
      </c>
      <c r="E3011" s="10">
        <v>886.75</v>
      </c>
      <c r="F3011" s="11">
        <v>28801</v>
      </c>
      <c r="H3011" s="12">
        <f>(PrincipalesVariables[[#This Row],[Base monetaria]]-C3010)/C3010</f>
        <v>5.2953236652794047E-4</v>
      </c>
      <c r="I3011" s="12">
        <f>(PrincipalesVariables[[#This Row],[Dólar  mayorista]]-E3010)/E3010</f>
        <v>5.641748942172073E-4</v>
      </c>
      <c r="J3011" s="12">
        <f>(PrincipalesVariables[[#This Row],[Reservas internacionales]]-F3010)/F3010</f>
        <v>7.8737402015677492E-3</v>
      </c>
    </row>
    <row r="3012" spans="1:10" ht="15.75" thickBot="1" x14ac:dyDescent="0.3">
      <c r="A3012" s="14">
        <v>45432</v>
      </c>
      <c r="B3012" s="15">
        <v>45432</v>
      </c>
      <c r="C3012" s="16">
        <v>18070534</v>
      </c>
      <c r="D3012" s="10">
        <f>PrincipalesVariables[[#This Row],[Base monetaria]]/1000000</f>
        <v>18.070533999999999</v>
      </c>
      <c r="E3012" s="10">
        <v>888.75</v>
      </c>
      <c r="F3012" s="11">
        <v>28899</v>
      </c>
      <c r="H3012" s="12">
        <f>(PrincipalesVariables[[#This Row],[Base monetaria]]-C3011)/C3011</f>
        <v>0.1418180820980221</v>
      </c>
      <c r="I3012" s="12">
        <f>(PrincipalesVariables[[#This Row],[Dólar  mayorista]]-E3011)/E3011</f>
        <v>2.2554271215111362E-3</v>
      </c>
      <c r="J3012" s="12">
        <f>(PrincipalesVariables[[#This Row],[Reservas internacionales]]-F3011)/F3011</f>
        <v>3.4026596298739626E-3</v>
      </c>
    </row>
    <row r="3013" spans="1:10" ht="15.75" thickBot="1" x14ac:dyDescent="0.3">
      <c r="A3013" s="14">
        <v>45433</v>
      </c>
      <c r="B3013" s="15">
        <v>45433</v>
      </c>
      <c r="C3013" s="16">
        <v>15122360</v>
      </c>
      <c r="D3013" s="10">
        <f>PrincipalesVariables[[#This Row],[Base monetaria]]/1000000</f>
        <v>15.12236</v>
      </c>
      <c r="E3013" s="10">
        <v>889.25</v>
      </c>
      <c r="F3013" s="11">
        <v>29062</v>
      </c>
      <c r="H3013" s="12">
        <f>(PrincipalesVariables[[#This Row],[Base monetaria]]-C3012)/C3012</f>
        <v>-0.16314813939643399</v>
      </c>
      <c r="I3013" s="12">
        <f>(PrincipalesVariables[[#This Row],[Dólar  mayorista]]-E3012)/E3012</f>
        <v>5.6258790436005627E-4</v>
      </c>
      <c r="J3013" s="12">
        <f>(PrincipalesVariables[[#This Row],[Reservas internacionales]]-F3012)/F3012</f>
        <v>5.6403335755562476E-3</v>
      </c>
    </row>
    <row r="3014" spans="1:10" ht="15.75" thickBot="1" x14ac:dyDescent="0.3">
      <c r="A3014" s="14">
        <v>45434</v>
      </c>
      <c r="B3014" s="15">
        <v>45434</v>
      </c>
      <c r="C3014" s="16">
        <v>14565256</v>
      </c>
      <c r="D3014" s="10">
        <f>PrincipalesVariables[[#This Row],[Base monetaria]]/1000000</f>
        <v>14.565256</v>
      </c>
      <c r="E3014" s="10">
        <v>889.75</v>
      </c>
      <c r="F3014" s="11">
        <v>29081</v>
      </c>
      <c r="H3014" s="12">
        <f>(PrincipalesVariables[[#This Row],[Base monetaria]]-C3013)/C3013</f>
        <v>-3.6839752525399477E-2</v>
      </c>
      <c r="I3014" s="12">
        <f>(PrincipalesVariables[[#This Row],[Dólar  mayorista]]-E3013)/E3013</f>
        <v>5.6227157717177395E-4</v>
      </c>
      <c r="J3014" s="12">
        <f>(PrincipalesVariables[[#This Row],[Reservas internacionales]]-F3013)/F3013</f>
        <v>6.5377468859679306E-4</v>
      </c>
    </row>
    <row r="3015" spans="1:10" ht="15.75" thickBot="1" x14ac:dyDescent="0.3">
      <c r="A3015" s="14">
        <v>45435</v>
      </c>
      <c r="B3015" s="15">
        <v>45435</v>
      </c>
      <c r="C3015" s="16">
        <v>14674456</v>
      </c>
      <c r="D3015" s="10">
        <f>PrincipalesVariables[[#This Row],[Base monetaria]]/1000000</f>
        <v>14.674455999999999</v>
      </c>
      <c r="E3015" s="10">
        <v>890.25</v>
      </c>
      <c r="F3015" s="11">
        <v>29005</v>
      </c>
      <c r="H3015" s="12">
        <f>(PrincipalesVariables[[#This Row],[Base monetaria]]-C3014)/C3014</f>
        <v>7.4972935594128931E-3</v>
      </c>
      <c r="I3015" s="12">
        <f>(PrincipalesVariables[[#This Row],[Dólar  mayorista]]-E3014)/E3014</f>
        <v>5.6195560550716497E-4</v>
      </c>
      <c r="J3015" s="12">
        <f>(PrincipalesVariables[[#This Row],[Reservas internacionales]]-F3014)/F3014</f>
        <v>-2.6133901860321174E-3</v>
      </c>
    </row>
    <row r="3016" spans="1:10" ht="15.75" thickBot="1" x14ac:dyDescent="0.3">
      <c r="A3016" s="14">
        <v>45436</v>
      </c>
      <c r="B3016" s="15">
        <v>45436</v>
      </c>
      <c r="C3016" s="16">
        <v>14959700</v>
      </c>
      <c r="D3016" s="10">
        <f>PrincipalesVariables[[#This Row],[Base monetaria]]/1000000</f>
        <v>14.9597</v>
      </c>
      <c r="E3016" s="10">
        <v>890.75</v>
      </c>
      <c r="F3016" s="11">
        <v>29116</v>
      </c>
      <c r="H3016" s="12">
        <f>(PrincipalesVariables[[#This Row],[Base monetaria]]-C3015)/C3015</f>
        <v>1.9438131130721303E-2</v>
      </c>
      <c r="I3016" s="12">
        <f>(PrincipalesVariables[[#This Row],[Dólar  mayorista]]-E3015)/E3015</f>
        <v>5.6163998876720023E-4</v>
      </c>
      <c r="J3016" s="12">
        <f>(PrincipalesVariables[[#This Row],[Reservas internacionales]]-F3015)/F3015</f>
        <v>3.8269263920013789E-3</v>
      </c>
    </row>
    <row r="3017" spans="1:10" ht="15.75" thickBot="1" x14ac:dyDescent="0.3">
      <c r="A3017" s="14">
        <v>45439</v>
      </c>
      <c r="B3017" s="15">
        <v>45439</v>
      </c>
      <c r="C3017" s="16">
        <v>15234098</v>
      </c>
      <c r="D3017" s="10">
        <f>PrincipalesVariables[[#This Row],[Base monetaria]]/1000000</f>
        <v>15.234097999999999</v>
      </c>
      <c r="E3017" s="10">
        <v>892.75</v>
      </c>
      <c r="F3017" s="11">
        <v>29157</v>
      </c>
      <c r="H3017" s="12">
        <f>(PrincipalesVariables[[#This Row],[Base monetaria]]-C3016)/C3016</f>
        <v>1.8342480129949129E-2</v>
      </c>
      <c r="I3017" s="12">
        <f>(PrincipalesVariables[[#This Row],[Dólar  mayorista]]-E3016)/E3016</f>
        <v>2.2452989054167838E-3</v>
      </c>
      <c r="J3017" s="12">
        <f>(PrincipalesVariables[[#This Row],[Reservas internacionales]]-F3016)/F3016</f>
        <v>1.4081604616018684E-3</v>
      </c>
    </row>
    <row r="3018" spans="1:10" ht="15.75" thickBot="1" x14ac:dyDescent="0.3">
      <c r="A3018" s="14">
        <v>45440</v>
      </c>
      <c r="B3018" s="15">
        <v>45440</v>
      </c>
      <c r="C3018" s="16">
        <v>15478305</v>
      </c>
      <c r="D3018" s="10">
        <f>PrincipalesVariables[[#This Row],[Base monetaria]]/1000000</f>
        <v>15.478305000000001</v>
      </c>
      <c r="E3018" s="10">
        <v>893.25</v>
      </c>
      <c r="F3018" s="11">
        <v>29186</v>
      </c>
      <c r="H3018" s="12">
        <f>(PrincipalesVariables[[#This Row],[Base monetaria]]-C3017)/C3017</f>
        <v>1.6030289420482919E-2</v>
      </c>
      <c r="I3018" s="12">
        <f>(PrincipalesVariables[[#This Row],[Dólar  mayorista]]-E3017)/E3017</f>
        <v>5.6006720806496785E-4</v>
      </c>
      <c r="J3018" s="12">
        <f>(PrincipalesVariables[[#This Row],[Reservas internacionales]]-F3017)/F3017</f>
        <v>9.9461535823301434E-4</v>
      </c>
    </row>
    <row r="3019" spans="1:10" ht="15.75" thickBot="1" x14ac:dyDescent="0.3">
      <c r="A3019" s="14">
        <v>45441</v>
      </c>
      <c r="B3019" s="15">
        <v>45441</v>
      </c>
      <c r="C3019" s="16">
        <v>15568957</v>
      </c>
      <c r="D3019" s="10">
        <f>PrincipalesVariables[[#This Row],[Base monetaria]]/1000000</f>
        <v>15.568956999999999</v>
      </c>
      <c r="E3019" s="10">
        <v>893.75</v>
      </c>
      <c r="F3019" s="11">
        <v>29191</v>
      </c>
      <c r="H3019" s="12">
        <f>(PrincipalesVariables[[#This Row],[Base monetaria]]-C3018)/C3018</f>
        <v>5.8567136388642041E-3</v>
      </c>
      <c r="I3019" s="12">
        <f>(PrincipalesVariables[[#This Row],[Dólar  mayorista]]-E3018)/E3018</f>
        <v>5.5975370836831796E-4</v>
      </c>
      <c r="J3019" s="12">
        <f>(PrincipalesVariables[[#This Row],[Reservas internacionales]]-F3018)/F3018</f>
        <v>1.7131501404783116E-4</v>
      </c>
    </row>
    <row r="3020" spans="1:10" ht="15.75" thickBot="1" x14ac:dyDescent="0.3">
      <c r="A3020" s="14">
        <v>45442</v>
      </c>
      <c r="B3020" s="15">
        <v>45442</v>
      </c>
      <c r="C3020" s="16">
        <v>15927363</v>
      </c>
      <c r="D3020" s="10">
        <f>PrincipalesVariables[[#This Row],[Base monetaria]]/1000000</f>
        <v>15.927363</v>
      </c>
      <c r="E3020" s="10">
        <v>894.25</v>
      </c>
      <c r="F3020" s="11">
        <v>29066</v>
      </c>
      <c r="H3020" s="12">
        <f>(PrincipalesVariables[[#This Row],[Base monetaria]]-C3019)/C3019</f>
        <v>2.3020553014566101E-2</v>
      </c>
      <c r="I3020" s="12">
        <f>(PrincipalesVariables[[#This Row],[Dólar  mayorista]]-E3019)/E3019</f>
        <v>5.5944055944055944E-4</v>
      </c>
      <c r="J3020" s="12">
        <f>(PrincipalesVariables[[#This Row],[Reservas internacionales]]-F3019)/F3019</f>
        <v>-4.2821417560206911E-3</v>
      </c>
    </row>
    <row r="3021" spans="1:10" ht="15.75" thickBot="1" x14ac:dyDescent="0.3">
      <c r="A3021" s="14">
        <v>45443</v>
      </c>
      <c r="B3021" s="15">
        <v>45443</v>
      </c>
      <c r="C3021" s="16">
        <v>17151691</v>
      </c>
      <c r="D3021" s="10">
        <f>PrincipalesVariables[[#This Row],[Base monetaria]]/1000000</f>
        <v>17.151691</v>
      </c>
      <c r="E3021" s="10">
        <v>895.25</v>
      </c>
      <c r="F3021" s="11">
        <v>28664</v>
      </c>
      <c r="H3021" s="12">
        <f>(PrincipalesVariables[[#This Row],[Base monetaria]]-C3020)/C3020</f>
        <v>7.6869472994368249E-2</v>
      </c>
      <c r="I3021" s="12">
        <f>(PrincipalesVariables[[#This Row],[Dólar  mayorista]]-E3020)/E3020</f>
        <v>1.1182555213866368E-3</v>
      </c>
      <c r="J3021" s="12">
        <f>(PrincipalesVariables[[#This Row],[Reservas internacionales]]-F3020)/F3020</f>
        <v>-1.3830592444780843E-2</v>
      </c>
    </row>
    <row r="3022" spans="1:10" ht="15.75" thickBot="1" x14ac:dyDescent="0.3">
      <c r="A3022" s="14">
        <v>45446</v>
      </c>
      <c r="B3022" s="15">
        <v>45446</v>
      </c>
      <c r="C3022" s="16">
        <v>16701852</v>
      </c>
      <c r="D3022" s="10">
        <f>PrincipalesVariables[[#This Row],[Base monetaria]]/1000000</f>
        <v>16.701851999999999</v>
      </c>
      <c r="E3022" s="10">
        <v>896.42</v>
      </c>
      <c r="F3022" s="11">
        <v>29134</v>
      </c>
      <c r="H3022" s="12">
        <f>(PrincipalesVariables[[#This Row],[Base monetaria]]-C3021)/C3021</f>
        <v>-2.622709329360003E-2</v>
      </c>
      <c r="I3022" s="12">
        <f>(PrincipalesVariables[[#This Row],[Dólar  mayorista]]-E3021)/E3021</f>
        <v>1.3068975146606635E-3</v>
      </c>
      <c r="J3022" s="12">
        <f>(PrincipalesVariables[[#This Row],[Reservas internacionales]]-F3021)/F3021</f>
        <v>1.6396874127825846E-2</v>
      </c>
    </row>
    <row r="3023" spans="1:10" ht="15.75" thickBot="1" x14ac:dyDescent="0.3">
      <c r="A3023" s="14">
        <v>45447</v>
      </c>
      <c r="B3023" s="15">
        <v>45447</v>
      </c>
      <c r="C3023" s="16">
        <v>16642866</v>
      </c>
      <c r="D3023" s="10">
        <f>PrincipalesVariables[[#This Row],[Base monetaria]]/1000000</f>
        <v>16.642866000000001</v>
      </c>
      <c r="E3023" s="10">
        <v>896.92</v>
      </c>
      <c r="F3023" s="11">
        <v>29289</v>
      </c>
      <c r="H3023" s="12">
        <f>(PrincipalesVariables[[#This Row],[Base monetaria]]-C3022)/C3022</f>
        <v>-3.5317041487375172E-3</v>
      </c>
      <c r="I3023" s="12">
        <f>(PrincipalesVariables[[#This Row],[Dólar  mayorista]]-E3022)/E3022</f>
        <v>5.5777425760246315E-4</v>
      </c>
      <c r="J3023" s="12">
        <f>(PrincipalesVariables[[#This Row],[Reservas internacionales]]-F3022)/F3022</f>
        <v>5.3202443880002743E-3</v>
      </c>
    </row>
    <row r="3024" spans="1:10" ht="15.75" thickBot="1" x14ac:dyDescent="0.3">
      <c r="A3024" s="14">
        <v>45448</v>
      </c>
      <c r="B3024" s="15">
        <v>45448</v>
      </c>
      <c r="C3024" s="16">
        <v>16869531</v>
      </c>
      <c r="D3024" s="10">
        <f>PrincipalesVariables[[#This Row],[Base monetaria]]/1000000</f>
        <v>16.869530999999998</v>
      </c>
      <c r="E3024" s="10">
        <v>898.25</v>
      </c>
      <c r="F3024" s="11">
        <v>29368</v>
      </c>
      <c r="H3024" s="12">
        <f>(PrincipalesVariables[[#This Row],[Base monetaria]]-C3023)/C3023</f>
        <v>1.3619348975110416E-2</v>
      </c>
      <c r="I3024" s="12">
        <f>(PrincipalesVariables[[#This Row],[Dólar  mayorista]]-E3023)/E3023</f>
        <v>1.4828524283102629E-3</v>
      </c>
      <c r="J3024" s="12">
        <f>(PrincipalesVariables[[#This Row],[Reservas internacionales]]-F3023)/F3023</f>
        <v>2.697258356379528E-3</v>
      </c>
    </row>
    <row r="3025" spans="1:10" ht="15.75" thickBot="1" x14ac:dyDescent="0.3">
      <c r="A3025" s="14">
        <v>45449</v>
      </c>
      <c r="B3025" s="15">
        <v>45449</v>
      </c>
      <c r="C3025" s="16">
        <v>17217862</v>
      </c>
      <c r="D3025" s="10">
        <f>PrincipalesVariables[[#This Row],[Base monetaria]]/1000000</f>
        <v>17.217862</v>
      </c>
      <c r="E3025" s="10">
        <v>898.5</v>
      </c>
      <c r="F3025" s="11">
        <v>29415</v>
      </c>
      <c r="H3025" s="12">
        <f>(PrincipalesVariables[[#This Row],[Base monetaria]]-C3024)/C3024</f>
        <v>2.0648528995856494E-2</v>
      </c>
      <c r="I3025" s="12">
        <f>(PrincipalesVariables[[#This Row],[Dólar  mayorista]]-E3024)/E3024</f>
        <v>2.7831895352073476E-4</v>
      </c>
      <c r="J3025" s="12">
        <f>(PrincipalesVariables[[#This Row],[Reservas internacionales]]-F3024)/F3024</f>
        <v>1.6003813674748024E-3</v>
      </c>
    </row>
    <row r="3026" spans="1:10" ht="15.75" thickBot="1" x14ac:dyDescent="0.3">
      <c r="A3026" s="14">
        <v>45450</v>
      </c>
      <c r="B3026" s="15">
        <v>45450</v>
      </c>
      <c r="C3026" s="16">
        <v>17752098</v>
      </c>
      <c r="D3026" s="10">
        <f>PrincipalesVariables[[#This Row],[Base monetaria]]/1000000</f>
        <v>17.752098</v>
      </c>
      <c r="E3026" s="10">
        <v>899.08</v>
      </c>
      <c r="F3026" s="11">
        <v>29300</v>
      </c>
      <c r="H3026" s="12">
        <f>(PrincipalesVariables[[#This Row],[Base monetaria]]-C3025)/C3025</f>
        <v>3.1028010330202437E-2</v>
      </c>
      <c r="I3026" s="12">
        <f>(PrincipalesVariables[[#This Row],[Dólar  mayorista]]-E3025)/E3025</f>
        <v>6.4552031163054083E-4</v>
      </c>
      <c r="J3026" s="12">
        <f>(PrincipalesVariables[[#This Row],[Reservas internacionales]]-F3025)/F3025</f>
        <v>-3.9095699473057962E-3</v>
      </c>
    </row>
    <row r="3027" spans="1:10" ht="15.75" thickBot="1" x14ac:dyDescent="0.3">
      <c r="A3027" s="14">
        <v>45453</v>
      </c>
      <c r="B3027" s="15">
        <v>45453</v>
      </c>
      <c r="C3027" s="16">
        <v>16935023</v>
      </c>
      <c r="D3027" s="10">
        <f>PrincipalesVariables[[#This Row],[Base monetaria]]/1000000</f>
        <v>16.935023000000001</v>
      </c>
      <c r="E3027" s="10">
        <v>901.17</v>
      </c>
      <c r="F3027" s="11">
        <v>29237</v>
      </c>
      <c r="H3027" s="12">
        <f>(PrincipalesVariables[[#This Row],[Base monetaria]]-C3026)/C3026</f>
        <v>-4.6026954109874785E-2</v>
      </c>
      <c r="I3027" s="12">
        <f>(PrincipalesVariables[[#This Row],[Dólar  mayorista]]-E3026)/E3026</f>
        <v>2.3245984784445411E-3</v>
      </c>
      <c r="J3027" s="12">
        <f>(PrincipalesVariables[[#This Row],[Reservas internacionales]]-F3026)/F3026</f>
        <v>-2.1501706484641637E-3</v>
      </c>
    </row>
    <row r="3028" spans="1:10" ht="15.75" thickBot="1" x14ac:dyDescent="0.3">
      <c r="A3028" s="14">
        <v>45454</v>
      </c>
      <c r="B3028" s="15">
        <v>45454</v>
      </c>
      <c r="C3028" s="16">
        <v>16686086</v>
      </c>
      <c r="D3028" s="10">
        <f>PrincipalesVariables[[#This Row],[Base monetaria]]/1000000</f>
        <v>16.686086</v>
      </c>
      <c r="E3028" s="10">
        <v>902.17</v>
      </c>
      <c r="F3028" s="11">
        <v>29212</v>
      </c>
      <c r="H3028" s="12">
        <f>(PrincipalesVariables[[#This Row],[Base monetaria]]-C3027)/C3027</f>
        <v>-1.4699537166261894E-2</v>
      </c>
      <c r="I3028" s="12">
        <f>(PrincipalesVariables[[#This Row],[Dólar  mayorista]]-E3027)/E3027</f>
        <v>1.1096685420065027E-3</v>
      </c>
      <c r="J3028" s="12">
        <f>(PrincipalesVariables[[#This Row],[Reservas internacionales]]-F3027)/F3027</f>
        <v>-8.5508089065225576E-4</v>
      </c>
    </row>
    <row r="3029" spans="1:10" ht="15.75" thickBot="1" x14ac:dyDescent="0.3">
      <c r="A3029" s="14">
        <v>45455</v>
      </c>
      <c r="B3029" s="15">
        <v>45455</v>
      </c>
      <c r="C3029" s="16">
        <v>17472890</v>
      </c>
      <c r="D3029" s="10">
        <f>PrincipalesVariables[[#This Row],[Base monetaria]]/1000000</f>
        <v>17.47289</v>
      </c>
      <c r="E3029" s="10">
        <v>902.25</v>
      </c>
      <c r="F3029" s="11">
        <v>29268</v>
      </c>
      <c r="H3029" s="12">
        <f>(PrincipalesVariables[[#This Row],[Base monetaria]]-C3028)/C3028</f>
        <v>4.7153298862297605E-2</v>
      </c>
      <c r="I3029" s="12">
        <f>(PrincipalesVariables[[#This Row],[Dólar  mayorista]]-E3028)/E3028</f>
        <v>8.8675083410045703E-5</v>
      </c>
      <c r="J3029" s="12">
        <f>(PrincipalesVariables[[#This Row],[Reservas internacionales]]-F3028)/F3028</f>
        <v>1.9170204025742846E-3</v>
      </c>
    </row>
    <row r="3030" spans="1:10" ht="15.75" thickBot="1" x14ac:dyDescent="0.3">
      <c r="A3030" s="14">
        <v>45456</v>
      </c>
      <c r="B3030" s="15">
        <v>45456</v>
      </c>
      <c r="C3030" s="16">
        <v>17191547</v>
      </c>
      <c r="D3030" s="10">
        <f>PrincipalesVariables[[#This Row],[Base monetaria]]/1000000</f>
        <v>17.191547</v>
      </c>
      <c r="E3030" s="10">
        <v>902.58</v>
      </c>
      <c r="F3030" s="11">
        <v>29277</v>
      </c>
      <c r="H3030" s="12">
        <f>(PrincipalesVariables[[#This Row],[Base monetaria]]-C3029)/C3029</f>
        <v>-1.6101686670035694E-2</v>
      </c>
      <c r="I3030" s="12">
        <f>(PrincipalesVariables[[#This Row],[Dólar  mayorista]]-E3029)/E3029</f>
        <v>3.6575228595183258E-4</v>
      </c>
      <c r="J3030" s="12">
        <f>(PrincipalesVariables[[#This Row],[Reservas internacionales]]-F3029)/F3029</f>
        <v>3.0750307503075032E-4</v>
      </c>
    </row>
    <row r="3031" spans="1:10" ht="15.75" thickBot="1" x14ac:dyDescent="0.3">
      <c r="A3031" s="14">
        <v>45457</v>
      </c>
      <c r="B3031" s="15">
        <v>45457</v>
      </c>
      <c r="C3031" s="16">
        <v>19065154</v>
      </c>
      <c r="D3031" s="10">
        <f>PrincipalesVariables[[#This Row],[Base monetaria]]/1000000</f>
        <v>19.065154</v>
      </c>
      <c r="E3031" s="10">
        <v>902.67</v>
      </c>
      <c r="F3031" s="11">
        <v>29172</v>
      </c>
      <c r="H3031" s="12">
        <f>(PrincipalesVariables[[#This Row],[Base monetaria]]-C3030)/C3030</f>
        <v>0.10898420020024957</v>
      </c>
      <c r="I3031" s="12">
        <f>(PrincipalesVariables[[#This Row],[Dólar  mayorista]]-E3030)/E3030</f>
        <v>9.9714152761991331E-5</v>
      </c>
      <c r="J3031" s="12">
        <f>(PrincipalesVariables[[#This Row],[Reservas internacionales]]-F3030)/F3030</f>
        <v>-3.5864330361717388E-3</v>
      </c>
    </row>
    <row r="3032" spans="1:10" ht="15.75" thickBot="1" x14ac:dyDescent="0.3">
      <c r="A3032" s="14">
        <v>45461</v>
      </c>
      <c r="B3032" s="15">
        <v>45461</v>
      </c>
      <c r="C3032" s="16">
        <v>18289123</v>
      </c>
      <c r="D3032" s="10">
        <f>PrincipalesVariables[[#This Row],[Base monetaria]]/1000000</f>
        <v>18.289123</v>
      </c>
      <c r="E3032" s="10">
        <v>905.42</v>
      </c>
      <c r="F3032" s="11">
        <v>29959</v>
      </c>
      <c r="H3032" s="12">
        <f>(PrincipalesVariables[[#This Row],[Base monetaria]]-C3031)/C3031</f>
        <v>-4.0704155864673318E-2</v>
      </c>
      <c r="I3032" s="12">
        <f>(PrincipalesVariables[[#This Row],[Dólar  mayorista]]-E3031)/E3031</f>
        <v>3.0465175534802312E-3</v>
      </c>
      <c r="J3032" s="12">
        <f>(PrincipalesVariables[[#This Row],[Reservas internacionales]]-F3031)/F3031</f>
        <v>2.6977924036747567E-2</v>
      </c>
    </row>
    <row r="3033" spans="1:10" ht="15.75" thickBot="1" x14ac:dyDescent="0.3">
      <c r="A3033" s="14">
        <v>45462</v>
      </c>
      <c r="B3033" s="15">
        <v>45462</v>
      </c>
      <c r="C3033" s="16">
        <v>18775335</v>
      </c>
      <c r="D3033" s="10">
        <f>PrincipalesVariables[[#This Row],[Base monetaria]]/1000000</f>
        <v>18.775334999999998</v>
      </c>
      <c r="E3033" s="10">
        <v>906</v>
      </c>
      <c r="F3033" s="11">
        <v>29946</v>
      </c>
      <c r="H3033" s="12">
        <f>(PrincipalesVariables[[#This Row],[Base monetaria]]-C3032)/C3032</f>
        <v>2.6584762976332981E-2</v>
      </c>
      <c r="I3033" s="12">
        <f>(PrincipalesVariables[[#This Row],[Dólar  mayorista]]-E3032)/E3032</f>
        <v>6.4058668905043071E-4</v>
      </c>
      <c r="J3033" s="12">
        <f>(PrincipalesVariables[[#This Row],[Reservas internacionales]]-F3032)/F3032</f>
        <v>-4.3392636603357921E-4</v>
      </c>
    </row>
    <row r="3034" spans="1:10" ht="15.75" thickBot="1" x14ac:dyDescent="0.3">
      <c r="A3034" s="14">
        <v>45467</v>
      </c>
      <c r="B3034" s="15">
        <v>45467</v>
      </c>
      <c r="C3034" s="16">
        <v>17940751</v>
      </c>
      <c r="D3034" s="10">
        <f>PrincipalesVariables[[#This Row],[Base monetaria]]/1000000</f>
        <v>17.940750999999999</v>
      </c>
      <c r="E3034" s="10">
        <v>909.08</v>
      </c>
      <c r="F3034" s="11">
        <v>29716</v>
      </c>
      <c r="H3034" s="12">
        <f>(PrincipalesVariables[[#This Row],[Base monetaria]]-C3033)/C3033</f>
        <v>-4.445108436147744E-2</v>
      </c>
      <c r="I3034" s="12">
        <f>(PrincipalesVariables[[#This Row],[Dólar  mayorista]]-E3033)/E3033</f>
        <v>3.3995584988962923E-3</v>
      </c>
      <c r="J3034" s="12">
        <f>(PrincipalesVariables[[#This Row],[Reservas internacionales]]-F3033)/F3033</f>
        <v>-7.6804915514592934E-3</v>
      </c>
    </row>
    <row r="3035" spans="1:10" ht="15.75" thickBot="1" x14ac:dyDescent="0.3">
      <c r="A3035" s="14">
        <v>45468</v>
      </c>
      <c r="B3035" s="15">
        <v>45468</v>
      </c>
      <c r="C3035" s="16">
        <v>18190643</v>
      </c>
      <c r="D3035" s="10">
        <f>PrincipalesVariables[[#This Row],[Base monetaria]]/1000000</f>
        <v>18.190643000000001</v>
      </c>
      <c r="E3035" s="10">
        <v>909.67</v>
      </c>
      <c r="F3035" s="11">
        <v>29783</v>
      </c>
      <c r="H3035" s="12">
        <f>(PrincipalesVariables[[#This Row],[Base monetaria]]-C3034)/C3034</f>
        <v>1.3928736873946915E-2</v>
      </c>
      <c r="I3035" s="12">
        <f>(PrincipalesVariables[[#This Row],[Dólar  mayorista]]-E3034)/E3034</f>
        <v>6.490077880933671E-4</v>
      </c>
      <c r="J3035" s="12">
        <f>(PrincipalesVariables[[#This Row],[Reservas internacionales]]-F3034)/F3034</f>
        <v>2.2546776147529951E-3</v>
      </c>
    </row>
    <row r="3036" spans="1:10" ht="15.75" thickBot="1" x14ac:dyDescent="0.3">
      <c r="A3036" s="14">
        <v>45469</v>
      </c>
      <c r="B3036" s="15">
        <v>45469</v>
      </c>
      <c r="C3036" s="16">
        <v>18585703</v>
      </c>
      <c r="D3036" s="10">
        <f>PrincipalesVariables[[#This Row],[Base monetaria]]/1000000</f>
        <v>18.585702999999999</v>
      </c>
      <c r="E3036" s="10">
        <v>910.75</v>
      </c>
      <c r="F3036" s="11">
        <v>29886</v>
      </c>
      <c r="H3036" s="12">
        <f>(PrincipalesVariables[[#This Row],[Base monetaria]]-C3035)/C3035</f>
        <v>2.1717758959922416E-2</v>
      </c>
      <c r="I3036" s="12">
        <f>(PrincipalesVariables[[#This Row],[Dólar  mayorista]]-E3035)/E3035</f>
        <v>1.1872437257467443E-3</v>
      </c>
      <c r="J3036" s="12">
        <f>(PrincipalesVariables[[#This Row],[Reservas internacionales]]-F3035)/F3035</f>
        <v>3.4583487224255447E-3</v>
      </c>
    </row>
    <row r="3037" spans="1:10" ht="15.75" thickBot="1" x14ac:dyDescent="0.3">
      <c r="A3037" s="14">
        <v>45470</v>
      </c>
      <c r="B3037" s="15">
        <v>45470</v>
      </c>
      <c r="C3037" s="16">
        <v>18604975</v>
      </c>
      <c r="D3037" s="10">
        <f>PrincipalesVariables[[#This Row],[Base monetaria]]/1000000</f>
        <v>18.604975</v>
      </c>
      <c r="E3037" s="10">
        <v>911.58</v>
      </c>
      <c r="F3037" s="11">
        <v>29747</v>
      </c>
      <c r="H3037" s="12">
        <f>(PrincipalesVariables[[#This Row],[Base monetaria]]-C3036)/C3036</f>
        <v>1.0369260716153702E-3</v>
      </c>
      <c r="I3037" s="12">
        <f>(PrincipalesVariables[[#This Row],[Dólar  mayorista]]-E3036)/E3036</f>
        <v>9.1133681032120879E-4</v>
      </c>
      <c r="J3037" s="12">
        <f>(PrincipalesVariables[[#This Row],[Reservas internacionales]]-F3036)/F3036</f>
        <v>-4.6510071605433984E-3</v>
      </c>
    </row>
    <row r="3038" spans="1:10" ht="15.75" thickBot="1" x14ac:dyDescent="0.3">
      <c r="A3038" s="14">
        <v>45471</v>
      </c>
      <c r="B3038" s="15">
        <v>45471</v>
      </c>
      <c r="C3038" s="16">
        <v>20182490</v>
      </c>
      <c r="D3038" s="10">
        <f>PrincipalesVariables[[#This Row],[Base monetaria]]/1000000</f>
        <v>20.182490000000001</v>
      </c>
      <c r="E3038" s="10">
        <v>911.75</v>
      </c>
      <c r="F3038" s="11">
        <v>29022</v>
      </c>
      <c r="H3038" s="12">
        <f>(PrincipalesVariables[[#This Row],[Base monetaria]]-C3037)/C3037</f>
        <v>8.4789955374839257E-2</v>
      </c>
      <c r="I3038" s="12">
        <f>(PrincipalesVariables[[#This Row],[Dólar  mayorista]]-E3037)/E3037</f>
        <v>1.8648939204453702E-4</v>
      </c>
      <c r="J3038" s="12">
        <f>(PrincipalesVariables[[#This Row],[Reservas internacionales]]-F3037)/F3037</f>
        <v>-2.4372205600564762E-2</v>
      </c>
    </row>
    <row r="3039" spans="1:10" ht="15.75" thickBot="1" x14ac:dyDescent="0.3">
      <c r="A3039" s="14">
        <v>45474</v>
      </c>
      <c r="B3039" s="15">
        <v>45474</v>
      </c>
      <c r="C3039" s="16">
        <v>24291397</v>
      </c>
      <c r="D3039" s="10">
        <f>PrincipalesVariables[[#This Row],[Base monetaria]]/1000000</f>
        <v>24.291397</v>
      </c>
      <c r="E3039" s="10">
        <v>914.5</v>
      </c>
      <c r="F3039" s="11">
        <v>29615</v>
      </c>
      <c r="H3039" s="12">
        <f>(PrincipalesVariables[[#This Row],[Base monetaria]]-C3038)/C3038</f>
        <v>0.20358771390447858</v>
      </c>
      <c r="I3039" s="12">
        <f>(PrincipalesVariables[[#This Row],[Dólar  mayorista]]-E3038)/E3038</f>
        <v>3.016177680285166E-3</v>
      </c>
      <c r="J3039" s="12">
        <f>(PrincipalesVariables[[#This Row],[Reservas internacionales]]-F3038)/F3038</f>
        <v>2.0432775136103646E-2</v>
      </c>
    </row>
    <row r="3040" spans="1:10" ht="15.75" thickBot="1" x14ac:dyDescent="0.3">
      <c r="A3040" s="14">
        <v>45475</v>
      </c>
      <c r="B3040" s="15">
        <v>45475</v>
      </c>
      <c r="C3040" s="16">
        <v>21904556</v>
      </c>
      <c r="D3040" s="10">
        <f>PrincipalesVariables[[#This Row],[Base monetaria]]/1000000</f>
        <v>21.904555999999999</v>
      </c>
      <c r="E3040" s="10">
        <v>915.17</v>
      </c>
      <c r="F3040" s="11">
        <v>29646</v>
      </c>
      <c r="H3040" s="12">
        <f>(PrincipalesVariables[[#This Row],[Base monetaria]]-C3039)/C3039</f>
        <v>-9.8258696278357316E-2</v>
      </c>
      <c r="I3040" s="12">
        <f>(PrincipalesVariables[[#This Row],[Dólar  mayorista]]-E3039)/E3039</f>
        <v>7.3264078731542814E-4</v>
      </c>
      <c r="J3040" s="12">
        <f>(PrincipalesVariables[[#This Row],[Reservas internacionales]]-F3039)/F3039</f>
        <v>1.0467668411278069E-3</v>
      </c>
    </row>
    <row r="3041" spans="1:10" ht="15.75" thickBot="1" x14ac:dyDescent="0.3">
      <c r="A3041" s="14">
        <v>45476</v>
      </c>
      <c r="B3041" s="15">
        <v>45476</v>
      </c>
      <c r="C3041" s="16">
        <v>22080397</v>
      </c>
      <c r="D3041" s="10">
        <f>PrincipalesVariables[[#This Row],[Base monetaria]]/1000000</f>
        <v>22.080397000000001</v>
      </c>
      <c r="E3041" s="10">
        <v>915.67</v>
      </c>
      <c r="F3041" s="11">
        <v>29812</v>
      </c>
      <c r="H3041" s="12">
        <f>(PrincipalesVariables[[#This Row],[Base monetaria]]-C3040)/C3040</f>
        <v>8.0275993724775799E-3</v>
      </c>
      <c r="I3041" s="12">
        <f>(PrincipalesVariables[[#This Row],[Dólar  mayorista]]-E3040)/E3040</f>
        <v>5.4634658041675314E-4</v>
      </c>
      <c r="J3041" s="12">
        <f>(PrincipalesVariables[[#This Row],[Reservas internacionales]]-F3040)/F3040</f>
        <v>5.5994063280037781E-3</v>
      </c>
    </row>
    <row r="3042" spans="1:10" ht="15.75" thickBot="1" x14ac:dyDescent="0.3">
      <c r="A3042" s="14">
        <v>45477</v>
      </c>
      <c r="B3042" s="15">
        <v>45477</v>
      </c>
      <c r="C3042" s="16">
        <v>21878622</v>
      </c>
      <c r="D3042" s="10">
        <f>PrincipalesVariables[[#This Row],[Base monetaria]]/1000000</f>
        <v>21.878622</v>
      </c>
      <c r="E3042" s="10">
        <v>915.92</v>
      </c>
      <c r="F3042" s="11">
        <v>29819</v>
      </c>
      <c r="H3042" s="12">
        <f>(PrincipalesVariables[[#This Row],[Base monetaria]]-C3041)/C3041</f>
        <v>-9.1381962018164797E-3</v>
      </c>
      <c r="I3042" s="12">
        <f>(PrincipalesVariables[[#This Row],[Dólar  mayorista]]-E3041)/E3041</f>
        <v>2.7302412441163303E-4</v>
      </c>
      <c r="J3042" s="12">
        <f>(PrincipalesVariables[[#This Row],[Reservas internacionales]]-F3041)/F3041</f>
        <v>2.3480477660002682E-4</v>
      </c>
    </row>
    <row r="3043" spans="1:10" ht="15.75" thickBot="1" x14ac:dyDescent="0.3">
      <c r="A3043" s="14">
        <v>45478</v>
      </c>
      <c r="B3043" s="15">
        <v>45478</v>
      </c>
      <c r="C3043" s="16">
        <v>22097660</v>
      </c>
      <c r="D3043" s="10">
        <f>PrincipalesVariables[[#This Row],[Base monetaria]]/1000000</f>
        <v>22.097660000000001</v>
      </c>
      <c r="E3043" s="10">
        <v>918.25</v>
      </c>
      <c r="F3043" s="11">
        <v>29950</v>
      </c>
      <c r="H3043" s="12">
        <f>(PrincipalesVariables[[#This Row],[Base monetaria]]-C3042)/C3042</f>
        <v>1.0011508037389191E-2</v>
      </c>
      <c r="I3043" s="12">
        <f>(PrincipalesVariables[[#This Row],[Dólar  mayorista]]-E3042)/E3042</f>
        <v>2.5438902960957738E-3</v>
      </c>
      <c r="J3043" s="12">
        <f>(PrincipalesVariables[[#This Row],[Reservas internacionales]]-F3042)/F3042</f>
        <v>4.3931721385693685E-3</v>
      </c>
    </row>
    <row r="3044" spans="1:10" ht="15.75" thickBot="1" x14ac:dyDescent="0.3">
      <c r="A3044" s="14">
        <v>45481</v>
      </c>
      <c r="B3044" s="15">
        <v>45481</v>
      </c>
      <c r="C3044" s="16">
        <v>22136705</v>
      </c>
      <c r="D3044" s="10">
        <f>PrincipalesVariables[[#This Row],[Base monetaria]]/1000000</f>
        <v>22.136704999999999</v>
      </c>
      <c r="E3044" s="10">
        <v>918.92</v>
      </c>
      <c r="F3044" s="11">
        <v>28348</v>
      </c>
      <c r="H3044" s="12">
        <f>(PrincipalesVariables[[#This Row],[Base monetaria]]-C3043)/C3043</f>
        <v>1.766929168065759E-3</v>
      </c>
      <c r="I3044" s="12">
        <f>(PrincipalesVariables[[#This Row],[Dólar  mayorista]]-E3043)/E3043</f>
        <v>7.2964878845625813E-4</v>
      </c>
      <c r="J3044" s="12">
        <f>(PrincipalesVariables[[#This Row],[Reservas internacionales]]-F3043)/F3043</f>
        <v>-5.3489148580968281E-2</v>
      </c>
    </row>
    <row r="3045" spans="1:10" ht="15.75" thickBot="1" x14ac:dyDescent="0.3">
      <c r="A3045" s="14">
        <v>45483</v>
      </c>
      <c r="B3045" s="15">
        <v>45483</v>
      </c>
      <c r="C3045" s="16">
        <v>21518400</v>
      </c>
      <c r="D3045" s="10">
        <f>PrincipalesVariables[[#This Row],[Base monetaria]]/1000000</f>
        <v>21.5184</v>
      </c>
      <c r="E3045" s="10">
        <v>919.83</v>
      </c>
      <c r="F3045" s="11">
        <v>28098</v>
      </c>
      <c r="H3045" s="12">
        <f>(PrincipalesVariables[[#This Row],[Base monetaria]]-C3044)/C3044</f>
        <v>-2.7931211984800808E-2</v>
      </c>
      <c r="I3045" s="12">
        <f>(PrincipalesVariables[[#This Row],[Dólar  mayorista]]-E3044)/E3044</f>
        <v>9.9029295259661556E-4</v>
      </c>
      <c r="J3045" s="12">
        <f>(PrincipalesVariables[[#This Row],[Reservas internacionales]]-F3044)/F3044</f>
        <v>-8.8189643008325103E-3</v>
      </c>
    </row>
    <row r="3046" spans="1:10" ht="15.75" thickBot="1" x14ac:dyDescent="0.3">
      <c r="A3046" s="14">
        <v>45484</v>
      </c>
      <c r="B3046" s="15">
        <v>45484</v>
      </c>
      <c r="C3046" s="16">
        <v>21286017</v>
      </c>
      <c r="D3046" s="10">
        <f>PrincipalesVariables[[#This Row],[Base monetaria]]/1000000</f>
        <v>21.286017000000001</v>
      </c>
      <c r="E3046" s="10">
        <v>920.5</v>
      </c>
      <c r="F3046" s="11">
        <v>28235</v>
      </c>
      <c r="H3046" s="12">
        <f>(PrincipalesVariables[[#This Row],[Base monetaria]]-C3045)/C3045</f>
        <v>-1.0799269462413563E-2</v>
      </c>
      <c r="I3046" s="12">
        <f>(PrincipalesVariables[[#This Row],[Dólar  mayorista]]-E3045)/E3045</f>
        <v>7.2839546437924291E-4</v>
      </c>
      <c r="J3046" s="12">
        <f>(PrincipalesVariables[[#This Row],[Reservas internacionales]]-F3045)/F3045</f>
        <v>4.875791871307566E-3</v>
      </c>
    </row>
    <row r="3047" spans="1:10" ht="15.75" thickBot="1" x14ac:dyDescent="0.3">
      <c r="A3047" s="14">
        <v>45485</v>
      </c>
      <c r="B3047" s="15">
        <v>45485</v>
      </c>
      <c r="C3047" s="16">
        <v>21714552</v>
      </c>
      <c r="D3047" s="10">
        <f>PrincipalesVariables[[#This Row],[Base monetaria]]/1000000</f>
        <v>21.714552000000001</v>
      </c>
      <c r="E3047" s="10">
        <v>921.75</v>
      </c>
      <c r="F3047" s="11">
        <v>28282</v>
      </c>
      <c r="H3047" s="12">
        <f>(PrincipalesVariables[[#This Row],[Base monetaria]]-C3046)/C3046</f>
        <v>2.0132230468480786E-2</v>
      </c>
      <c r="I3047" s="12">
        <f>(PrincipalesVariables[[#This Row],[Dólar  mayorista]]-E3046)/E3046</f>
        <v>1.3579576317218902E-3</v>
      </c>
      <c r="J3047" s="12">
        <f>(PrincipalesVariables[[#This Row],[Reservas internacionales]]-F3046)/F3046</f>
        <v>1.6646006729236762E-3</v>
      </c>
    </row>
    <row r="3048" spans="1:10" ht="15.75" thickBot="1" x14ac:dyDescent="0.3">
      <c r="A3048" s="14">
        <v>45488</v>
      </c>
      <c r="B3048" s="15">
        <v>45488</v>
      </c>
      <c r="C3048" s="16">
        <v>21194530</v>
      </c>
      <c r="D3048" s="10">
        <f>PrincipalesVariables[[#This Row],[Base monetaria]]/1000000</f>
        <v>21.19453</v>
      </c>
      <c r="E3048" s="10">
        <v>922.92</v>
      </c>
      <c r="F3048" s="11">
        <v>28177</v>
      </c>
      <c r="H3048" s="12">
        <f>(PrincipalesVariables[[#This Row],[Base monetaria]]-C3047)/C3047</f>
        <v>-2.3948087899764176E-2</v>
      </c>
      <c r="I3048" s="12">
        <f>(PrincipalesVariables[[#This Row],[Dólar  mayorista]]-E3047)/E3047</f>
        <v>1.2693246541903543E-3</v>
      </c>
      <c r="J3048" s="12">
        <f>(PrincipalesVariables[[#This Row],[Reservas internacionales]]-F3047)/F3047</f>
        <v>-3.7126087263984159E-3</v>
      </c>
    </row>
    <row r="3049" spans="1:10" ht="15.75" thickBot="1" x14ac:dyDescent="0.3">
      <c r="A3049" s="14">
        <v>45489</v>
      </c>
      <c r="B3049" s="15">
        <v>45489</v>
      </c>
      <c r="C3049" s="16">
        <v>20795479</v>
      </c>
      <c r="D3049" s="10">
        <f>PrincipalesVariables[[#This Row],[Base monetaria]]/1000000</f>
        <v>20.795479</v>
      </c>
      <c r="E3049" s="10">
        <v>923.5</v>
      </c>
      <c r="F3049" s="11">
        <v>27623</v>
      </c>
      <c r="H3049" s="12">
        <f>(PrincipalesVariables[[#This Row],[Base monetaria]]-C3048)/C3048</f>
        <v>-1.8828018361341348E-2</v>
      </c>
      <c r="I3049" s="12">
        <f>(PrincipalesVariables[[#This Row],[Dólar  mayorista]]-E3048)/E3048</f>
        <v>6.2844016816196522E-4</v>
      </c>
      <c r="J3049" s="12">
        <f>(PrincipalesVariables[[#This Row],[Reservas internacionales]]-F3048)/F3048</f>
        <v>-1.9661425985733044E-2</v>
      </c>
    </row>
    <row r="3050" spans="1:10" ht="15.75" thickBot="1" x14ac:dyDescent="0.3">
      <c r="A3050" s="14">
        <v>45490</v>
      </c>
      <c r="B3050" s="15">
        <v>45490</v>
      </c>
      <c r="C3050" s="16">
        <v>21002697</v>
      </c>
      <c r="D3050" s="10">
        <f>PrincipalesVariables[[#This Row],[Base monetaria]]/1000000</f>
        <v>21.002697000000001</v>
      </c>
      <c r="E3050" s="10">
        <v>923.83</v>
      </c>
      <c r="F3050" s="11">
        <v>27583</v>
      </c>
      <c r="H3050" s="12">
        <f>(PrincipalesVariables[[#This Row],[Base monetaria]]-C3049)/C3049</f>
        <v>9.9645697028666672E-3</v>
      </c>
      <c r="I3050" s="12">
        <f>(PrincipalesVariables[[#This Row],[Dólar  mayorista]]-E3049)/E3049</f>
        <v>3.5733622089879907E-4</v>
      </c>
      <c r="J3050" s="12">
        <f>(PrincipalesVariables[[#This Row],[Reservas internacionales]]-F3049)/F3049</f>
        <v>-1.4480686384534627E-3</v>
      </c>
    </row>
    <row r="3051" spans="1:10" ht="15.75" thickBot="1" x14ac:dyDescent="0.3">
      <c r="A3051" s="14">
        <v>45491</v>
      </c>
      <c r="B3051" s="15">
        <v>45491</v>
      </c>
      <c r="C3051" s="16">
        <v>21290590</v>
      </c>
      <c r="D3051" s="10">
        <f>PrincipalesVariables[[#This Row],[Base monetaria]]/1000000</f>
        <v>21.290590000000002</v>
      </c>
      <c r="E3051" s="10">
        <v>924.75</v>
      </c>
      <c r="F3051" s="11">
        <v>27607</v>
      </c>
      <c r="H3051" s="12">
        <f>(PrincipalesVariables[[#This Row],[Base monetaria]]-C3050)/C3050</f>
        <v>1.3707430050531129E-2</v>
      </c>
      <c r="I3051" s="12">
        <f>(PrincipalesVariables[[#This Row],[Dólar  mayorista]]-E3050)/E3050</f>
        <v>9.9585421560239337E-4</v>
      </c>
      <c r="J3051" s="12">
        <f>(PrincipalesVariables[[#This Row],[Reservas internacionales]]-F3050)/F3050</f>
        <v>8.7010114925860132E-4</v>
      </c>
    </row>
    <row r="3052" spans="1:10" ht="15.75" thickBot="1" x14ac:dyDescent="0.3">
      <c r="A3052" s="14">
        <v>45492</v>
      </c>
      <c r="B3052" s="15">
        <v>45492</v>
      </c>
      <c r="C3052" s="16">
        <v>21544835</v>
      </c>
      <c r="D3052" s="10">
        <f>PrincipalesVariables[[#This Row],[Base monetaria]]/1000000</f>
        <v>21.544834999999999</v>
      </c>
      <c r="E3052" s="10">
        <v>926.75</v>
      </c>
      <c r="F3052" s="11">
        <v>27565</v>
      </c>
      <c r="H3052" s="12">
        <f>(PrincipalesVariables[[#This Row],[Base monetaria]]-C3051)/C3051</f>
        <v>1.1941660611565954E-2</v>
      </c>
      <c r="I3052" s="12">
        <f>(PrincipalesVariables[[#This Row],[Dólar  mayorista]]-E3051)/E3051</f>
        <v>2.1627466882941336E-3</v>
      </c>
      <c r="J3052" s="12">
        <f>(PrincipalesVariables[[#This Row],[Reservas internacionales]]-F3051)/F3051</f>
        <v>-1.5213532799652262E-3</v>
      </c>
    </row>
    <row r="3053" spans="1:10" ht="15.75" thickBot="1" x14ac:dyDescent="0.3">
      <c r="A3053" s="14">
        <v>45495</v>
      </c>
      <c r="B3053" s="15">
        <v>45495</v>
      </c>
      <c r="C3053" s="16">
        <v>21426061</v>
      </c>
      <c r="D3053" s="10">
        <f>PrincipalesVariables[[#This Row],[Base monetaria]]/1000000</f>
        <v>21.426061000000001</v>
      </c>
      <c r="E3053" s="10">
        <v>927.08</v>
      </c>
      <c r="F3053" s="11">
        <v>27425</v>
      </c>
      <c r="H3053" s="12">
        <f>(PrincipalesVariables[[#This Row],[Base monetaria]]-C3052)/C3052</f>
        <v>-5.5128758238343432E-3</v>
      </c>
      <c r="I3053" s="12">
        <f>(PrincipalesVariables[[#This Row],[Dólar  mayorista]]-E3052)/E3052</f>
        <v>3.5608308605345661E-4</v>
      </c>
      <c r="J3053" s="12">
        <f>(PrincipalesVariables[[#This Row],[Reservas internacionales]]-F3052)/F3052</f>
        <v>-5.0789044077634684E-3</v>
      </c>
    </row>
    <row r="3054" spans="1:10" ht="15.75" thickBot="1" x14ac:dyDescent="0.3">
      <c r="A3054" s="14">
        <v>45496</v>
      </c>
      <c r="B3054" s="15">
        <v>45496</v>
      </c>
      <c r="C3054" s="16">
        <v>20887364</v>
      </c>
      <c r="D3054" s="10">
        <f>PrincipalesVariables[[#This Row],[Base monetaria]]/1000000</f>
        <v>20.887364000000002</v>
      </c>
      <c r="E3054" s="10">
        <v>927.33</v>
      </c>
      <c r="F3054" s="11">
        <v>27437</v>
      </c>
      <c r="H3054" s="12">
        <f>(PrincipalesVariables[[#This Row],[Base monetaria]]-C3053)/C3053</f>
        <v>-2.5142138818703075E-2</v>
      </c>
      <c r="I3054" s="12">
        <f>(PrincipalesVariables[[#This Row],[Dólar  mayorista]]-E3053)/E3053</f>
        <v>2.6966389092634936E-4</v>
      </c>
      <c r="J3054" s="12">
        <f>(PrincipalesVariables[[#This Row],[Reservas internacionales]]-F3053)/F3053</f>
        <v>4.3755697356426617E-4</v>
      </c>
    </row>
    <row r="3055" spans="1:10" ht="15.75" thickBot="1" x14ac:dyDescent="0.3">
      <c r="A3055" s="14">
        <v>45497</v>
      </c>
      <c r="B3055" s="15">
        <v>45497</v>
      </c>
      <c r="C3055" s="16">
        <v>20526179</v>
      </c>
      <c r="D3055" s="10">
        <f>PrincipalesVariables[[#This Row],[Base monetaria]]/1000000</f>
        <v>20.526178999999999</v>
      </c>
      <c r="E3055" s="10">
        <v>928.67</v>
      </c>
      <c r="F3055" s="11">
        <v>27532</v>
      </c>
      <c r="H3055" s="12">
        <f>(PrincipalesVariables[[#This Row],[Base monetaria]]-C3054)/C3054</f>
        <v>-1.7292033595048183E-2</v>
      </c>
      <c r="I3055" s="12">
        <f>(PrincipalesVariables[[#This Row],[Dólar  mayorista]]-E3054)/E3054</f>
        <v>1.4450087886727682E-3</v>
      </c>
      <c r="J3055" s="12">
        <f>(PrincipalesVariables[[#This Row],[Reservas internacionales]]-F3054)/F3054</f>
        <v>3.4624776761307723E-3</v>
      </c>
    </row>
    <row r="3056" spans="1:10" ht="15.75" thickBot="1" x14ac:dyDescent="0.3">
      <c r="A3056" s="14">
        <v>45498</v>
      </c>
      <c r="B3056" s="15">
        <v>45498</v>
      </c>
      <c r="C3056" s="16">
        <v>20411230</v>
      </c>
      <c r="D3056" s="10">
        <f>PrincipalesVariables[[#This Row],[Base monetaria]]/1000000</f>
        <v>20.41123</v>
      </c>
      <c r="E3056" s="10">
        <v>929.17</v>
      </c>
      <c r="F3056" s="11">
        <v>27330</v>
      </c>
      <c r="H3056" s="12">
        <f>(PrincipalesVariables[[#This Row],[Base monetaria]]-C3055)/C3055</f>
        <v>-5.6001168069322593E-3</v>
      </c>
      <c r="I3056" s="12">
        <f>(PrincipalesVariables[[#This Row],[Dólar  mayorista]]-E3055)/E3055</f>
        <v>5.384043847653096E-4</v>
      </c>
      <c r="J3056" s="12">
        <f>(PrincipalesVariables[[#This Row],[Reservas internacionales]]-F3055)/F3055</f>
        <v>-7.3369170419875056E-3</v>
      </c>
    </row>
    <row r="3057" spans="1:10" ht="15.75" thickBot="1" x14ac:dyDescent="0.3">
      <c r="A3057" s="14">
        <v>45499</v>
      </c>
      <c r="B3057" s="15">
        <v>45499</v>
      </c>
      <c r="C3057" s="16">
        <v>20657392</v>
      </c>
      <c r="D3057" s="10">
        <f>PrincipalesVariables[[#This Row],[Base monetaria]]/1000000</f>
        <v>20.657392000000002</v>
      </c>
      <c r="E3057" s="10">
        <v>931.58</v>
      </c>
      <c r="F3057" s="11">
        <v>27311</v>
      </c>
      <c r="H3057" s="12">
        <f>(PrincipalesVariables[[#This Row],[Base monetaria]]-C3056)/C3056</f>
        <v>1.2060125724907318E-2</v>
      </c>
      <c r="I3057" s="12">
        <f>(PrincipalesVariables[[#This Row],[Dólar  mayorista]]-E3056)/E3056</f>
        <v>2.5937126682954487E-3</v>
      </c>
      <c r="J3057" s="12">
        <f>(PrincipalesVariables[[#This Row],[Reservas internacionales]]-F3056)/F3056</f>
        <v>-6.9520673252835717E-4</v>
      </c>
    </row>
    <row r="3058" spans="1:10" ht="15.75" thickBot="1" x14ac:dyDescent="0.3">
      <c r="A3058" s="14">
        <v>45502</v>
      </c>
      <c r="B3058" s="15">
        <v>45502</v>
      </c>
      <c r="C3058" s="16">
        <v>20918267</v>
      </c>
      <c r="D3058" s="10">
        <f>PrincipalesVariables[[#This Row],[Base monetaria]]/1000000</f>
        <v>20.918267</v>
      </c>
      <c r="E3058" s="10">
        <v>931.75</v>
      </c>
      <c r="F3058" s="11">
        <v>27132</v>
      </c>
      <c r="H3058" s="12">
        <f>(PrincipalesVariables[[#This Row],[Base monetaria]]-C3057)/C3057</f>
        <v>1.2628651283763217E-2</v>
      </c>
      <c r="I3058" s="12">
        <f>(PrincipalesVariables[[#This Row],[Dólar  mayorista]]-E3057)/E3057</f>
        <v>1.8248566950767413E-4</v>
      </c>
      <c r="J3058" s="12">
        <f>(PrincipalesVariables[[#This Row],[Reservas internacionales]]-F3057)/F3057</f>
        <v>-6.5541356962396102E-3</v>
      </c>
    </row>
    <row r="3059" spans="1:10" ht="15.75" thickBot="1" x14ac:dyDescent="0.3">
      <c r="A3059" s="14">
        <v>45503</v>
      </c>
      <c r="B3059" s="15">
        <v>45503</v>
      </c>
      <c r="C3059" s="16">
        <v>21092762</v>
      </c>
      <c r="D3059" s="10">
        <f>PrincipalesVariables[[#This Row],[Base monetaria]]/1000000</f>
        <v>21.092762</v>
      </c>
      <c r="E3059" s="10">
        <v>932.25</v>
      </c>
      <c r="F3059" s="11">
        <v>26997</v>
      </c>
      <c r="H3059" s="12">
        <f>(PrincipalesVariables[[#This Row],[Base monetaria]]-C3058)/C3058</f>
        <v>8.3417522111176798E-3</v>
      </c>
      <c r="I3059" s="12">
        <f>(PrincipalesVariables[[#This Row],[Dólar  mayorista]]-E3058)/E3058</f>
        <v>5.3662463107056611E-4</v>
      </c>
      <c r="J3059" s="12">
        <f>(PrincipalesVariables[[#This Row],[Reservas internacionales]]-F3058)/F3058</f>
        <v>-4.9756744803184432E-3</v>
      </c>
    </row>
    <row r="3060" spans="1:10" ht="15.75" thickBot="1" x14ac:dyDescent="0.3">
      <c r="A3060" s="14">
        <v>45504</v>
      </c>
      <c r="B3060" s="15">
        <v>45504</v>
      </c>
      <c r="C3060" s="16">
        <v>21822977</v>
      </c>
      <c r="D3060" s="10">
        <f>PrincipalesVariables[[#This Row],[Base monetaria]]/1000000</f>
        <v>21.822977000000002</v>
      </c>
      <c r="E3060" s="10">
        <v>932.75</v>
      </c>
      <c r="F3060" s="11">
        <v>26402</v>
      </c>
      <c r="H3060" s="12">
        <f>(PrincipalesVariables[[#This Row],[Base monetaria]]-C3059)/C3059</f>
        <v>3.4619221513047936E-2</v>
      </c>
      <c r="I3060" s="12">
        <f>(PrincipalesVariables[[#This Row],[Dólar  mayorista]]-E3059)/E3059</f>
        <v>5.3633681952266023E-4</v>
      </c>
      <c r="J3060" s="12">
        <f>(PrincipalesVariables[[#This Row],[Reservas internacionales]]-F3059)/F3059</f>
        <v>-2.2039485868800238E-2</v>
      </c>
    </row>
    <row r="3061" spans="1:10" ht="15.75" thickBot="1" x14ac:dyDescent="0.3">
      <c r="A3061" s="14">
        <v>45505</v>
      </c>
      <c r="B3061" s="15">
        <v>45505</v>
      </c>
      <c r="C3061" s="16">
        <v>22775236</v>
      </c>
      <c r="D3061" s="10">
        <f>PrincipalesVariables[[#This Row],[Base monetaria]]/1000000</f>
        <v>22.775236</v>
      </c>
      <c r="E3061" s="10">
        <v>933.42</v>
      </c>
      <c r="F3061" s="11">
        <v>27069</v>
      </c>
      <c r="H3061" s="12">
        <f>(PrincipalesVariables[[#This Row],[Base monetaria]]-C3060)/C3060</f>
        <v>4.3635613967791836E-2</v>
      </c>
      <c r="I3061" s="12">
        <f>(PrincipalesVariables[[#This Row],[Dólar  mayorista]]-E3060)/E3060</f>
        <v>7.1830608415969879E-4</v>
      </c>
      <c r="J3061" s="12">
        <f>(PrincipalesVariables[[#This Row],[Reservas internacionales]]-F3060)/F3060</f>
        <v>2.5263237633512611E-2</v>
      </c>
    </row>
    <row r="3062" spans="1:10" ht="15.75" thickBot="1" x14ac:dyDescent="0.3">
      <c r="A3062" s="14">
        <v>45506</v>
      </c>
      <c r="B3062" s="15">
        <v>45506</v>
      </c>
      <c r="C3062" s="16">
        <v>23293177</v>
      </c>
      <c r="D3062" s="10">
        <f>PrincipalesVariables[[#This Row],[Base monetaria]]/1000000</f>
        <v>23.293177</v>
      </c>
      <c r="E3062" s="10">
        <v>935.08</v>
      </c>
      <c r="F3062" s="11">
        <v>27571</v>
      </c>
      <c r="H3062" s="12">
        <f>(PrincipalesVariables[[#This Row],[Base monetaria]]-C3061)/C3061</f>
        <v>2.2741410890319644E-2</v>
      </c>
      <c r="I3062" s="12">
        <f>(PrincipalesVariables[[#This Row],[Dólar  mayorista]]-E3061)/E3061</f>
        <v>1.7784062908445095E-3</v>
      </c>
      <c r="J3062" s="12">
        <f>(PrincipalesVariables[[#This Row],[Reservas internacionales]]-F3061)/F3061</f>
        <v>1.8545199305478592E-2</v>
      </c>
    </row>
    <row r="3063" spans="1:10" ht="15.75" thickBot="1" x14ac:dyDescent="0.3">
      <c r="A3063" s="14">
        <v>45509</v>
      </c>
      <c r="B3063" s="15">
        <v>45509</v>
      </c>
      <c r="C3063" s="16">
        <v>23753936</v>
      </c>
      <c r="D3063" s="10">
        <f>PrincipalesVariables[[#This Row],[Base monetaria]]/1000000</f>
        <v>23.753935999999999</v>
      </c>
      <c r="E3063" s="10">
        <v>935.75</v>
      </c>
      <c r="F3063" s="11">
        <v>28191</v>
      </c>
      <c r="H3063" s="12">
        <f>(PrincipalesVariables[[#This Row],[Base monetaria]]-C3062)/C3062</f>
        <v>1.9780856857782862E-2</v>
      </c>
      <c r="I3063" s="12">
        <f>(PrincipalesVariables[[#This Row],[Dólar  mayorista]]-E3062)/E3062</f>
        <v>7.1651623390507656E-4</v>
      </c>
      <c r="J3063" s="12">
        <f>(PrincipalesVariables[[#This Row],[Reservas internacionales]]-F3062)/F3062</f>
        <v>2.2487396177142651E-2</v>
      </c>
    </row>
    <row r="3064" spans="1:10" ht="15.75" thickBot="1" x14ac:dyDescent="0.3">
      <c r="A3064" s="14">
        <v>45510</v>
      </c>
      <c r="B3064" s="15">
        <v>45510</v>
      </c>
      <c r="C3064" s="16">
        <v>23257516</v>
      </c>
      <c r="D3064" s="10">
        <f>PrincipalesVariables[[#This Row],[Base monetaria]]/1000000</f>
        <v>23.257515999999999</v>
      </c>
      <c r="E3064" s="10">
        <v>936.5</v>
      </c>
      <c r="F3064" s="11">
        <v>27310</v>
      </c>
      <c r="H3064" s="12">
        <f>(PrincipalesVariables[[#This Row],[Base monetaria]]-C3063)/C3063</f>
        <v>-2.0898431316814191E-2</v>
      </c>
      <c r="I3064" s="12">
        <f>(PrincipalesVariables[[#This Row],[Dólar  mayorista]]-E3063)/E3063</f>
        <v>8.0149612610205714E-4</v>
      </c>
      <c r="J3064" s="12">
        <f>(PrincipalesVariables[[#This Row],[Reservas internacionales]]-F3063)/F3063</f>
        <v>-3.1251108509808098E-2</v>
      </c>
    </row>
    <row r="3065" spans="1:10" ht="15.75" thickBot="1" x14ac:dyDescent="0.3">
      <c r="A3065" s="14">
        <v>45511</v>
      </c>
      <c r="B3065" s="15">
        <v>45511</v>
      </c>
      <c r="C3065" s="16">
        <v>23119138</v>
      </c>
      <c r="D3065" s="10">
        <f>PrincipalesVariables[[#This Row],[Base monetaria]]/1000000</f>
        <v>23.119138</v>
      </c>
      <c r="E3065" s="10">
        <v>937.08</v>
      </c>
      <c r="F3065" s="11">
        <v>27231</v>
      </c>
      <c r="H3065" s="12">
        <f>(PrincipalesVariables[[#This Row],[Base monetaria]]-C3064)/C3064</f>
        <v>-5.949818544680352E-3</v>
      </c>
      <c r="I3065" s="12">
        <f>(PrincipalesVariables[[#This Row],[Dólar  mayorista]]-E3064)/E3064</f>
        <v>6.1932728243464059E-4</v>
      </c>
      <c r="J3065" s="12">
        <f>(PrincipalesVariables[[#This Row],[Reservas internacionales]]-F3064)/F3064</f>
        <v>-2.8927132918344927E-3</v>
      </c>
    </row>
    <row r="3066" spans="1:10" ht="15.75" thickBot="1" x14ac:dyDescent="0.3">
      <c r="A3066" s="14">
        <v>45512</v>
      </c>
      <c r="B3066" s="15">
        <v>45512</v>
      </c>
      <c r="C3066" s="16">
        <v>23210330</v>
      </c>
      <c r="D3066" s="10">
        <f>PrincipalesVariables[[#This Row],[Base monetaria]]/1000000</f>
        <v>23.210329999999999</v>
      </c>
      <c r="E3066" s="10">
        <v>937.58</v>
      </c>
      <c r="F3066" s="11">
        <v>27376</v>
      </c>
      <c r="H3066" s="12">
        <f>(PrincipalesVariables[[#This Row],[Base monetaria]]-C3065)/C3065</f>
        <v>3.9444377208181381E-3</v>
      </c>
      <c r="I3066" s="12">
        <f>(PrincipalesVariables[[#This Row],[Dólar  mayorista]]-E3065)/E3065</f>
        <v>5.3357237375677635E-4</v>
      </c>
      <c r="J3066" s="12">
        <f>(PrincipalesVariables[[#This Row],[Reservas internacionales]]-F3065)/F3065</f>
        <v>5.3248136315228968E-3</v>
      </c>
    </row>
    <row r="3067" spans="1:10" ht="15.75" thickBot="1" x14ac:dyDescent="0.3">
      <c r="A3067" s="14">
        <v>45513</v>
      </c>
      <c r="B3067" s="15">
        <v>45513</v>
      </c>
      <c r="C3067" s="16">
        <v>22571306</v>
      </c>
      <c r="D3067" s="10">
        <f>PrincipalesVariables[[#This Row],[Base monetaria]]/1000000</f>
        <v>22.571306</v>
      </c>
      <c r="E3067" s="10">
        <v>939.67</v>
      </c>
      <c r="F3067" s="11">
        <v>27391</v>
      </c>
      <c r="H3067" s="12">
        <f>(PrincipalesVariables[[#This Row],[Base monetaria]]-C3066)/C3066</f>
        <v>-2.7531879124510508E-2</v>
      </c>
      <c r="I3067" s="12">
        <f>(PrincipalesVariables[[#This Row],[Dólar  mayorista]]-E3066)/E3066</f>
        <v>2.2291431131209261E-3</v>
      </c>
      <c r="J3067" s="12">
        <f>(PrincipalesVariables[[#This Row],[Reservas internacionales]]-F3066)/F3066</f>
        <v>5.4792518994739917E-4</v>
      </c>
    </row>
    <row r="3068" spans="1:10" ht="15.75" thickBot="1" x14ac:dyDescent="0.3">
      <c r="A3068" s="14">
        <v>45516</v>
      </c>
      <c r="B3068" s="15">
        <v>45516</v>
      </c>
      <c r="C3068" s="16">
        <v>22642444</v>
      </c>
      <c r="D3068" s="10">
        <f>PrincipalesVariables[[#This Row],[Base monetaria]]/1000000</f>
        <v>22.642444000000001</v>
      </c>
      <c r="E3068" s="10">
        <v>939.83</v>
      </c>
      <c r="F3068" s="11">
        <v>27473</v>
      </c>
      <c r="H3068" s="12">
        <f>(PrincipalesVariables[[#This Row],[Base monetaria]]-C3067)/C3067</f>
        <v>3.1517006592352253E-3</v>
      </c>
      <c r="I3068" s="12">
        <f>(PrincipalesVariables[[#This Row],[Dólar  mayorista]]-E3067)/E3067</f>
        <v>1.7027254248840748E-4</v>
      </c>
      <c r="J3068" s="12">
        <f>(PrincipalesVariables[[#This Row],[Reservas internacionales]]-F3067)/F3067</f>
        <v>2.9936840568069805E-3</v>
      </c>
    </row>
    <row r="3069" spans="1:10" ht="15.75" thickBot="1" x14ac:dyDescent="0.3">
      <c r="A3069" s="14">
        <v>45517</v>
      </c>
      <c r="B3069" s="15">
        <v>45517</v>
      </c>
      <c r="C3069" s="16">
        <v>23200238</v>
      </c>
      <c r="D3069" s="10">
        <f>PrincipalesVariables[[#This Row],[Base monetaria]]/1000000</f>
        <v>23.200237999999999</v>
      </c>
      <c r="E3069" s="10">
        <v>940.33</v>
      </c>
      <c r="F3069" s="11">
        <v>27585</v>
      </c>
      <c r="H3069" s="12">
        <f>(PrincipalesVariables[[#This Row],[Base monetaria]]-C3068)/C3068</f>
        <v>2.463488482073755E-2</v>
      </c>
      <c r="I3069" s="12">
        <f>(PrincipalesVariables[[#This Row],[Dólar  mayorista]]-E3068)/E3068</f>
        <v>5.3201110839194319E-4</v>
      </c>
      <c r="J3069" s="12">
        <f>(PrincipalesVariables[[#This Row],[Reservas internacionales]]-F3068)/F3068</f>
        <v>4.0767298802460595E-3</v>
      </c>
    </row>
    <row r="3070" spans="1:10" ht="15.75" thickBot="1" x14ac:dyDescent="0.3">
      <c r="A3070" s="14">
        <v>45518</v>
      </c>
      <c r="B3070" s="15">
        <v>45518</v>
      </c>
      <c r="C3070" s="16">
        <v>23124825</v>
      </c>
      <c r="D3070" s="10">
        <f>PrincipalesVariables[[#This Row],[Base monetaria]]/1000000</f>
        <v>23.124825000000001</v>
      </c>
      <c r="E3070" s="10">
        <v>941.67</v>
      </c>
      <c r="F3070" s="11">
        <v>27571</v>
      </c>
      <c r="H3070" s="12">
        <f>(PrincipalesVariables[[#This Row],[Base monetaria]]-C3069)/C3069</f>
        <v>-3.2505269989040629E-3</v>
      </c>
      <c r="I3070" s="12">
        <f>(PrincipalesVariables[[#This Row],[Dólar  mayorista]]-E3069)/E3069</f>
        <v>1.4250316378291855E-3</v>
      </c>
      <c r="J3070" s="12">
        <f>(PrincipalesVariables[[#This Row],[Reservas internacionales]]-F3069)/F3069</f>
        <v>-5.0752220409642926E-4</v>
      </c>
    </row>
    <row r="3071" spans="1:10" ht="15.75" thickBot="1" x14ac:dyDescent="0.3">
      <c r="A3071" s="14">
        <v>45519</v>
      </c>
      <c r="B3071" s="15">
        <v>45519</v>
      </c>
      <c r="C3071" s="16">
        <v>22495286</v>
      </c>
      <c r="D3071" s="10">
        <f>PrincipalesVariables[[#This Row],[Base monetaria]]/1000000</f>
        <v>22.495286</v>
      </c>
      <c r="E3071" s="10">
        <v>942</v>
      </c>
      <c r="F3071" s="11">
        <v>27419</v>
      </c>
      <c r="H3071" s="12">
        <f>(PrincipalesVariables[[#This Row],[Base monetaria]]-C3070)/C3070</f>
        <v>-2.7223514123890666E-2</v>
      </c>
      <c r="I3071" s="12">
        <f>(PrincipalesVariables[[#This Row],[Dólar  mayorista]]-E3070)/E3070</f>
        <v>3.5044123737619439E-4</v>
      </c>
      <c r="J3071" s="12">
        <f>(PrincipalesVariables[[#This Row],[Reservas internacionales]]-F3070)/F3070</f>
        <v>-5.5130390627833592E-3</v>
      </c>
    </row>
    <row r="3072" spans="1:10" ht="15.75" thickBot="1" x14ac:dyDescent="0.3">
      <c r="A3072" s="14">
        <v>45520</v>
      </c>
      <c r="B3072" s="15">
        <v>45520</v>
      </c>
      <c r="C3072" s="16">
        <v>22476300</v>
      </c>
      <c r="D3072" s="10">
        <f>PrincipalesVariables[[#This Row],[Base monetaria]]/1000000</f>
        <v>22.476299999999998</v>
      </c>
      <c r="E3072" s="10">
        <v>944</v>
      </c>
      <c r="F3072" s="11">
        <v>27541</v>
      </c>
      <c r="H3072" s="12">
        <f>(PrincipalesVariables[[#This Row],[Base monetaria]]-C3071)/C3071</f>
        <v>-8.439990494008389E-4</v>
      </c>
      <c r="I3072" s="12">
        <f>(PrincipalesVariables[[#This Row],[Dólar  mayorista]]-E3071)/E3071</f>
        <v>2.1231422505307855E-3</v>
      </c>
      <c r="J3072" s="12">
        <f>(PrincipalesVariables[[#This Row],[Reservas internacionales]]-F3071)/F3071</f>
        <v>4.4494693460738902E-3</v>
      </c>
    </row>
    <row r="3073" spans="1:10" ht="15.75" thickBot="1" x14ac:dyDescent="0.3">
      <c r="A3073" s="14">
        <v>45523</v>
      </c>
      <c r="B3073" s="15">
        <v>45523</v>
      </c>
      <c r="C3073" s="16">
        <v>22237326</v>
      </c>
      <c r="D3073" s="10">
        <f>PrincipalesVariables[[#This Row],[Base monetaria]]/1000000</f>
        <v>22.237325999999999</v>
      </c>
      <c r="E3073" s="10">
        <v>944.33</v>
      </c>
      <c r="F3073" s="11">
        <v>27512</v>
      </c>
      <c r="H3073" s="12">
        <f>(PrincipalesVariables[[#This Row],[Base monetaria]]-C3072)/C3072</f>
        <v>-1.0632265986839471E-2</v>
      </c>
      <c r="I3073" s="12">
        <f>(PrincipalesVariables[[#This Row],[Dólar  mayorista]]-E3072)/E3072</f>
        <v>3.4957627118648401E-4</v>
      </c>
      <c r="J3073" s="12">
        <f>(PrincipalesVariables[[#This Row],[Reservas internacionales]]-F3072)/F3072</f>
        <v>-1.0529755637050215E-3</v>
      </c>
    </row>
    <row r="3074" spans="1:10" ht="15.75" thickBot="1" x14ac:dyDescent="0.3">
      <c r="A3074" s="14">
        <v>45524</v>
      </c>
      <c r="B3074" s="15">
        <v>45524</v>
      </c>
      <c r="C3074" s="16">
        <v>21879919</v>
      </c>
      <c r="D3074" s="10">
        <f>PrincipalesVariables[[#This Row],[Base monetaria]]/1000000</f>
        <v>21.879919000000001</v>
      </c>
      <c r="E3074" s="10">
        <v>944.83</v>
      </c>
      <c r="F3074" s="11">
        <v>27674</v>
      </c>
      <c r="H3074" s="12">
        <f>(PrincipalesVariables[[#This Row],[Base monetaria]]-C3073)/C3073</f>
        <v>-1.6072391077956046E-2</v>
      </c>
      <c r="I3074" s="12">
        <f>(PrincipalesVariables[[#This Row],[Dólar  mayorista]]-E3073)/E3073</f>
        <v>5.2947592472970249E-4</v>
      </c>
      <c r="J3074" s="12">
        <f>(PrincipalesVariables[[#This Row],[Reservas internacionales]]-F3073)/F3073</f>
        <v>5.8883396336144225E-3</v>
      </c>
    </row>
    <row r="3075" spans="1:10" ht="15.75" thickBot="1" x14ac:dyDescent="0.3">
      <c r="A3075" s="14">
        <v>45525</v>
      </c>
      <c r="B3075" s="15">
        <v>45525</v>
      </c>
      <c r="C3075" s="16">
        <v>22093963</v>
      </c>
      <c r="D3075" s="10">
        <f>PrincipalesVariables[[#This Row],[Base monetaria]]/1000000</f>
        <v>22.093962999999999</v>
      </c>
      <c r="E3075" s="10">
        <v>945.33</v>
      </c>
      <c r="F3075" s="11">
        <v>27662</v>
      </c>
      <c r="H3075" s="12">
        <f>(PrincipalesVariables[[#This Row],[Base monetaria]]-C3074)/C3074</f>
        <v>9.7826687566804973E-3</v>
      </c>
      <c r="I3075" s="12">
        <f>(PrincipalesVariables[[#This Row],[Dólar  mayorista]]-E3074)/E3074</f>
        <v>5.2919572833208083E-4</v>
      </c>
      <c r="J3075" s="12">
        <f>(PrincipalesVariables[[#This Row],[Reservas internacionales]]-F3074)/F3074</f>
        <v>-4.3362000433620003E-4</v>
      </c>
    </row>
    <row r="3076" spans="1:10" ht="15.75" thickBot="1" x14ac:dyDescent="0.3">
      <c r="A3076" s="14">
        <v>45526</v>
      </c>
      <c r="B3076" s="15">
        <v>45526</v>
      </c>
      <c r="C3076" s="16">
        <v>22030165</v>
      </c>
      <c r="D3076" s="10">
        <f>PrincipalesVariables[[#This Row],[Base monetaria]]/1000000</f>
        <v>22.030165</v>
      </c>
      <c r="E3076" s="10">
        <v>946.25</v>
      </c>
      <c r="F3076" s="11">
        <v>27658</v>
      </c>
      <c r="H3076" s="12">
        <f>(PrincipalesVariables[[#This Row],[Base monetaria]]-C3075)/C3075</f>
        <v>-2.8875761220384048E-3</v>
      </c>
      <c r="I3076" s="12">
        <f>(PrincipalesVariables[[#This Row],[Dólar  mayorista]]-E3075)/E3075</f>
        <v>9.7320512413650152E-4</v>
      </c>
      <c r="J3076" s="12">
        <f>(PrincipalesVariables[[#This Row],[Reservas internacionales]]-F3075)/F3075</f>
        <v>-1.4460270407056611E-4</v>
      </c>
    </row>
    <row r="3077" spans="1:10" ht="15.75" thickBot="1" x14ac:dyDescent="0.3">
      <c r="A3077" s="14">
        <v>45527</v>
      </c>
      <c r="B3077" s="15">
        <v>45527</v>
      </c>
      <c r="C3077" s="16">
        <v>21982842</v>
      </c>
      <c r="D3077" s="10">
        <f>PrincipalesVariables[[#This Row],[Base monetaria]]/1000000</f>
        <v>21.982842000000002</v>
      </c>
      <c r="E3077" s="10">
        <v>948.17</v>
      </c>
      <c r="F3077" s="11">
        <v>27845</v>
      </c>
      <c r="H3077" s="12">
        <f>(PrincipalesVariables[[#This Row],[Base monetaria]]-C3076)/C3076</f>
        <v>-2.1481001163631773E-3</v>
      </c>
      <c r="I3077" s="12">
        <f>(PrincipalesVariables[[#This Row],[Dólar  mayorista]]-E3076)/E3076</f>
        <v>2.0290620871862182E-3</v>
      </c>
      <c r="J3077" s="12">
        <f>(PrincipalesVariables[[#This Row],[Reservas internacionales]]-F3076)/F3076</f>
        <v>6.7611540964639524E-3</v>
      </c>
    </row>
    <row r="3078" spans="1:10" ht="15.75" thickBot="1" x14ac:dyDescent="0.3">
      <c r="A3078" s="14">
        <v>45530</v>
      </c>
      <c r="B3078" s="15">
        <v>45530</v>
      </c>
      <c r="C3078" s="16">
        <v>22009562</v>
      </c>
      <c r="D3078" s="10">
        <f>PrincipalesVariables[[#This Row],[Base monetaria]]/1000000</f>
        <v>22.009561999999999</v>
      </c>
      <c r="E3078" s="10">
        <v>949.08</v>
      </c>
      <c r="F3078" s="11">
        <v>27874</v>
      </c>
      <c r="H3078" s="12">
        <f>(PrincipalesVariables[[#This Row],[Base monetaria]]-C3077)/C3077</f>
        <v>1.21549342892061E-3</v>
      </c>
      <c r="I3078" s="12">
        <f>(PrincipalesVariables[[#This Row],[Dólar  mayorista]]-E3077)/E3077</f>
        <v>9.5974350591147362E-4</v>
      </c>
      <c r="J3078" s="12">
        <f>(PrincipalesVariables[[#This Row],[Reservas internacionales]]-F3077)/F3077</f>
        <v>1.0414796193212426E-3</v>
      </c>
    </row>
    <row r="3079" spans="1:10" ht="15.75" thickBot="1" x14ac:dyDescent="0.3">
      <c r="A3079" s="14">
        <v>45531</v>
      </c>
      <c r="B3079" s="15">
        <v>45531</v>
      </c>
      <c r="C3079" s="16">
        <v>22194539</v>
      </c>
      <c r="D3079" s="10">
        <f>PrincipalesVariables[[#This Row],[Base monetaria]]/1000000</f>
        <v>22.194538999999999</v>
      </c>
      <c r="E3079" s="10">
        <v>949.75</v>
      </c>
      <c r="F3079" s="11">
        <v>27954</v>
      </c>
      <c r="H3079" s="12">
        <f>(PrincipalesVariables[[#This Row],[Base monetaria]]-C3078)/C3078</f>
        <v>8.4043925999072577E-3</v>
      </c>
      <c r="I3079" s="12">
        <f>(PrincipalesVariables[[#This Row],[Dólar  mayorista]]-E3078)/E3078</f>
        <v>7.0594681164913293E-4</v>
      </c>
      <c r="J3079" s="12">
        <f>(PrincipalesVariables[[#This Row],[Reservas internacionales]]-F3078)/F3078</f>
        <v>2.8700581186769034E-3</v>
      </c>
    </row>
    <row r="3080" spans="1:10" ht="15.75" thickBot="1" x14ac:dyDescent="0.3">
      <c r="A3080" s="14">
        <v>45532</v>
      </c>
      <c r="B3080" s="15">
        <v>45532</v>
      </c>
      <c r="C3080" s="16">
        <v>21277056</v>
      </c>
      <c r="D3080" s="10">
        <f>PrincipalesVariables[[#This Row],[Base monetaria]]/1000000</f>
        <v>21.277056000000002</v>
      </c>
      <c r="E3080" s="10">
        <v>950.08</v>
      </c>
      <c r="F3080" s="11">
        <v>27861</v>
      </c>
      <c r="H3080" s="12">
        <f>(PrincipalesVariables[[#This Row],[Base monetaria]]-C3079)/C3079</f>
        <v>-4.1338231895692898E-2</v>
      </c>
      <c r="I3080" s="12">
        <f>(PrincipalesVariables[[#This Row],[Dólar  mayorista]]-E3079)/E3079</f>
        <v>3.4745985785737394E-4</v>
      </c>
      <c r="J3080" s="12">
        <f>(PrincipalesVariables[[#This Row],[Reservas internacionales]]-F3079)/F3079</f>
        <v>-3.3268941833011377E-3</v>
      </c>
    </row>
    <row r="3081" spans="1:10" ht="15.75" thickBot="1" x14ac:dyDescent="0.3">
      <c r="A3081" s="14">
        <v>45533</v>
      </c>
      <c r="B3081" s="15">
        <v>45533</v>
      </c>
      <c r="C3081" s="16">
        <v>21965483</v>
      </c>
      <c r="D3081" s="10">
        <f>PrincipalesVariables[[#This Row],[Base monetaria]]/1000000</f>
        <v>21.965482999999999</v>
      </c>
      <c r="E3081" s="10">
        <v>950.67</v>
      </c>
      <c r="F3081" s="11">
        <v>27767</v>
      </c>
      <c r="H3081" s="12">
        <f>(PrincipalesVariables[[#This Row],[Base monetaria]]-C3080)/C3080</f>
        <v>3.2355369088655876E-2</v>
      </c>
      <c r="I3081" s="12">
        <f>(PrincipalesVariables[[#This Row],[Dólar  mayorista]]-E3080)/E3080</f>
        <v>6.2100033681365577E-4</v>
      </c>
      <c r="J3081" s="12">
        <f>(PrincipalesVariables[[#This Row],[Reservas internacionales]]-F3080)/F3080</f>
        <v>-3.3738918201069597E-3</v>
      </c>
    </row>
    <row r="3082" spans="1:10" ht="15.75" thickBot="1" x14ac:dyDescent="0.3">
      <c r="A3082" s="14">
        <v>45534</v>
      </c>
      <c r="B3082" s="15">
        <v>45534</v>
      </c>
      <c r="C3082" s="16">
        <v>21953008</v>
      </c>
      <c r="D3082" s="10">
        <f>PrincipalesVariables[[#This Row],[Base monetaria]]/1000000</f>
        <v>21.953008000000001</v>
      </c>
      <c r="E3082" s="10">
        <v>952.83</v>
      </c>
      <c r="F3082" s="11">
        <v>26719</v>
      </c>
      <c r="H3082" s="12">
        <f>(PrincipalesVariables[[#This Row],[Base monetaria]]-C3081)/C3081</f>
        <v>-5.6793652113181392E-4</v>
      </c>
      <c r="I3082" s="12">
        <f>(PrincipalesVariables[[#This Row],[Dólar  mayorista]]-E3081)/E3081</f>
        <v>2.2720817949447043E-3</v>
      </c>
      <c r="J3082" s="12">
        <f>(PrincipalesVariables[[#This Row],[Reservas internacionales]]-F3081)/F3081</f>
        <v>-3.7742644145928622E-2</v>
      </c>
    </row>
    <row r="3083" spans="1:10" ht="15.75" thickBot="1" x14ac:dyDescent="0.3">
      <c r="A3083" s="14">
        <v>45537</v>
      </c>
      <c r="B3083" s="15">
        <v>45537</v>
      </c>
      <c r="C3083" s="16">
        <v>23079618</v>
      </c>
      <c r="D3083" s="10">
        <f>PrincipalesVariables[[#This Row],[Base monetaria]]/1000000</f>
        <v>23.079618</v>
      </c>
      <c r="E3083" s="10">
        <v>952.75</v>
      </c>
      <c r="F3083" s="11">
        <v>26651</v>
      </c>
      <c r="H3083" s="12">
        <f>(PrincipalesVariables[[#This Row],[Base monetaria]]-C3082)/C3082</f>
        <v>5.1319163187113132E-2</v>
      </c>
      <c r="I3083" s="12">
        <f>(PrincipalesVariables[[#This Row],[Dólar  mayorista]]-E3082)/E3082</f>
        <v>-8.3960412665471201E-5</v>
      </c>
      <c r="J3083" s="12">
        <f>(PrincipalesVariables[[#This Row],[Reservas internacionales]]-F3082)/F3082</f>
        <v>-2.5450054268498072E-3</v>
      </c>
    </row>
    <row r="3084" spans="1:10" ht="15.75" thickBot="1" x14ac:dyDescent="0.3">
      <c r="A3084" s="14">
        <v>45538</v>
      </c>
      <c r="B3084" s="15">
        <v>45538</v>
      </c>
      <c r="C3084" s="16">
        <v>23395067</v>
      </c>
      <c r="D3084" s="10">
        <f>PrincipalesVariables[[#This Row],[Base monetaria]]/1000000</f>
        <v>23.395067000000001</v>
      </c>
      <c r="E3084" s="10">
        <v>954.17</v>
      </c>
      <c r="F3084" s="11">
        <v>27377</v>
      </c>
      <c r="H3084" s="12">
        <f>(PrincipalesVariables[[#This Row],[Base monetaria]]-C3083)/C3083</f>
        <v>1.3667860533913516E-2</v>
      </c>
      <c r="I3084" s="12">
        <f>(PrincipalesVariables[[#This Row],[Dólar  mayorista]]-E3083)/E3083</f>
        <v>1.4904224612962047E-3</v>
      </c>
      <c r="J3084" s="12">
        <f>(PrincipalesVariables[[#This Row],[Reservas internacionales]]-F3083)/F3083</f>
        <v>2.7241004089902817E-2</v>
      </c>
    </row>
    <row r="3085" spans="1:10" ht="15.75" thickBot="1" x14ac:dyDescent="0.3">
      <c r="A3085" s="14">
        <v>45539</v>
      </c>
      <c r="B3085" s="15">
        <v>45539</v>
      </c>
      <c r="C3085" s="16">
        <v>23730050</v>
      </c>
      <c r="D3085" s="10">
        <f>PrincipalesVariables[[#This Row],[Base monetaria]]/1000000</f>
        <v>23.730049999999999</v>
      </c>
      <c r="E3085" s="10">
        <v>954.5</v>
      </c>
      <c r="F3085" s="11">
        <v>27354</v>
      </c>
      <c r="H3085" s="12">
        <f>(PrincipalesVariables[[#This Row],[Base monetaria]]-C3084)/C3084</f>
        <v>1.4318531338251778E-2</v>
      </c>
      <c r="I3085" s="12">
        <f>(PrincipalesVariables[[#This Row],[Dólar  mayorista]]-E3084)/E3084</f>
        <v>3.4585032017359687E-4</v>
      </c>
      <c r="J3085" s="12">
        <f>(PrincipalesVariables[[#This Row],[Reservas internacionales]]-F3084)/F3084</f>
        <v>-8.4012126967892762E-4</v>
      </c>
    </row>
    <row r="3086" spans="1:10" ht="15.75" thickBot="1" x14ac:dyDescent="0.3">
      <c r="A3086" s="14">
        <v>45540</v>
      </c>
      <c r="B3086" s="15">
        <v>45540</v>
      </c>
      <c r="C3086" s="16">
        <v>23419488</v>
      </c>
      <c r="D3086" s="10">
        <f>PrincipalesVariables[[#This Row],[Base monetaria]]/1000000</f>
        <v>23.419488000000001</v>
      </c>
      <c r="E3086" s="10">
        <v>954.92</v>
      </c>
      <c r="F3086" s="11">
        <v>27436</v>
      </c>
      <c r="H3086" s="12">
        <f>(PrincipalesVariables[[#This Row],[Base monetaria]]-C3085)/C3085</f>
        <v>-1.3087288058811507E-2</v>
      </c>
      <c r="I3086" s="12">
        <f>(PrincipalesVariables[[#This Row],[Dólar  mayorista]]-E3085)/E3085</f>
        <v>4.4002095337868942E-4</v>
      </c>
      <c r="J3086" s="12">
        <f>(PrincipalesVariables[[#This Row],[Reservas internacionales]]-F3085)/F3085</f>
        <v>2.9977334210718725E-3</v>
      </c>
    </row>
    <row r="3087" spans="1:10" ht="15.75" thickBot="1" x14ac:dyDescent="0.3">
      <c r="A3087" s="14">
        <v>45541</v>
      </c>
      <c r="B3087" s="15">
        <v>45541</v>
      </c>
      <c r="C3087" s="16">
        <v>23683427</v>
      </c>
      <c r="D3087" s="10">
        <f>PrincipalesVariables[[#This Row],[Base monetaria]]/1000000</f>
        <v>23.683426999999998</v>
      </c>
      <c r="E3087" s="10">
        <v>957.17</v>
      </c>
      <c r="F3087" s="11">
        <v>27464</v>
      </c>
      <c r="H3087" s="12">
        <f>(PrincipalesVariables[[#This Row],[Base monetaria]]-C3086)/C3086</f>
        <v>1.1270058508537847E-2</v>
      </c>
      <c r="I3087" s="12">
        <f>(PrincipalesVariables[[#This Row],[Dólar  mayorista]]-E3086)/E3086</f>
        <v>2.3562183219536718E-3</v>
      </c>
      <c r="J3087" s="12">
        <f>(PrincipalesVariables[[#This Row],[Reservas internacionales]]-F3086)/F3086</f>
        <v>1.0205569324974486E-3</v>
      </c>
    </row>
    <row r="3088" spans="1:10" ht="15.75" thickBot="1" x14ac:dyDescent="0.3">
      <c r="A3088" s="14">
        <v>45544</v>
      </c>
      <c r="B3088" s="15">
        <v>45544</v>
      </c>
      <c r="C3088" s="16">
        <v>23392170</v>
      </c>
      <c r="D3088" s="10">
        <f>PrincipalesVariables[[#This Row],[Base monetaria]]/1000000</f>
        <v>23.39217</v>
      </c>
      <c r="E3088" s="10">
        <v>957.75</v>
      </c>
      <c r="F3088" s="11">
        <v>27400</v>
      </c>
      <c r="H3088" s="12">
        <f>(PrincipalesVariables[[#This Row],[Base monetaria]]-C3087)/C3087</f>
        <v>-1.2297924620452944E-2</v>
      </c>
      <c r="I3088" s="12">
        <f>(PrincipalesVariables[[#This Row],[Dólar  mayorista]]-E3087)/E3087</f>
        <v>6.0595296551296113E-4</v>
      </c>
      <c r="J3088" s="12">
        <f>(PrincipalesVariables[[#This Row],[Reservas internacionales]]-F3087)/F3087</f>
        <v>-2.3303233323623651E-3</v>
      </c>
    </row>
    <row r="3089" spans="1:10" ht="15.75" thickBot="1" x14ac:dyDescent="0.3">
      <c r="A3089" s="14">
        <v>45545</v>
      </c>
      <c r="B3089" s="15">
        <v>45545</v>
      </c>
      <c r="C3089" s="16">
        <v>23025936</v>
      </c>
      <c r="D3089" s="10">
        <f>PrincipalesVariables[[#This Row],[Base monetaria]]/1000000</f>
        <v>23.025936000000002</v>
      </c>
      <c r="E3089" s="10">
        <v>958.17</v>
      </c>
      <c r="F3089" s="11">
        <v>27244</v>
      </c>
      <c r="H3089" s="12">
        <f>(PrincipalesVariables[[#This Row],[Base monetaria]]-C3088)/C3088</f>
        <v>-1.5656264467982236E-2</v>
      </c>
      <c r="I3089" s="12">
        <f>(PrincipalesVariables[[#This Row],[Dólar  mayorista]]-E3088)/E3088</f>
        <v>4.3852779953010605E-4</v>
      </c>
      <c r="J3089" s="12">
        <f>(PrincipalesVariables[[#This Row],[Reservas internacionales]]-F3088)/F3088</f>
        <v>-5.6934306569343066E-3</v>
      </c>
    </row>
    <row r="3090" spans="1:10" ht="15.75" thickBot="1" x14ac:dyDescent="0.3">
      <c r="A3090" s="14">
        <v>45546</v>
      </c>
      <c r="B3090" s="15">
        <v>45546</v>
      </c>
      <c r="C3090" s="16">
        <v>23265125</v>
      </c>
      <c r="D3090" s="10">
        <f>PrincipalesVariables[[#This Row],[Base monetaria]]/1000000</f>
        <v>23.265125000000001</v>
      </c>
      <c r="E3090" s="10">
        <v>958.92</v>
      </c>
      <c r="F3090" s="11">
        <v>27219</v>
      </c>
      <c r="H3090" s="12">
        <f>(PrincipalesVariables[[#This Row],[Base monetaria]]-C3089)/C3089</f>
        <v>1.038780790496421E-2</v>
      </c>
      <c r="I3090" s="12">
        <f>(PrincipalesVariables[[#This Row],[Dólar  mayorista]]-E3089)/E3089</f>
        <v>7.8274210213218954E-4</v>
      </c>
      <c r="J3090" s="12">
        <f>(PrincipalesVariables[[#This Row],[Reservas internacionales]]-F3089)/F3089</f>
        <v>-9.1763324034649829E-4</v>
      </c>
    </row>
    <row r="3091" spans="1:10" ht="15.75" thickBot="1" x14ac:dyDescent="0.3">
      <c r="A3091" s="14">
        <v>45547</v>
      </c>
      <c r="B3091" s="15">
        <v>45547</v>
      </c>
      <c r="C3091" s="16">
        <v>23319596</v>
      </c>
      <c r="D3091" s="10">
        <f>PrincipalesVariables[[#This Row],[Base monetaria]]/1000000</f>
        <v>23.319596000000001</v>
      </c>
      <c r="E3091" s="10">
        <v>959.67</v>
      </c>
      <c r="F3091" s="11">
        <v>27316</v>
      </c>
      <c r="H3091" s="12">
        <f>(PrincipalesVariables[[#This Row],[Base monetaria]]-C3090)/C3090</f>
        <v>2.3413155957683444E-3</v>
      </c>
      <c r="I3091" s="12">
        <f>(PrincipalesVariables[[#This Row],[Dólar  mayorista]]-E3090)/E3090</f>
        <v>7.8212989613314979E-4</v>
      </c>
      <c r="J3091" s="12">
        <f>(PrincipalesVariables[[#This Row],[Reservas internacionales]]-F3090)/F3090</f>
        <v>3.5636871303133841E-3</v>
      </c>
    </row>
    <row r="3092" spans="1:10" ht="15.75" thickBot="1" x14ac:dyDescent="0.3">
      <c r="A3092" s="14">
        <v>45548</v>
      </c>
      <c r="B3092" s="15">
        <v>45548</v>
      </c>
      <c r="C3092" s="16">
        <v>23179778</v>
      </c>
      <c r="D3092" s="10">
        <f>PrincipalesVariables[[#This Row],[Base monetaria]]/1000000</f>
        <v>23.179777999999999</v>
      </c>
      <c r="E3092" s="10">
        <v>961.75</v>
      </c>
      <c r="F3092" s="11">
        <v>27420</v>
      </c>
      <c r="H3092" s="12">
        <f>(PrincipalesVariables[[#This Row],[Base monetaria]]-C3091)/C3091</f>
        <v>-5.9957299431774034E-3</v>
      </c>
      <c r="I3092" s="12">
        <f>(PrincipalesVariables[[#This Row],[Dólar  mayorista]]-E3091)/E3091</f>
        <v>2.1674117144435492E-3</v>
      </c>
      <c r="J3092" s="12">
        <f>(PrincipalesVariables[[#This Row],[Reservas internacionales]]-F3091)/F3091</f>
        <v>3.8072924293454384E-3</v>
      </c>
    </row>
    <row r="3093" spans="1:10" ht="15.75" thickBot="1" x14ac:dyDescent="0.3">
      <c r="A3093" s="14">
        <v>45551</v>
      </c>
      <c r="B3093" s="15">
        <v>45551</v>
      </c>
      <c r="C3093" s="16">
        <v>22707600</v>
      </c>
      <c r="D3093" s="10">
        <f>PrincipalesVariables[[#This Row],[Base monetaria]]/1000000</f>
        <v>22.707599999999999</v>
      </c>
      <c r="E3093" s="10">
        <v>962.08</v>
      </c>
      <c r="F3093" s="11">
        <v>26940</v>
      </c>
      <c r="H3093" s="12">
        <f>(PrincipalesVariables[[#This Row],[Base monetaria]]-C3092)/C3092</f>
        <v>-2.0370255487347635E-2</v>
      </c>
      <c r="I3093" s="12">
        <f>(PrincipalesVariables[[#This Row],[Dólar  mayorista]]-E3092)/E3092</f>
        <v>3.4312451260726896E-4</v>
      </c>
      <c r="J3093" s="12">
        <f>(PrincipalesVariables[[#This Row],[Reservas internacionales]]-F3092)/F3092</f>
        <v>-1.7505470459518599E-2</v>
      </c>
    </row>
    <row r="3094" spans="1:10" ht="15.75" thickBot="1" x14ac:dyDescent="0.3">
      <c r="A3094" s="14">
        <v>45552</v>
      </c>
      <c r="B3094" s="15">
        <v>45552</v>
      </c>
      <c r="C3094" s="16">
        <v>22881995</v>
      </c>
      <c r="D3094" s="10">
        <f>PrincipalesVariables[[#This Row],[Base monetaria]]/1000000</f>
        <v>22.881995</v>
      </c>
      <c r="E3094" s="10">
        <v>962.42</v>
      </c>
      <c r="F3094" s="11">
        <v>26909</v>
      </c>
      <c r="H3094" s="12">
        <f>(PrincipalesVariables[[#This Row],[Base monetaria]]-C3093)/C3093</f>
        <v>7.6800278320914581E-3</v>
      </c>
      <c r="I3094" s="12">
        <f>(PrincipalesVariables[[#This Row],[Dólar  mayorista]]-E3093)/E3093</f>
        <v>3.5340096457666526E-4</v>
      </c>
      <c r="J3094" s="12">
        <f>(PrincipalesVariables[[#This Row],[Reservas internacionales]]-F3093)/F3093</f>
        <v>-1.1507052709725317E-3</v>
      </c>
    </row>
    <row r="3095" spans="1:10" ht="15.75" thickBot="1" x14ac:dyDescent="0.3">
      <c r="A3095" s="14">
        <v>45553</v>
      </c>
      <c r="B3095" s="15">
        <v>45553</v>
      </c>
      <c r="C3095" s="16">
        <v>23026646</v>
      </c>
      <c r="D3095" s="10">
        <f>PrincipalesVariables[[#This Row],[Base monetaria]]/1000000</f>
        <v>23.026646</v>
      </c>
      <c r="E3095" s="10">
        <v>963.33</v>
      </c>
      <c r="F3095" s="11">
        <v>27011</v>
      </c>
      <c r="H3095" s="12">
        <f>(PrincipalesVariables[[#This Row],[Base monetaria]]-C3094)/C3094</f>
        <v>6.321607884277573E-3</v>
      </c>
      <c r="I3095" s="12">
        <f>(PrincipalesVariables[[#This Row],[Dólar  mayorista]]-E3094)/E3094</f>
        <v>9.4553313522171395E-4</v>
      </c>
      <c r="J3095" s="12">
        <f>(PrincipalesVariables[[#This Row],[Reservas internacionales]]-F3094)/F3094</f>
        <v>3.7905533464640084E-3</v>
      </c>
    </row>
    <row r="3096" spans="1:10" ht="15.75" thickBot="1" x14ac:dyDescent="0.3">
      <c r="A3096" s="14">
        <v>45554</v>
      </c>
      <c r="B3096" s="15">
        <v>45554</v>
      </c>
      <c r="C3096" s="16">
        <v>22298504</v>
      </c>
      <c r="D3096" s="10">
        <f>PrincipalesVariables[[#This Row],[Base monetaria]]/1000000</f>
        <v>22.298504000000001</v>
      </c>
      <c r="E3096" s="10">
        <v>963.75</v>
      </c>
      <c r="F3096" s="11">
        <v>27129</v>
      </c>
      <c r="H3096" s="12">
        <f>(PrincipalesVariables[[#This Row],[Base monetaria]]-C3095)/C3095</f>
        <v>-3.1621713383703384E-2</v>
      </c>
      <c r="I3096" s="12">
        <f>(PrincipalesVariables[[#This Row],[Dólar  mayorista]]-E3095)/E3095</f>
        <v>4.3598766777735466E-4</v>
      </c>
      <c r="J3096" s="12">
        <f>(PrincipalesVariables[[#This Row],[Reservas internacionales]]-F3095)/F3095</f>
        <v>4.3685905742105067E-3</v>
      </c>
    </row>
    <row r="3097" spans="1:10" ht="15.75" thickBot="1" x14ac:dyDescent="0.3">
      <c r="A3097" s="14">
        <v>45555</v>
      </c>
      <c r="B3097" s="15">
        <v>45555</v>
      </c>
      <c r="C3097" s="16">
        <v>22594386</v>
      </c>
      <c r="D3097" s="10">
        <f>PrincipalesVariables[[#This Row],[Base monetaria]]/1000000</f>
        <v>22.594386</v>
      </c>
      <c r="E3097" s="10">
        <v>965.75</v>
      </c>
      <c r="F3097" s="11">
        <v>27264</v>
      </c>
      <c r="H3097" s="12">
        <f>(PrincipalesVariables[[#This Row],[Base monetaria]]-C3096)/C3096</f>
        <v>1.3269141284096906E-2</v>
      </c>
      <c r="I3097" s="12">
        <f>(PrincipalesVariables[[#This Row],[Dólar  mayorista]]-E3096)/E3096</f>
        <v>2.0752269779507134E-3</v>
      </c>
      <c r="J3097" s="12">
        <f>(PrincipalesVariables[[#This Row],[Reservas internacionales]]-F3096)/F3096</f>
        <v>4.976224704191087E-3</v>
      </c>
    </row>
    <row r="3098" spans="1:10" ht="15.75" thickBot="1" x14ac:dyDescent="0.3">
      <c r="A3098" s="14">
        <v>45558</v>
      </c>
      <c r="B3098" s="15">
        <v>45558</v>
      </c>
      <c r="C3098" s="16">
        <v>22393487</v>
      </c>
      <c r="D3098" s="10">
        <f>PrincipalesVariables[[#This Row],[Base monetaria]]/1000000</f>
        <v>22.393487</v>
      </c>
      <c r="E3098" s="10">
        <v>966.33</v>
      </c>
      <c r="F3098" s="11">
        <v>27343</v>
      </c>
      <c r="H3098" s="12">
        <f>(PrincipalesVariables[[#This Row],[Base monetaria]]-C3097)/C3097</f>
        <v>-8.891545005914301E-3</v>
      </c>
      <c r="I3098" s="12">
        <f>(PrincipalesVariables[[#This Row],[Dólar  mayorista]]-E3097)/E3097</f>
        <v>6.0056950556566498E-4</v>
      </c>
      <c r="J3098" s="12">
        <f>(PrincipalesVariables[[#This Row],[Reservas internacionales]]-F3097)/F3097</f>
        <v>2.8975938967136152E-3</v>
      </c>
    </row>
    <row r="3099" spans="1:10" ht="15.75" thickBot="1" x14ac:dyDescent="0.3">
      <c r="A3099" s="14">
        <v>45559</v>
      </c>
      <c r="B3099" s="15">
        <v>45559</v>
      </c>
      <c r="C3099" s="16">
        <v>21840646</v>
      </c>
      <c r="D3099" s="10">
        <f>PrincipalesVariables[[#This Row],[Base monetaria]]/1000000</f>
        <v>21.840646</v>
      </c>
      <c r="E3099" s="10">
        <v>966.75</v>
      </c>
      <c r="F3099" s="11">
        <v>28241</v>
      </c>
      <c r="H3099" s="12">
        <f>(PrincipalesVariables[[#This Row],[Base monetaria]]-C3098)/C3098</f>
        <v>-2.4687579920000847E-2</v>
      </c>
      <c r="I3099" s="12">
        <f>(PrincipalesVariables[[#This Row],[Dólar  mayorista]]-E3098)/E3098</f>
        <v>4.3463413119737467E-4</v>
      </c>
      <c r="J3099" s="12">
        <f>(PrincipalesVariables[[#This Row],[Reservas internacionales]]-F3098)/F3098</f>
        <v>3.2842043667483452E-2</v>
      </c>
    </row>
    <row r="3100" spans="1:10" ht="15.75" thickBot="1" x14ac:dyDescent="0.3">
      <c r="A3100" s="14">
        <v>45560</v>
      </c>
      <c r="B3100" s="15">
        <v>45560</v>
      </c>
      <c r="C3100" s="16">
        <v>22010348</v>
      </c>
      <c r="D3100" s="10">
        <f>PrincipalesVariables[[#This Row],[Base monetaria]]/1000000</f>
        <v>22.010348</v>
      </c>
      <c r="E3100" s="10">
        <v>967.92</v>
      </c>
      <c r="F3100" s="11">
        <v>28834</v>
      </c>
      <c r="H3100" s="12">
        <f>(PrincipalesVariables[[#This Row],[Base monetaria]]-C3099)/C3099</f>
        <v>7.7700082680704592E-3</v>
      </c>
      <c r="I3100" s="12">
        <f>(PrincipalesVariables[[#This Row],[Dólar  mayorista]]-E3099)/E3099</f>
        <v>1.2102404965088794E-3</v>
      </c>
      <c r="J3100" s="12">
        <f>(PrincipalesVariables[[#This Row],[Reservas internacionales]]-F3099)/F3099</f>
        <v>2.0997840019829326E-2</v>
      </c>
    </row>
    <row r="3101" spans="1:10" ht="15.75" thickBot="1" x14ac:dyDescent="0.3">
      <c r="A3101" s="14">
        <v>45561</v>
      </c>
      <c r="B3101" s="15">
        <v>45561</v>
      </c>
      <c r="C3101" s="16">
        <v>21732127</v>
      </c>
      <c r="D3101" s="10">
        <f>PrincipalesVariables[[#This Row],[Base monetaria]]/1000000</f>
        <v>21.732126999999998</v>
      </c>
      <c r="E3101" s="10">
        <v>968.75</v>
      </c>
      <c r="F3101" s="11">
        <v>29164</v>
      </c>
      <c r="H3101" s="12">
        <f>(PrincipalesVariables[[#This Row],[Base monetaria]]-C3100)/C3100</f>
        <v>-1.2640463476542942E-2</v>
      </c>
      <c r="I3101" s="12">
        <f>(PrincipalesVariables[[#This Row],[Dólar  mayorista]]-E3100)/E3100</f>
        <v>8.5750888503186311E-4</v>
      </c>
      <c r="J3101" s="12">
        <f>(PrincipalesVariables[[#This Row],[Reservas internacionales]]-F3100)/F3100</f>
        <v>1.1444822085038496E-2</v>
      </c>
    </row>
    <row r="3102" spans="1:10" ht="15.75" thickBot="1" x14ac:dyDescent="0.3">
      <c r="A3102" s="14">
        <v>45562</v>
      </c>
      <c r="B3102" s="15">
        <v>45562</v>
      </c>
      <c r="C3102" s="16">
        <v>21794164</v>
      </c>
      <c r="D3102" s="10">
        <f>PrincipalesVariables[[#This Row],[Base monetaria]]/1000000</f>
        <v>21.794163999999999</v>
      </c>
      <c r="E3102" s="10">
        <v>970.58</v>
      </c>
      <c r="F3102" s="11">
        <v>29174</v>
      </c>
      <c r="H3102" s="12">
        <f>(PrincipalesVariables[[#This Row],[Base monetaria]]-C3101)/C3101</f>
        <v>2.8546216391980407E-3</v>
      </c>
      <c r="I3102" s="12">
        <f>(PrincipalesVariables[[#This Row],[Dólar  mayorista]]-E3101)/E3101</f>
        <v>1.8890322580645583E-3</v>
      </c>
      <c r="J3102" s="12">
        <f>(PrincipalesVariables[[#This Row],[Reservas internacionales]]-F3101)/F3101</f>
        <v>3.4288849266218623E-4</v>
      </c>
    </row>
    <row r="3103" spans="1:10" ht="15.75" thickBot="1" x14ac:dyDescent="0.3">
      <c r="A3103" s="14">
        <v>45565</v>
      </c>
      <c r="B3103" s="15">
        <v>45565</v>
      </c>
      <c r="C3103" s="16">
        <v>22396060</v>
      </c>
      <c r="D3103" s="10">
        <f>PrincipalesVariables[[#This Row],[Base monetaria]]/1000000</f>
        <v>22.396059999999999</v>
      </c>
      <c r="E3103" s="10">
        <v>970.92</v>
      </c>
      <c r="F3103" s="11">
        <v>27172</v>
      </c>
      <c r="H3103" s="12">
        <f>(PrincipalesVariables[[#This Row],[Base monetaria]]-C3102)/C3102</f>
        <v>2.7617301585874089E-2</v>
      </c>
      <c r="I3103" s="12">
        <f>(PrincipalesVariables[[#This Row],[Dólar  mayorista]]-E3102)/E3102</f>
        <v>3.5030600259630131E-4</v>
      </c>
      <c r="J3103" s="12">
        <f>(PrincipalesVariables[[#This Row],[Reservas internacionales]]-F3102)/F3102</f>
        <v>-6.8622746280935079E-2</v>
      </c>
    </row>
    <row r="3104" spans="1:10" ht="15.75" thickBot="1" x14ac:dyDescent="0.3">
      <c r="A3104" s="14">
        <v>45566</v>
      </c>
      <c r="B3104" s="15">
        <v>45566</v>
      </c>
      <c r="C3104" s="16">
        <v>23753981</v>
      </c>
      <c r="D3104" s="10">
        <f>PrincipalesVariables[[#This Row],[Base monetaria]]/1000000</f>
        <v>23.753981</v>
      </c>
      <c r="E3104" s="10">
        <v>971.25</v>
      </c>
      <c r="F3104" s="11">
        <v>28461</v>
      </c>
      <c r="H3104" s="12">
        <f>(PrincipalesVariables[[#This Row],[Base monetaria]]-C3103)/C3103</f>
        <v>6.0632137974268689E-2</v>
      </c>
      <c r="I3104" s="12">
        <f>(PrincipalesVariables[[#This Row],[Dólar  mayorista]]-E3103)/E3103</f>
        <v>3.3988382153013735E-4</v>
      </c>
      <c r="J3104" s="12">
        <f>(PrincipalesVariables[[#This Row],[Reservas internacionales]]-F3103)/F3103</f>
        <v>4.7438539673192996E-2</v>
      </c>
    </row>
    <row r="3105" spans="1:10" ht="15.75" thickBot="1" x14ac:dyDescent="0.3">
      <c r="A3105" s="14">
        <v>45567</v>
      </c>
      <c r="B3105" s="15">
        <v>45567</v>
      </c>
      <c r="C3105" s="16">
        <v>24129288</v>
      </c>
      <c r="D3105" s="10">
        <f>PrincipalesVariables[[#This Row],[Base monetaria]]/1000000</f>
        <v>24.129287999999999</v>
      </c>
      <c r="E3105" s="10">
        <v>971.75</v>
      </c>
      <c r="F3105" s="11">
        <v>29138</v>
      </c>
      <c r="H3105" s="12">
        <f>(PrincipalesVariables[[#This Row],[Base monetaria]]-C3104)/C3104</f>
        <v>1.579975162900063E-2</v>
      </c>
      <c r="I3105" s="12">
        <f>(PrincipalesVariables[[#This Row],[Dólar  mayorista]]-E3104)/E3104</f>
        <v>5.1480051480051476E-4</v>
      </c>
      <c r="J3105" s="12">
        <f>(PrincipalesVariables[[#This Row],[Reservas internacionales]]-F3104)/F3104</f>
        <v>2.3786936509609641E-2</v>
      </c>
    </row>
    <row r="3106" spans="1:10" ht="15.75" thickBot="1" x14ac:dyDescent="0.3">
      <c r="A3106" s="14">
        <v>45568</v>
      </c>
      <c r="B3106" s="15">
        <v>45568</v>
      </c>
      <c r="C3106" s="16">
        <v>24190411</v>
      </c>
      <c r="D3106" s="10">
        <f>PrincipalesVariables[[#This Row],[Base monetaria]]/1000000</f>
        <v>24.190411000000001</v>
      </c>
      <c r="E3106" s="10">
        <v>972.75</v>
      </c>
      <c r="F3106" s="11">
        <v>29231</v>
      </c>
      <c r="H3106" s="12">
        <f>(PrincipalesVariables[[#This Row],[Base monetaria]]-C3105)/C3105</f>
        <v>2.5331456112588154E-3</v>
      </c>
      <c r="I3106" s="12">
        <f>(PrincipalesVariables[[#This Row],[Dólar  mayorista]]-E3105)/E3105</f>
        <v>1.0290712631849757E-3</v>
      </c>
      <c r="J3106" s="12">
        <f>(PrincipalesVariables[[#This Row],[Reservas internacionales]]-F3105)/F3105</f>
        <v>3.1917084219919008E-3</v>
      </c>
    </row>
    <row r="3107" spans="1:10" ht="15.75" thickBot="1" x14ac:dyDescent="0.3">
      <c r="A3107" s="14">
        <v>45569</v>
      </c>
      <c r="B3107" s="15">
        <v>45569</v>
      </c>
      <c r="C3107" s="16">
        <v>24159079</v>
      </c>
      <c r="D3107" s="10">
        <f>PrincipalesVariables[[#This Row],[Base monetaria]]/1000000</f>
        <v>24.159078999999998</v>
      </c>
      <c r="E3107" s="10">
        <v>974.83</v>
      </c>
      <c r="F3107" s="11">
        <v>28313</v>
      </c>
      <c r="H3107" s="12">
        <f>(PrincipalesVariables[[#This Row],[Base monetaria]]-C3106)/C3106</f>
        <v>-1.2952239629165458E-3</v>
      </c>
      <c r="I3107" s="12">
        <f>(PrincipalesVariables[[#This Row],[Dólar  mayorista]]-E3106)/E3106</f>
        <v>2.1382677974814092E-3</v>
      </c>
      <c r="J3107" s="12">
        <f>(PrincipalesVariables[[#This Row],[Reservas internacionales]]-F3106)/F3106</f>
        <v>-3.1405015223564023E-2</v>
      </c>
    </row>
    <row r="3108" spans="1:10" ht="15.75" thickBot="1" x14ac:dyDescent="0.3">
      <c r="A3108" s="14">
        <v>45572</v>
      </c>
      <c r="B3108" s="15">
        <v>45572</v>
      </c>
      <c r="C3108" s="16">
        <v>24006331</v>
      </c>
      <c r="D3108" s="10">
        <f>PrincipalesVariables[[#This Row],[Base monetaria]]/1000000</f>
        <v>24.006330999999999</v>
      </c>
      <c r="E3108" s="10">
        <v>975.5</v>
      </c>
      <c r="F3108" s="11">
        <v>28557</v>
      </c>
      <c r="H3108" s="12">
        <f>(PrincipalesVariables[[#This Row],[Base monetaria]]-C3107)/C3107</f>
        <v>-6.3225920160284253E-3</v>
      </c>
      <c r="I3108" s="12">
        <f>(PrincipalesVariables[[#This Row],[Dólar  mayorista]]-E3107)/E3107</f>
        <v>6.8729932398465274E-4</v>
      </c>
      <c r="J3108" s="12">
        <f>(PrincipalesVariables[[#This Row],[Reservas internacionales]]-F3107)/F3107</f>
        <v>8.6179493518878259E-3</v>
      </c>
    </row>
    <row r="3109" spans="1:10" ht="15.75" thickBot="1" x14ac:dyDescent="0.3">
      <c r="A3109" s="14">
        <v>45573</v>
      </c>
      <c r="B3109" s="15">
        <v>45573</v>
      </c>
      <c r="C3109" s="16">
        <v>23956307</v>
      </c>
      <c r="D3109" s="10">
        <f>PrincipalesVariables[[#This Row],[Base monetaria]]/1000000</f>
        <v>23.956306999999999</v>
      </c>
      <c r="E3109" s="10">
        <v>975.92</v>
      </c>
      <c r="F3109" s="11">
        <v>28388</v>
      </c>
      <c r="H3109" s="12">
        <f>(PrincipalesVariables[[#This Row],[Base monetaria]]-C3108)/C3108</f>
        <v>-2.0837836485717038E-3</v>
      </c>
      <c r="I3109" s="12">
        <f>(PrincipalesVariables[[#This Row],[Dólar  mayorista]]-E3108)/E3108</f>
        <v>4.3054843669908672E-4</v>
      </c>
      <c r="J3109" s="12">
        <f>(PrincipalesVariables[[#This Row],[Reservas internacionales]]-F3108)/F3108</f>
        <v>-5.9179885842350387E-3</v>
      </c>
    </row>
    <row r="3110" spans="1:10" ht="15.75" thickBot="1" x14ac:dyDescent="0.3">
      <c r="A3110" s="14">
        <v>45574</v>
      </c>
      <c r="B3110" s="15">
        <v>45574</v>
      </c>
      <c r="C3110" s="16">
        <v>23876709</v>
      </c>
      <c r="D3110" s="10">
        <f>PrincipalesVariables[[#This Row],[Base monetaria]]/1000000</f>
        <v>23.876709000000002</v>
      </c>
      <c r="E3110" s="10">
        <v>976.25</v>
      </c>
      <c r="F3110" s="11">
        <v>28346</v>
      </c>
      <c r="H3110" s="12">
        <f>(PrincipalesVariables[[#This Row],[Base monetaria]]-C3109)/C3109</f>
        <v>-3.322632323922047E-3</v>
      </c>
      <c r="I3110" s="12">
        <f>(PrincipalesVariables[[#This Row],[Dólar  mayorista]]-E3109)/E3109</f>
        <v>3.3814247069436114E-4</v>
      </c>
      <c r="J3110" s="12">
        <f>(PrincipalesVariables[[#This Row],[Reservas internacionales]]-F3109)/F3109</f>
        <v>-1.4794983795970128E-3</v>
      </c>
    </row>
    <row r="3111" spans="1:10" ht="15.75" thickBot="1" x14ac:dyDescent="0.3">
      <c r="A3111" s="14">
        <v>45575</v>
      </c>
      <c r="B3111" s="15">
        <v>45575</v>
      </c>
      <c r="C3111" s="16">
        <v>24964156</v>
      </c>
      <c r="D3111" s="10">
        <f>PrincipalesVariables[[#This Row],[Base monetaria]]/1000000</f>
        <v>24.964155999999999</v>
      </c>
      <c r="E3111" s="10">
        <v>979.42</v>
      </c>
      <c r="F3111" s="11">
        <v>28632</v>
      </c>
      <c r="H3111" s="12">
        <f>(PrincipalesVariables[[#This Row],[Base monetaria]]-C3110)/C3110</f>
        <v>4.5544258214145004E-2</v>
      </c>
      <c r="I3111" s="12">
        <f>(PrincipalesVariables[[#This Row],[Dólar  mayorista]]-E3110)/E3110</f>
        <v>3.2471190781049515E-3</v>
      </c>
      <c r="J3111" s="12">
        <f>(PrincipalesVariables[[#This Row],[Reservas internacionales]]-F3110)/F3110</f>
        <v>1.0089606999223876E-2</v>
      </c>
    </row>
    <row r="3112" spans="1:10" ht="15.75" thickBot="1" x14ac:dyDescent="0.3">
      <c r="A3112" s="14">
        <v>45579</v>
      </c>
      <c r="B3112" s="15">
        <v>45579</v>
      </c>
      <c r="C3112" s="16">
        <v>23545508</v>
      </c>
      <c r="D3112" s="10">
        <f>PrincipalesVariables[[#This Row],[Base monetaria]]/1000000</f>
        <v>23.545508000000002</v>
      </c>
      <c r="E3112" s="10">
        <v>980.17</v>
      </c>
      <c r="F3112" s="11">
        <v>28702</v>
      </c>
      <c r="H3112" s="12">
        <f>(PrincipalesVariables[[#This Row],[Base monetaria]]-C3111)/C3111</f>
        <v>-5.6827396848505511E-2</v>
      </c>
      <c r="I3112" s="12">
        <f>(PrincipalesVariables[[#This Row],[Dólar  mayorista]]-E3111)/E3111</f>
        <v>7.6575932694860228E-4</v>
      </c>
      <c r="J3112" s="12">
        <f>(PrincipalesVariables[[#This Row],[Reservas internacionales]]-F3111)/F3111</f>
        <v>2.4448169879854706E-3</v>
      </c>
    </row>
    <row r="3113" spans="1:10" ht="15.75" thickBot="1" x14ac:dyDescent="0.3">
      <c r="A3113" s="14">
        <v>45580</v>
      </c>
      <c r="B3113" s="15">
        <v>45580</v>
      </c>
      <c r="C3113" s="16">
        <v>22743863</v>
      </c>
      <c r="D3113" s="10">
        <f>PrincipalesVariables[[#This Row],[Base monetaria]]/1000000</f>
        <v>22.743863000000001</v>
      </c>
      <c r="E3113" s="10">
        <v>980.58</v>
      </c>
      <c r="F3113" s="11">
        <v>28271</v>
      </c>
      <c r="H3113" s="12">
        <f>(PrincipalesVariables[[#This Row],[Base monetaria]]-C3112)/C3112</f>
        <v>-3.4046621546666142E-2</v>
      </c>
      <c r="I3113" s="12">
        <f>(PrincipalesVariables[[#This Row],[Dólar  mayorista]]-E3112)/E3112</f>
        <v>4.1829478559850014E-4</v>
      </c>
      <c r="J3113" s="12">
        <f>(PrincipalesVariables[[#This Row],[Reservas internacionales]]-F3112)/F3112</f>
        <v>-1.5016375165493694E-2</v>
      </c>
    </row>
    <row r="3114" spans="1:10" ht="15.75" thickBot="1" x14ac:dyDescent="0.3">
      <c r="A3114" s="14">
        <v>45581</v>
      </c>
      <c r="B3114" s="15">
        <v>45581</v>
      </c>
      <c r="C3114" s="16">
        <v>22644832</v>
      </c>
      <c r="D3114" s="10">
        <f>PrincipalesVariables[[#This Row],[Base monetaria]]/1000000</f>
        <v>22.644832000000001</v>
      </c>
      <c r="E3114" s="10">
        <v>981.58</v>
      </c>
      <c r="F3114" s="11">
        <v>28294</v>
      </c>
      <c r="H3114" s="12">
        <f>(PrincipalesVariables[[#This Row],[Base monetaria]]-C3113)/C3113</f>
        <v>-4.3541855664536843E-3</v>
      </c>
      <c r="I3114" s="12">
        <f>(PrincipalesVariables[[#This Row],[Dólar  mayorista]]-E3113)/E3113</f>
        <v>1.0198046054375981E-3</v>
      </c>
      <c r="J3114" s="12">
        <f>(PrincipalesVariables[[#This Row],[Reservas internacionales]]-F3113)/F3113</f>
        <v>8.1355452583919919E-4</v>
      </c>
    </row>
    <row r="3115" spans="1:10" ht="15.75" thickBot="1" x14ac:dyDescent="0.3">
      <c r="A3115" s="14">
        <v>45582</v>
      </c>
      <c r="B3115" s="15">
        <v>45582</v>
      </c>
      <c r="C3115" s="16">
        <v>22676812</v>
      </c>
      <c r="D3115" s="10">
        <f>PrincipalesVariables[[#This Row],[Base monetaria]]/1000000</f>
        <v>22.676812000000002</v>
      </c>
      <c r="E3115" s="10">
        <v>981.75</v>
      </c>
      <c r="F3115" s="11">
        <v>28273</v>
      </c>
      <c r="H3115" s="12">
        <f>(PrincipalesVariables[[#This Row],[Base monetaria]]-C3114)/C3114</f>
        <v>1.4122427580827272E-3</v>
      </c>
      <c r="I3115" s="12">
        <f>(PrincipalesVariables[[#This Row],[Dólar  mayorista]]-E3114)/E3114</f>
        <v>1.7319016279871132E-4</v>
      </c>
      <c r="J3115" s="12">
        <f>(PrincipalesVariables[[#This Row],[Reservas internacionales]]-F3114)/F3114</f>
        <v>-7.4220682830282035E-4</v>
      </c>
    </row>
    <row r="3116" spans="1:10" ht="15.75" thickBot="1" x14ac:dyDescent="0.3">
      <c r="A3116" s="14">
        <v>45583</v>
      </c>
      <c r="B3116" s="15">
        <v>45583</v>
      </c>
      <c r="C3116" s="16">
        <v>22522901</v>
      </c>
      <c r="D3116" s="10">
        <f>PrincipalesVariables[[#This Row],[Base monetaria]]/1000000</f>
        <v>22.522901000000001</v>
      </c>
      <c r="E3116" s="10">
        <v>983.83</v>
      </c>
      <c r="F3116" s="11">
        <v>28488</v>
      </c>
      <c r="H3116" s="12">
        <f>(PrincipalesVariables[[#This Row],[Base monetaria]]-C3115)/C3115</f>
        <v>-6.7871533264905141E-3</v>
      </c>
      <c r="I3116" s="12">
        <f>(PrincipalesVariables[[#This Row],[Dólar  mayorista]]-E3115)/E3115</f>
        <v>2.1186656480774546E-3</v>
      </c>
      <c r="J3116" s="12">
        <f>(PrincipalesVariables[[#This Row],[Reservas internacionales]]-F3115)/F3115</f>
        <v>7.6044282531036681E-3</v>
      </c>
    </row>
    <row r="3117" spans="1:10" ht="15.75" thickBot="1" x14ac:dyDescent="0.3">
      <c r="A3117" s="14">
        <v>45586</v>
      </c>
      <c r="B3117" s="15">
        <v>45586</v>
      </c>
      <c r="C3117" s="16">
        <v>22706815</v>
      </c>
      <c r="D3117" s="10">
        <f>PrincipalesVariables[[#This Row],[Base monetaria]]/1000000</f>
        <v>22.706814999999999</v>
      </c>
      <c r="E3117" s="10">
        <v>984.42</v>
      </c>
      <c r="F3117" s="11">
        <v>28314</v>
      </c>
      <c r="H3117" s="12">
        <f>(PrincipalesVariables[[#This Row],[Base monetaria]]-C3116)/C3116</f>
        <v>8.1656443812455591E-3</v>
      </c>
      <c r="I3117" s="12">
        <f>(PrincipalesVariables[[#This Row],[Dólar  mayorista]]-E3116)/E3116</f>
        <v>5.996971021415469E-4</v>
      </c>
      <c r="J3117" s="12">
        <f>(PrincipalesVariables[[#This Row],[Reservas internacionales]]-F3116)/F3116</f>
        <v>-6.1078348778433027E-3</v>
      </c>
    </row>
    <row r="3118" spans="1:10" ht="15.75" thickBot="1" x14ac:dyDescent="0.3">
      <c r="A3118" s="14">
        <v>45587</v>
      </c>
      <c r="B3118" s="15">
        <v>45587</v>
      </c>
      <c r="C3118" s="16">
        <v>22914174</v>
      </c>
      <c r="D3118" s="10">
        <f>PrincipalesVariables[[#This Row],[Base monetaria]]/1000000</f>
        <v>22.914173999999999</v>
      </c>
      <c r="E3118" s="10">
        <v>984.83</v>
      </c>
      <c r="F3118" s="11">
        <v>28416</v>
      </c>
      <c r="H3118" s="12">
        <f>(PrincipalesVariables[[#This Row],[Base monetaria]]-C3117)/C3117</f>
        <v>9.1320160929659229E-3</v>
      </c>
      <c r="I3118" s="12">
        <f>(PrincipalesVariables[[#This Row],[Dólar  mayorista]]-E3117)/E3117</f>
        <v>4.1648889701558466E-4</v>
      </c>
      <c r="J3118" s="12">
        <f>(PrincipalesVariables[[#This Row],[Reservas internacionales]]-F3117)/F3117</f>
        <v>3.6024581479126932E-3</v>
      </c>
    </row>
    <row r="3119" spans="1:10" ht="15.75" thickBot="1" x14ac:dyDescent="0.3">
      <c r="A3119" s="14">
        <v>45588</v>
      </c>
      <c r="B3119" s="15">
        <v>45588</v>
      </c>
      <c r="C3119" s="16">
        <v>22775031</v>
      </c>
      <c r="D3119" s="10">
        <f>PrincipalesVariables[[#This Row],[Base monetaria]]/1000000</f>
        <v>22.775030999999998</v>
      </c>
      <c r="E3119" s="10">
        <v>985.92</v>
      </c>
      <c r="F3119" s="11">
        <v>28511</v>
      </c>
      <c r="H3119" s="12">
        <f>(PrincipalesVariables[[#This Row],[Base monetaria]]-C3118)/C3118</f>
        <v>-6.0723550410326814E-3</v>
      </c>
      <c r="I3119" s="12">
        <f>(PrincipalesVariables[[#This Row],[Dólar  mayorista]]-E3118)/E3118</f>
        <v>1.1067900043661527E-3</v>
      </c>
      <c r="J3119" s="12">
        <f>(PrincipalesVariables[[#This Row],[Reservas internacionales]]-F3118)/F3118</f>
        <v>3.3431869369369371E-3</v>
      </c>
    </row>
    <row r="3120" spans="1:10" ht="15.75" thickBot="1" x14ac:dyDescent="0.3">
      <c r="A3120" s="14">
        <v>45589</v>
      </c>
      <c r="B3120" s="15">
        <v>45589</v>
      </c>
      <c r="C3120" s="16">
        <v>22507691</v>
      </c>
      <c r="D3120" s="10">
        <f>PrincipalesVariables[[#This Row],[Base monetaria]]/1000000</f>
        <v>22.507691000000001</v>
      </c>
      <c r="E3120" s="10">
        <v>986.33</v>
      </c>
      <c r="F3120" s="11">
        <v>29057</v>
      </c>
      <c r="H3120" s="12">
        <f>(PrincipalesVariables[[#This Row],[Base monetaria]]-C3119)/C3119</f>
        <v>-1.173829357246539E-2</v>
      </c>
      <c r="I3120" s="12">
        <f>(PrincipalesVariables[[#This Row],[Dólar  mayorista]]-E3119)/E3119</f>
        <v>4.1585524180469196E-4</v>
      </c>
      <c r="J3120" s="12">
        <f>(PrincipalesVariables[[#This Row],[Reservas internacionales]]-F3119)/F3119</f>
        <v>1.9150503314510188E-2</v>
      </c>
    </row>
    <row r="3121" spans="1:10" ht="15.75" thickBot="1" x14ac:dyDescent="0.3">
      <c r="A3121" s="14">
        <v>45590</v>
      </c>
      <c r="B3121" s="15">
        <v>45590</v>
      </c>
      <c r="C3121" s="16">
        <v>22685890</v>
      </c>
      <c r="D3121" s="10">
        <f>PrincipalesVariables[[#This Row],[Base monetaria]]/1000000</f>
        <v>22.685890000000001</v>
      </c>
      <c r="E3121" s="10">
        <v>988.33</v>
      </c>
      <c r="F3121" s="11">
        <v>29163</v>
      </c>
      <c r="H3121" s="12">
        <f>(PrincipalesVariables[[#This Row],[Base monetaria]]-C3120)/C3120</f>
        <v>7.9172492638183104E-3</v>
      </c>
      <c r="I3121" s="12">
        <f>(PrincipalesVariables[[#This Row],[Dólar  mayorista]]-E3120)/E3120</f>
        <v>2.0277189176036419E-3</v>
      </c>
      <c r="J3121" s="12">
        <f>(PrincipalesVariables[[#This Row],[Reservas internacionales]]-F3120)/F3120</f>
        <v>3.6480022025673674E-3</v>
      </c>
    </row>
    <row r="3122" spans="1:10" ht="15.75" thickBot="1" x14ac:dyDescent="0.3">
      <c r="A3122" s="14">
        <v>45593</v>
      </c>
      <c r="B3122" s="15">
        <v>45593</v>
      </c>
      <c r="C3122" s="16">
        <v>22202345</v>
      </c>
      <c r="D3122" s="10">
        <f>PrincipalesVariables[[#This Row],[Base monetaria]]/1000000</f>
        <v>22.202345000000001</v>
      </c>
      <c r="E3122" s="10">
        <v>988.83</v>
      </c>
      <c r="F3122" s="11">
        <v>29368</v>
      </c>
      <c r="H3122" s="12">
        <f>(PrincipalesVariables[[#This Row],[Base monetaria]]-C3121)/C3121</f>
        <v>-2.1314790823723468E-2</v>
      </c>
      <c r="I3122" s="12">
        <f>(PrincipalesVariables[[#This Row],[Dólar  mayorista]]-E3121)/E3121</f>
        <v>5.0590389849544182E-4</v>
      </c>
      <c r="J3122" s="12">
        <f>(PrincipalesVariables[[#This Row],[Reservas internacionales]]-F3121)/F3121</f>
        <v>7.0294551315022461E-3</v>
      </c>
    </row>
    <row r="3123" spans="1:10" ht="15.75" thickBot="1" x14ac:dyDescent="0.3">
      <c r="A3123" s="14">
        <v>45594</v>
      </c>
      <c r="B3123" s="15">
        <v>45594</v>
      </c>
      <c r="C3123" s="16">
        <v>22150936</v>
      </c>
      <c r="D3123" s="10">
        <f>PrincipalesVariables[[#This Row],[Base monetaria]]/1000000</f>
        <v>22.150936000000002</v>
      </c>
      <c r="E3123" s="10">
        <v>989.25</v>
      </c>
      <c r="F3123" s="11">
        <v>29669</v>
      </c>
      <c r="H3123" s="12">
        <f>(PrincipalesVariables[[#This Row],[Base monetaria]]-C3122)/C3122</f>
        <v>-2.315476135516316E-3</v>
      </c>
      <c r="I3123" s="12">
        <f>(PrincipalesVariables[[#This Row],[Dólar  mayorista]]-E3122)/E3122</f>
        <v>4.2474439489089029E-4</v>
      </c>
      <c r="J3123" s="12">
        <f>(PrincipalesVariables[[#This Row],[Reservas internacionales]]-F3122)/F3122</f>
        <v>1.0249250885317352E-2</v>
      </c>
    </row>
    <row r="3124" spans="1:10" ht="15.75" thickBot="1" x14ac:dyDescent="0.3">
      <c r="A3124" s="14">
        <v>45595</v>
      </c>
      <c r="B3124" s="15">
        <v>45595</v>
      </c>
      <c r="C3124" s="16">
        <v>22501007</v>
      </c>
      <c r="D3124" s="10">
        <f>PrincipalesVariables[[#This Row],[Base monetaria]]/1000000</f>
        <v>22.501007000000001</v>
      </c>
      <c r="E3124" s="10">
        <v>990.25</v>
      </c>
      <c r="F3124" s="11">
        <v>29863</v>
      </c>
      <c r="H3124" s="12">
        <f>(PrincipalesVariables[[#This Row],[Base monetaria]]-C3123)/C3123</f>
        <v>1.5803891989033782E-2</v>
      </c>
      <c r="I3124" s="12">
        <f>(PrincipalesVariables[[#This Row],[Dólar  mayorista]]-E3123)/E3123</f>
        <v>1.0108668182966893E-3</v>
      </c>
      <c r="J3124" s="12">
        <f>(PrincipalesVariables[[#This Row],[Reservas internacionales]]-F3123)/F3123</f>
        <v>6.538811554147427E-3</v>
      </c>
    </row>
    <row r="3125" spans="1:10" ht="15.75" thickBot="1" x14ac:dyDescent="0.3">
      <c r="A3125" s="14">
        <v>45596</v>
      </c>
      <c r="B3125" s="15">
        <v>45596</v>
      </c>
      <c r="C3125" s="16">
        <v>22715300</v>
      </c>
      <c r="D3125" s="10">
        <f>PrincipalesVariables[[#This Row],[Base monetaria]]/1000000</f>
        <v>22.715299999999999</v>
      </c>
      <c r="E3125" s="10">
        <v>990.75</v>
      </c>
      <c r="F3125" s="11">
        <v>28618</v>
      </c>
      <c r="H3125" s="12">
        <f>(PrincipalesVariables[[#This Row],[Base monetaria]]-C3124)/C3124</f>
        <v>9.5237070945313699E-3</v>
      </c>
      <c r="I3125" s="12">
        <f>(PrincipalesVariables[[#This Row],[Dólar  mayorista]]-E3124)/E3124</f>
        <v>5.0492299924261551E-4</v>
      </c>
      <c r="J3125" s="12">
        <f>(PrincipalesVariables[[#This Row],[Reservas internacionales]]-F3124)/F3124</f>
        <v>-4.1690386096507381E-2</v>
      </c>
    </row>
    <row r="3126" spans="1:10" ht="15.75" thickBot="1" x14ac:dyDescent="0.3">
      <c r="A3126" s="14">
        <v>45597</v>
      </c>
      <c r="B3126" s="15">
        <v>45597</v>
      </c>
      <c r="C3126" s="16">
        <v>25347133</v>
      </c>
      <c r="D3126" s="10">
        <f>PrincipalesVariables[[#This Row],[Base monetaria]]/1000000</f>
        <v>25.347132999999999</v>
      </c>
      <c r="E3126" s="10">
        <v>992.75</v>
      </c>
      <c r="F3126" s="11">
        <v>29603</v>
      </c>
      <c r="H3126" s="12">
        <f>(PrincipalesVariables[[#This Row],[Base monetaria]]-C3125)/C3125</f>
        <v>0.11586168793720532</v>
      </c>
      <c r="I3126" s="12">
        <f>(PrincipalesVariables[[#This Row],[Dólar  mayorista]]-E3125)/E3125</f>
        <v>2.0186727226848347E-3</v>
      </c>
      <c r="J3126" s="12">
        <f>(PrincipalesVariables[[#This Row],[Reservas internacionales]]-F3125)/F3125</f>
        <v>3.4418897197567966E-2</v>
      </c>
    </row>
    <row r="3127" spans="1:10" ht="15.75" thickBot="1" x14ac:dyDescent="0.3">
      <c r="A3127" s="14">
        <v>45600</v>
      </c>
      <c r="B3127" s="15">
        <v>45600</v>
      </c>
      <c r="C3127" s="16">
        <v>26060126</v>
      </c>
      <c r="D3127" s="10">
        <f>PrincipalesVariables[[#This Row],[Base monetaria]]/1000000</f>
        <v>26.060126</v>
      </c>
      <c r="E3127" s="10">
        <v>993.33</v>
      </c>
      <c r="F3127" s="11">
        <v>30182</v>
      </c>
      <c r="H3127" s="12">
        <f>(PrincipalesVariables[[#This Row],[Base monetaria]]-C3126)/C3126</f>
        <v>2.8129137918675062E-2</v>
      </c>
      <c r="I3127" s="12">
        <f>(PrincipalesVariables[[#This Row],[Dólar  mayorista]]-E3126)/E3126</f>
        <v>5.8423570888948976E-4</v>
      </c>
      <c r="J3127" s="12">
        <f>(PrincipalesVariables[[#This Row],[Reservas internacionales]]-F3126)/F3126</f>
        <v>1.9558828497111779E-2</v>
      </c>
    </row>
    <row r="3128" spans="1:10" ht="15.75" thickBot="1" x14ac:dyDescent="0.3">
      <c r="A3128" s="14">
        <v>45601</v>
      </c>
      <c r="B3128" s="15">
        <v>45601</v>
      </c>
      <c r="C3128" s="16">
        <v>26160894</v>
      </c>
      <c r="D3128" s="10">
        <f>PrincipalesVariables[[#This Row],[Base monetaria]]/1000000</f>
        <v>26.160893999999999</v>
      </c>
      <c r="E3128" s="10">
        <v>994.75</v>
      </c>
      <c r="F3128" s="11">
        <v>30432</v>
      </c>
      <c r="H3128" s="12">
        <f>(PrincipalesVariables[[#This Row],[Base monetaria]]-C3127)/C3127</f>
        <v>3.8667502989049246E-3</v>
      </c>
      <c r="I3128" s="12">
        <f>(PrincipalesVariables[[#This Row],[Dólar  mayorista]]-E3127)/E3127</f>
        <v>1.4295349984395508E-3</v>
      </c>
      <c r="J3128" s="12">
        <f>(PrincipalesVariables[[#This Row],[Reservas internacionales]]-F3127)/F3127</f>
        <v>8.2830826320323368E-3</v>
      </c>
    </row>
    <row r="3129" spans="1:10" ht="15.75" thickBot="1" x14ac:dyDescent="0.3">
      <c r="A3129" s="14">
        <v>45603</v>
      </c>
      <c r="B3129" s="15">
        <v>45603</v>
      </c>
      <c r="C3129" s="16">
        <v>26103201</v>
      </c>
      <c r="D3129" s="10">
        <f>PrincipalesVariables[[#This Row],[Base monetaria]]/1000000</f>
        <v>26.103200999999999</v>
      </c>
      <c r="E3129" s="10">
        <v>995.33</v>
      </c>
      <c r="F3129" s="11">
        <v>29668</v>
      </c>
      <c r="H3129" s="12">
        <f>(PrincipalesVariables[[#This Row],[Base monetaria]]-C3128)/C3128</f>
        <v>-2.2053145431497868E-3</v>
      </c>
      <c r="I3129" s="12">
        <f>(PrincipalesVariables[[#This Row],[Dólar  mayorista]]-E3128)/E3128</f>
        <v>5.8306107062080018E-4</v>
      </c>
      <c r="J3129" s="12">
        <f>(PrincipalesVariables[[#This Row],[Reservas internacionales]]-F3128)/F3128</f>
        <v>-2.510515247108307E-2</v>
      </c>
    </row>
    <row r="3130" spans="1:10" ht="15.75" thickBot="1" x14ac:dyDescent="0.3">
      <c r="A3130" s="14">
        <v>45604</v>
      </c>
      <c r="B3130" s="15">
        <v>45604</v>
      </c>
      <c r="C3130" s="16">
        <v>25776705</v>
      </c>
      <c r="D3130" s="10">
        <f>PrincipalesVariables[[#This Row],[Base monetaria]]/1000000</f>
        <v>25.776705</v>
      </c>
      <c r="E3130" s="10">
        <v>997.25</v>
      </c>
      <c r="F3130" s="11">
        <v>29838</v>
      </c>
      <c r="H3130" s="12">
        <f>(PrincipalesVariables[[#This Row],[Base monetaria]]-C3129)/C3129</f>
        <v>-1.2507891273564496E-2</v>
      </c>
      <c r="I3130" s="12">
        <f>(PrincipalesVariables[[#This Row],[Dólar  mayorista]]-E3129)/E3129</f>
        <v>1.9290084695527704E-3</v>
      </c>
      <c r="J3130" s="12">
        <f>(PrincipalesVariables[[#This Row],[Reservas internacionales]]-F3129)/F3129</f>
        <v>5.7300795469866521E-3</v>
      </c>
    </row>
    <row r="3131" spans="1:10" ht="15.75" thickBot="1" x14ac:dyDescent="0.3">
      <c r="A3131" s="14">
        <v>45607</v>
      </c>
      <c r="B3131" s="15">
        <v>45607</v>
      </c>
      <c r="C3131" s="16">
        <v>25849707</v>
      </c>
      <c r="D3131" s="10">
        <f>PrincipalesVariables[[#This Row],[Base monetaria]]/1000000</f>
        <v>25.849706999999999</v>
      </c>
      <c r="E3131" s="10">
        <v>997.75</v>
      </c>
      <c r="F3131" s="11">
        <v>29859</v>
      </c>
      <c r="H3131" s="12">
        <f>(PrincipalesVariables[[#This Row],[Base monetaria]]-C3130)/C3130</f>
        <v>2.8320919993459212E-3</v>
      </c>
      <c r="I3131" s="12">
        <f>(PrincipalesVariables[[#This Row],[Dólar  mayorista]]-E3130)/E3130</f>
        <v>5.0137879167711202E-4</v>
      </c>
      <c r="J3131" s="12">
        <f>(PrincipalesVariables[[#This Row],[Reservas internacionales]]-F3130)/F3130</f>
        <v>7.038005228232455E-4</v>
      </c>
    </row>
    <row r="3132" spans="1:10" ht="15.75" thickBot="1" x14ac:dyDescent="0.3">
      <c r="A3132" s="14">
        <v>45608</v>
      </c>
      <c r="B3132" s="15">
        <v>45608</v>
      </c>
      <c r="C3132" s="16">
        <v>25178421</v>
      </c>
      <c r="D3132" s="10">
        <f>PrincipalesVariables[[#This Row],[Base monetaria]]/1000000</f>
        <v>25.178421</v>
      </c>
      <c r="E3132" s="10">
        <v>998.75</v>
      </c>
      <c r="F3132" s="11">
        <v>29962</v>
      </c>
      <c r="H3132" s="12">
        <f>(PrincipalesVariables[[#This Row],[Base monetaria]]-C3131)/C3131</f>
        <v>-2.5968804984907567E-2</v>
      </c>
      <c r="I3132" s="12">
        <f>(PrincipalesVariables[[#This Row],[Dólar  mayorista]]-E3131)/E3131</f>
        <v>1.0022550739163117E-3</v>
      </c>
      <c r="J3132" s="12">
        <f>(PrincipalesVariables[[#This Row],[Reservas internacionales]]-F3131)/F3131</f>
        <v>3.4495462004755684E-3</v>
      </c>
    </row>
    <row r="3133" spans="1:10" ht="15.75" thickBot="1" x14ac:dyDescent="0.3">
      <c r="A3133" s="14">
        <v>45609</v>
      </c>
      <c r="B3133" s="15">
        <v>45609</v>
      </c>
      <c r="C3133" s="16">
        <v>25164527</v>
      </c>
      <c r="D3133" s="10">
        <f>PrincipalesVariables[[#This Row],[Base monetaria]]/1000000</f>
        <v>25.164527</v>
      </c>
      <c r="E3133" s="10">
        <v>999.25</v>
      </c>
      <c r="F3133" s="11">
        <v>30023</v>
      </c>
      <c r="H3133" s="12">
        <f>(PrincipalesVariables[[#This Row],[Base monetaria]]-C3132)/C3132</f>
        <v>-5.5182173655766574E-4</v>
      </c>
      <c r="I3133" s="12">
        <f>(PrincipalesVariables[[#This Row],[Dólar  mayorista]]-E3132)/E3132</f>
        <v>5.006257822277847E-4</v>
      </c>
      <c r="J3133" s="12">
        <f>(PrincipalesVariables[[#This Row],[Reservas internacionales]]-F3132)/F3132</f>
        <v>2.035912155396836E-3</v>
      </c>
    </row>
    <row r="3134" spans="1:10" ht="15.75" thickBot="1" x14ac:dyDescent="0.3">
      <c r="A3134" s="14">
        <v>45610</v>
      </c>
      <c r="B3134" s="15">
        <v>45610</v>
      </c>
      <c r="C3134" s="16">
        <v>25053050</v>
      </c>
      <c r="D3134" s="10">
        <f>PrincipalesVariables[[#This Row],[Base monetaria]]/1000000</f>
        <v>25.053049999999999</v>
      </c>
      <c r="E3134" s="10">
        <v>999.75</v>
      </c>
      <c r="F3134" s="11">
        <v>30193</v>
      </c>
      <c r="H3134" s="12">
        <f>(PrincipalesVariables[[#This Row],[Base monetaria]]-C3133)/C3133</f>
        <v>-4.4299263006215058E-3</v>
      </c>
      <c r="I3134" s="12">
        <f>(PrincipalesVariables[[#This Row],[Dólar  mayorista]]-E3133)/E3133</f>
        <v>5.0037528146109581E-4</v>
      </c>
      <c r="J3134" s="12">
        <f>(PrincipalesVariables[[#This Row],[Reservas internacionales]]-F3133)/F3133</f>
        <v>5.6623255504113512E-3</v>
      </c>
    </row>
    <row r="3135" spans="1:10" ht="15.75" thickBot="1" x14ac:dyDescent="0.3">
      <c r="A3135" s="14">
        <v>45611</v>
      </c>
      <c r="B3135" s="15">
        <v>45611</v>
      </c>
      <c r="C3135" s="16">
        <v>24895472</v>
      </c>
      <c r="D3135" s="10">
        <f>PrincipalesVariables[[#This Row],[Base monetaria]]/1000000</f>
        <v>24.895472000000002</v>
      </c>
      <c r="E3135" s="10">
        <v>1002.75</v>
      </c>
      <c r="F3135" s="11">
        <v>29878</v>
      </c>
      <c r="H3135" s="12">
        <f>(PrincipalesVariables[[#This Row],[Base monetaria]]-C3134)/C3134</f>
        <v>-6.2897731014786625E-3</v>
      </c>
      <c r="I3135" s="12">
        <f>(PrincipalesVariables[[#This Row],[Dólar  mayorista]]-E3134)/E3134</f>
        <v>3.0007501875468868E-3</v>
      </c>
      <c r="J3135" s="12">
        <f>(PrincipalesVariables[[#This Row],[Reservas internacionales]]-F3134)/F3134</f>
        <v>-1.0432881793793264E-2</v>
      </c>
    </row>
    <row r="3136" spans="1:10" ht="15.75" thickBot="1" x14ac:dyDescent="0.3">
      <c r="A3136" s="14">
        <v>45615</v>
      </c>
      <c r="B3136" s="15">
        <v>45615</v>
      </c>
      <c r="C3136" s="16">
        <v>23943879</v>
      </c>
      <c r="D3136" s="10">
        <f>PrincipalesVariables[[#This Row],[Base monetaria]]/1000000</f>
        <v>23.943878999999999</v>
      </c>
      <c r="E3136" s="10">
        <v>1003.25</v>
      </c>
      <c r="F3136" s="11">
        <v>30274</v>
      </c>
      <c r="H3136" s="12">
        <f>(PrincipalesVariables[[#This Row],[Base monetaria]]-C3135)/C3135</f>
        <v>-3.8223537195840269E-2</v>
      </c>
      <c r="I3136" s="12">
        <f>(PrincipalesVariables[[#This Row],[Dólar  mayorista]]-E3135)/E3135</f>
        <v>4.9862877088007981E-4</v>
      </c>
      <c r="J3136" s="12">
        <f>(PrincipalesVariables[[#This Row],[Reservas internacionales]]-F3135)/F3135</f>
        <v>1.3253899190039494E-2</v>
      </c>
    </row>
    <row r="3137" spans="1:10" ht="15.75" thickBot="1" x14ac:dyDescent="0.3">
      <c r="A3137" s="14">
        <v>45616</v>
      </c>
      <c r="B3137" s="15">
        <v>45616</v>
      </c>
      <c r="C3137" s="16">
        <v>23983132</v>
      </c>
      <c r="D3137" s="10">
        <f>PrincipalesVariables[[#This Row],[Base monetaria]]/1000000</f>
        <v>23.983132000000001</v>
      </c>
      <c r="E3137" s="10">
        <v>1003.75</v>
      </c>
      <c r="F3137" s="11">
        <v>30494</v>
      </c>
      <c r="H3137" s="12">
        <f>(PrincipalesVariables[[#This Row],[Base monetaria]]-C3136)/C3136</f>
        <v>1.6393751405108588E-3</v>
      </c>
      <c r="I3137" s="12">
        <f>(PrincipalesVariables[[#This Row],[Dólar  mayorista]]-E3136)/E3136</f>
        <v>4.9838026414154E-4</v>
      </c>
      <c r="J3137" s="12">
        <f>(PrincipalesVariables[[#This Row],[Reservas internacionales]]-F3136)/F3136</f>
        <v>7.2669617493558826E-3</v>
      </c>
    </row>
    <row r="3138" spans="1:10" ht="15.75" thickBot="1" x14ac:dyDescent="0.3">
      <c r="A3138" s="14">
        <v>45617</v>
      </c>
      <c r="B3138" s="15">
        <v>45617</v>
      </c>
      <c r="C3138" s="16">
        <v>23824206</v>
      </c>
      <c r="D3138" s="10">
        <f>PrincipalesVariables[[#This Row],[Base monetaria]]/1000000</f>
        <v>23.824206</v>
      </c>
      <c r="E3138" s="10">
        <v>1004.75</v>
      </c>
      <c r="F3138" s="11">
        <v>30845</v>
      </c>
      <c r="H3138" s="12">
        <f>(PrincipalesVariables[[#This Row],[Base monetaria]]-C3137)/C3137</f>
        <v>-6.626574043790444E-3</v>
      </c>
      <c r="I3138" s="12">
        <f>(PrincipalesVariables[[#This Row],[Dólar  mayorista]]-E3137)/E3137</f>
        <v>9.9626400996264005E-4</v>
      </c>
      <c r="J3138" s="12">
        <f>(PrincipalesVariables[[#This Row],[Reservas internacionales]]-F3137)/F3137</f>
        <v>1.15104610743097E-2</v>
      </c>
    </row>
    <row r="3139" spans="1:10" ht="15.75" thickBot="1" x14ac:dyDescent="0.3">
      <c r="A3139" s="14">
        <v>45618</v>
      </c>
      <c r="B3139" s="15">
        <v>45618</v>
      </c>
      <c r="C3139" s="16">
        <v>24046457</v>
      </c>
      <c r="D3139" s="10">
        <f>PrincipalesVariables[[#This Row],[Base monetaria]]/1000000</f>
        <v>24.046457</v>
      </c>
      <c r="E3139" s="10">
        <v>1006.75</v>
      </c>
      <c r="F3139" s="11">
        <v>30874</v>
      </c>
      <c r="H3139" s="12">
        <f>(PrincipalesVariables[[#This Row],[Base monetaria]]-C3138)/C3138</f>
        <v>9.3287893833691668E-3</v>
      </c>
      <c r="I3139" s="12">
        <f>(PrincipalesVariables[[#This Row],[Dólar  mayorista]]-E3138)/E3138</f>
        <v>1.9905449116695696E-3</v>
      </c>
      <c r="J3139" s="12">
        <f>(PrincipalesVariables[[#This Row],[Reservas internacionales]]-F3138)/F3138</f>
        <v>9.4018479494245425E-4</v>
      </c>
    </row>
    <row r="3140" spans="1:10" ht="15.75" thickBot="1" x14ac:dyDescent="0.3">
      <c r="A3140" s="14">
        <v>45621</v>
      </c>
      <c r="B3140" s="15">
        <v>45621</v>
      </c>
      <c r="C3140" s="16">
        <v>23330887</v>
      </c>
      <c r="D3140" s="10">
        <f>PrincipalesVariables[[#This Row],[Base monetaria]]/1000000</f>
        <v>23.330887000000001</v>
      </c>
      <c r="E3140" s="10">
        <v>1007.25</v>
      </c>
      <c r="F3140" s="11">
        <v>30879</v>
      </c>
      <c r="H3140" s="12">
        <f>(PrincipalesVariables[[#This Row],[Base monetaria]]-C3139)/C3139</f>
        <v>-2.9757814217703672E-2</v>
      </c>
      <c r="I3140" s="12">
        <f>(PrincipalesVariables[[#This Row],[Dólar  mayorista]]-E3139)/E3139</f>
        <v>4.9664762850757391E-4</v>
      </c>
      <c r="J3140" s="12">
        <f>(PrincipalesVariables[[#This Row],[Reservas internacionales]]-F3139)/F3139</f>
        <v>1.6194856513571289E-4</v>
      </c>
    </row>
    <row r="3141" spans="1:10" ht="15.75" thickBot="1" x14ac:dyDescent="0.3">
      <c r="A3141" s="14">
        <v>45622</v>
      </c>
      <c r="B3141" s="15">
        <v>45622</v>
      </c>
      <c r="C3141" s="16">
        <v>23317994</v>
      </c>
      <c r="D3141" s="10">
        <f>PrincipalesVariables[[#This Row],[Base monetaria]]/1000000</f>
        <v>23.317993999999999</v>
      </c>
      <c r="E3141" s="10">
        <v>1007.75</v>
      </c>
      <c r="F3141" s="11">
        <v>30928</v>
      </c>
      <c r="H3141" s="12">
        <f>(PrincipalesVariables[[#This Row],[Base monetaria]]-C3140)/C3140</f>
        <v>-5.526150806010933E-4</v>
      </c>
      <c r="I3141" s="12">
        <f>(PrincipalesVariables[[#This Row],[Dólar  mayorista]]-E3140)/E3140</f>
        <v>4.9640109208240262E-4</v>
      </c>
      <c r="J3141" s="12">
        <f>(PrincipalesVariables[[#This Row],[Reservas internacionales]]-F3140)/F3140</f>
        <v>1.5868389520386024E-3</v>
      </c>
    </row>
    <row r="3142" spans="1:10" ht="15.75" thickBot="1" x14ac:dyDescent="0.3">
      <c r="A3142" s="14">
        <v>45623</v>
      </c>
      <c r="B3142" s="15">
        <v>45623</v>
      </c>
      <c r="C3142" s="16">
        <v>23369574</v>
      </c>
      <c r="D3142" s="10">
        <f>PrincipalesVariables[[#This Row],[Base monetaria]]/1000000</f>
        <v>23.369574</v>
      </c>
      <c r="E3142" s="10">
        <v>1008.75</v>
      </c>
      <c r="F3142" s="11">
        <v>31484</v>
      </c>
      <c r="H3142" s="12">
        <f>(PrincipalesVariables[[#This Row],[Base monetaria]]-C3141)/C3141</f>
        <v>2.2120256142102103E-3</v>
      </c>
      <c r="I3142" s="12">
        <f>(PrincipalesVariables[[#This Row],[Dólar  mayorista]]-E3141)/E3141</f>
        <v>9.9230960059538574E-4</v>
      </c>
      <c r="J3142" s="12">
        <f>(PrincipalesVariables[[#This Row],[Reservas internacionales]]-F3141)/F3141</f>
        <v>1.7977237454733574E-2</v>
      </c>
    </row>
    <row r="3143" spans="1:10" ht="15.75" thickBot="1" x14ac:dyDescent="0.3">
      <c r="A3143" s="14">
        <v>45624</v>
      </c>
      <c r="B3143" s="15">
        <v>45624</v>
      </c>
      <c r="C3143" s="16">
        <v>23995936</v>
      </c>
      <c r="D3143" s="10">
        <f>PrincipalesVariables[[#This Row],[Base monetaria]]/1000000</f>
        <v>23.995936</v>
      </c>
      <c r="E3143" s="10">
        <v>1009.25</v>
      </c>
      <c r="F3143" s="11">
        <v>31637</v>
      </c>
      <c r="H3143" s="12">
        <f>(PrincipalesVariables[[#This Row],[Base monetaria]]-C3142)/C3142</f>
        <v>2.6802456904006892E-2</v>
      </c>
      <c r="I3143" s="12">
        <f>(PrincipalesVariables[[#This Row],[Dólar  mayorista]]-E3142)/E3142</f>
        <v>4.9566294919454773E-4</v>
      </c>
      <c r="J3143" s="12">
        <f>(PrincipalesVariables[[#This Row],[Reservas internacionales]]-F3142)/F3142</f>
        <v>4.8596112311015119E-3</v>
      </c>
    </row>
    <row r="3144" spans="1:10" ht="15.75" thickBot="1" x14ac:dyDescent="0.3">
      <c r="A3144" s="14">
        <v>45625</v>
      </c>
      <c r="B3144" s="15">
        <v>45625</v>
      </c>
      <c r="C3144" s="16">
        <v>23823912</v>
      </c>
      <c r="D3144" s="10">
        <f>PrincipalesVariables[[#This Row],[Base monetaria]]/1000000</f>
        <v>23.823912</v>
      </c>
      <c r="E3144" s="10">
        <v>1011.75</v>
      </c>
      <c r="F3144" s="11">
        <v>30214</v>
      </c>
      <c r="H3144" s="12">
        <f>(PrincipalesVariables[[#This Row],[Base monetaria]]-C3143)/C3143</f>
        <v>-7.1688805971144446E-3</v>
      </c>
      <c r="I3144" s="12">
        <f>(PrincipalesVariables[[#This Row],[Dólar  mayorista]]-E3143)/E3143</f>
        <v>2.4770869457517958E-3</v>
      </c>
      <c r="J3144" s="12">
        <f>(PrincipalesVariables[[#This Row],[Reservas internacionales]]-F3143)/F3143</f>
        <v>-4.4978980307867372E-2</v>
      </c>
    </row>
    <row r="3145" spans="1:10" ht="15.75" thickBot="1" x14ac:dyDescent="0.3">
      <c r="A3145" s="14">
        <v>45628</v>
      </c>
      <c r="B3145" s="15">
        <v>45628</v>
      </c>
      <c r="C3145" s="16">
        <v>25014750</v>
      </c>
      <c r="D3145" s="10">
        <f>PrincipalesVariables[[#This Row],[Base monetaria]]/1000000</f>
        <v>25.014749999999999</v>
      </c>
      <c r="E3145" s="10">
        <v>1011.92</v>
      </c>
      <c r="F3145" s="11">
        <v>31314</v>
      </c>
      <c r="H3145" s="12">
        <f>(PrincipalesVariables[[#This Row],[Base monetaria]]-C3144)/C3144</f>
        <v>4.9984989870681187E-2</v>
      </c>
      <c r="I3145" s="12">
        <f>(PrincipalesVariables[[#This Row],[Dólar  mayorista]]-E3144)/E3144</f>
        <v>1.6802569804789629E-4</v>
      </c>
      <c r="J3145" s="12">
        <f>(PrincipalesVariables[[#This Row],[Reservas internacionales]]-F3144)/F3144</f>
        <v>3.6406963659230823E-2</v>
      </c>
    </row>
    <row r="3146" spans="1:10" ht="15.75" thickBot="1" x14ac:dyDescent="0.3">
      <c r="A3146" s="14">
        <v>45629</v>
      </c>
      <c r="B3146" s="15">
        <v>45629</v>
      </c>
      <c r="C3146" s="16">
        <v>26447592</v>
      </c>
      <c r="D3146" s="10">
        <f>PrincipalesVariables[[#This Row],[Base monetaria]]/1000000</f>
        <v>26.447592</v>
      </c>
      <c r="E3146" s="10">
        <v>1013.17</v>
      </c>
      <c r="F3146" s="11">
        <v>31240</v>
      </c>
      <c r="H3146" s="12">
        <f>(PrincipalesVariables[[#This Row],[Base monetaria]]-C3145)/C3145</f>
        <v>5.727988486792792E-2</v>
      </c>
      <c r="I3146" s="12">
        <f>(PrincipalesVariables[[#This Row],[Dólar  mayorista]]-E3145)/E3145</f>
        <v>1.2352755158510555E-3</v>
      </c>
      <c r="J3146" s="12">
        <f>(PrincipalesVariables[[#This Row],[Reservas internacionales]]-F3145)/F3145</f>
        <v>-2.3631602478124802E-3</v>
      </c>
    </row>
    <row r="3147" spans="1:10" ht="15.75" thickBot="1" x14ac:dyDescent="0.3">
      <c r="A3147" s="14">
        <v>45630</v>
      </c>
      <c r="B3147" s="15">
        <v>45630</v>
      </c>
      <c r="C3147" s="16">
        <v>26380776</v>
      </c>
      <c r="D3147" s="10">
        <f>PrincipalesVariables[[#This Row],[Base monetaria]]/1000000</f>
        <v>26.380776000000001</v>
      </c>
      <c r="E3147" s="10">
        <v>1013.25</v>
      </c>
      <c r="F3147" s="11">
        <v>31266</v>
      </c>
      <c r="H3147" s="12">
        <f>(PrincipalesVariables[[#This Row],[Base monetaria]]-C3146)/C3146</f>
        <v>-2.5263547622785469E-3</v>
      </c>
      <c r="I3147" s="12">
        <f>(PrincipalesVariables[[#This Row],[Dólar  mayorista]]-E3146)/E3146</f>
        <v>7.8960095541756001E-5</v>
      </c>
      <c r="J3147" s="12">
        <f>(PrincipalesVariables[[#This Row],[Reservas internacionales]]-F3146)/F3146</f>
        <v>8.3226632522407165E-4</v>
      </c>
    </row>
    <row r="3148" spans="1:10" ht="15.75" thickBot="1" x14ac:dyDescent="0.3">
      <c r="A3148" s="14">
        <v>45631</v>
      </c>
      <c r="B3148" s="15">
        <v>45631</v>
      </c>
      <c r="C3148" s="16">
        <v>26449915</v>
      </c>
      <c r="D3148" s="10">
        <f>PrincipalesVariables[[#This Row],[Base monetaria]]/1000000</f>
        <v>26.449915000000001</v>
      </c>
      <c r="E3148" s="10">
        <v>1013.83</v>
      </c>
      <c r="F3148" s="11">
        <v>31534</v>
      </c>
      <c r="H3148" s="12">
        <f>(PrincipalesVariables[[#This Row],[Base monetaria]]-C3147)/C3147</f>
        <v>2.6208099412996797E-3</v>
      </c>
      <c r="I3148" s="12">
        <f>(PrincipalesVariables[[#This Row],[Dólar  mayorista]]-E3147)/E3147</f>
        <v>5.7241549469532783E-4</v>
      </c>
      <c r="J3148" s="12">
        <f>(PrincipalesVariables[[#This Row],[Reservas internacionales]]-F3147)/F3147</f>
        <v>8.5716113349964818E-3</v>
      </c>
    </row>
    <row r="3149" spans="1:10" ht="15.75" thickBot="1" x14ac:dyDescent="0.3">
      <c r="A3149" s="14">
        <v>45632</v>
      </c>
      <c r="B3149" s="15">
        <v>45632</v>
      </c>
      <c r="C3149" s="16">
        <v>26939894</v>
      </c>
      <c r="D3149" s="10">
        <f>PrincipalesVariables[[#This Row],[Base monetaria]]/1000000</f>
        <v>26.939893999999999</v>
      </c>
      <c r="E3149" s="10">
        <v>1015.75</v>
      </c>
      <c r="F3149" s="11">
        <v>31531</v>
      </c>
      <c r="H3149" s="12">
        <f>(PrincipalesVariables[[#This Row],[Base monetaria]]-C3148)/C3148</f>
        <v>1.8524785429367165E-2</v>
      </c>
      <c r="I3149" s="12">
        <f>(PrincipalesVariables[[#This Row],[Dólar  mayorista]]-E3148)/E3148</f>
        <v>1.8938086266927976E-3</v>
      </c>
      <c r="J3149" s="12">
        <f>(PrincipalesVariables[[#This Row],[Reservas internacionales]]-F3148)/F3148</f>
        <v>-9.5135409399378442E-5</v>
      </c>
    </row>
    <row r="3150" spans="1:10" ht="15.75" thickBot="1" x14ac:dyDescent="0.3">
      <c r="A3150" s="14">
        <v>45635</v>
      </c>
      <c r="B3150" s="15">
        <v>45635</v>
      </c>
      <c r="C3150" s="16">
        <v>27216853</v>
      </c>
      <c r="D3150" s="10">
        <f>PrincipalesVariables[[#This Row],[Base monetaria]]/1000000</f>
        <v>27.216853</v>
      </c>
      <c r="E3150" s="10">
        <v>1016.75</v>
      </c>
      <c r="F3150" s="11">
        <v>31512</v>
      </c>
      <c r="H3150" s="12">
        <f>(PrincipalesVariables[[#This Row],[Base monetaria]]-C3149)/C3149</f>
        <v>1.0280626939363607E-2</v>
      </c>
      <c r="I3150" s="12">
        <f>(PrincipalesVariables[[#This Row],[Dólar  mayorista]]-E3149)/E3149</f>
        <v>9.8449421609648037E-4</v>
      </c>
      <c r="J3150" s="12">
        <f>(PrincipalesVariables[[#This Row],[Reservas internacionales]]-F3149)/F3149</f>
        <v>-6.0258158637531314E-4</v>
      </c>
    </row>
    <row r="3151" spans="1:10" ht="15.75" thickBot="1" x14ac:dyDescent="0.3">
      <c r="A3151" s="14">
        <v>45636</v>
      </c>
      <c r="B3151" s="15">
        <v>45636</v>
      </c>
      <c r="C3151" s="16">
        <v>26867862</v>
      </c>
      <c r="D3151" s="10">
        <f>PrincipalesVariables[[#This Row],[Base monetaria]]/1000000</f>
        <v>26.867861999999999</v>
      </c>
      <c r="E3151" s="10">
        <v>1017.25</v>
      </c>
      <c r="F3151" s="11">
        <v>31619</v>
      </c>
      <c r="H3151" s="12">
        <f>(PrincipalesVariables[[#This Row],[Base monetaria]]-C3150)/C3150</f>
        <v>-1.2822606640084363E-2</v>
      </c>
      <c r="I3151" s="12">
        <f>(PrincipalesVariables[[#This Row],[Dólar  mayorista]]-E3150)/E3150</f>
        <v>4.917629702483403E-4</v>
      </c>
      <c r="J3151" s="12">
        <f>(PrincipalesVariables[[#This Row],[Reservas internacionales]]-F3150)/F3150</f>
        <v>3.3955318608783957E-3</v>
      </c>
    </row>
    <row r="3152" spans="1:10" ht="15.75" thickBot="1" x14ac:dyDescent="0.3">
      <c r="A3152" s="14">
        <v>45637</v>
      </c>
      <c r="B3152" s="15">
        <v>45637</v>
      </c>
      <c r="C3152" s="16">
        <v>27161741</v>
      </c>
      <c r="D3152" s="10">
        <f>PrincipalesVariables[[#This Row],[Base monetaria]]/1000000</f>
        <v>27.161740999999999</v>
      </c>
      <c r="E3152" s="10">
        <v>1017.75</v>
      </c>
      <c r="F3152" s="11">
        <v>31988</v>
      </c>
      <c r="H3152" s="12">
        <f>(PrincipalesVariables[[#This Row],[Base monetaria]]-C3151)/C3151</f>
        <v>1.0937937674385851E-2</v>
      </c>
      <c r="I3152" s="12">
        <f>(PrincipalesVariables[[#This Row],[Dólar  mayorista]]-E3151)/E3151</f>
        <v>4.915212582944212E-4</v>
      </c>
      <c r="J3152" s="12">
        <f>(PrincipalesVariables[[#This Row],[Reservas internacionales]]-F3151)/F3151</f>
        <v>1.1670198298491414E-2</v>
      </c>
    </row>
    <row r="3153" spans="1:10" ht="15.75" thickBot="1" x14ac:dyDescent="0.3">
      <c r="A3153" s="14">
        <v>45638</v>
      </c>
      <c r="B3153" s="15">
        <v>45638</v>
      </c>
      <c r="C3153" s="16">
        <v>27226652</v>
      </c>
      <c r="D3153" s="10">
        <f>PrincipalesVariables[[#This Row],[Base monetaria]]/1000000</f>
        <v>27.226652000000001</v>
      </c>
      <c r="E3153" s="10">
        <v>1018.75</v>
      </c>
      <c r="F3153" s="11">
        <v>31849</v>
      </c>
      <c r="H3153" s="12">
        <f>(PrincipalesVariables[[#This Row],[Base monetaria]]-C3152)/C3152</f>
        <v>2.3897952638602953E-3</v>
      </c>
      <c r="I3153" s="12">
        <f>(PrincipalesVariables[[#This Row],[Dólar  mayorista]]-E3152)/E3152</f>
        <v>9.8255956767379017E-4</v>
      </c>
      <c r="J3153" s="12">
        <f>(PrincipalesVariables[[#This Row],[Reservas internacionales]]-F3152)/F3152</f>
        <v>-4.3453795173189948E-3</v>
      </c>
    </row>
    <row r="3154" spans="1:10" ht="15.75" thickBot="1" x14ac:dyDescent="0.3">
      <c r="A3154" s="14">
        <v>45639</v>
      </c>
      <c r="B3154" s="15">
        <v>45639</v>
      </c>
      <c r="C3154" s="16">
        <v>28040059</v>
      </c>
      <c r="D3154" s="10">
        <f>PrincipalesVariables[[#This Row],[Base monetaria]]/1000000</f>
        <v>28.040058999999999</v>
      </c>
      <c r="E3154" s="10">
        <v>1020.75</v>
      </c>
      <c r="F3154" s="11">
        <v>31937</v>
      </c>
      <c r="H3154" s="12">
        <f>(PrincipalesVariables[[#This Row],[Base monetaria]]-C3153)/C3153</f>
        <v>2.9875395623376683E-2</v>
      </c>
      <c r="I3154" s="12">
        <f>(PrincipalesVariables[[#This Row],[Dólar  mayorista]]-E3153)/E3153</f>
        <v>1.9631901840490799E-3</v>
      </c>
      <c r="J3154" s="12">
        <f>(PrincipalesVariables[[#This Row],[Reservas internacionales]]-F3153)/F3153</f>
        <v>2.7630380859681621E-3</v>
      </c>
    </row>
    <row r="3155" spans="1:10" ht="15.75" thickBot="1" x14ac:dyDescent="0.3">
      <c r="A3155" s="14">
        <v>45642</v>
      </c>
      <c r="B3155" s="15">
        <v>45642</v>
      </c>
      <c r="C3155" s="16">
        <v>28000252</v>
      </c>
      <c r="D3155" s="10">
        <f>PrincipalesVariables[[#This Row],[Base monetaria]]/1000000</f>
        <v>28.000252</v>
      </c>
      <c r="E3155" s="10">
        <v>1021.25</v>
      </c>
      <c r="F3155" s="11">
        <v>31744</v>
      </c>
      <c r="H3155" s="12">
        <f>(PrincipalesVariables[[#This Row],[Base monetaria]]-C3154)/C3154</f>
        <v>-1.419647512153951E-3</v>
      </c>
      <c r="I3155" s="12">
        <f>(PrincipalesVariables[[#This Row],[Dólar  mayorista]]-E3154)/E3154</f>
        <v>4.8983590497183444E-4</v>
      </c>
      <c r="J3155" s="12">
        <f>(PrincipalesVariables[[#This Row],[Reservas internacionales]]-F3154)/F3154</f>
        <v>-6.0431474465353664E-3</v>
      </c>
    </row>
    <row r="3156" spans="1:10" ht="15.75" thickBot="1" x14ac:dyDescent="0.3">
      <c r="A3156" s="14">
        <v>45643</v>
      </c>
      <c r="B3156" s="15">
        <v>45643</v>
      </c>
      <c r="C3156" s="16">
        <v>27719282</v>
      </c>
      <c r="D3156" s="10">
        <f>PrincipalesVariables[[#This Row],[Base monetaria]]/1000000</f>
        <v>27.719282</v>
      </c>
      <c r="E3156" s="10">
        <v>1021.83</v>
      </c>
      <c r="F3156" s="11">
        <v>32257</v>
      </c>
      <c r="H3156" s="12">
        <f>(PrincipalesVariables[[#This Row],[Base monetaria]]-C3155)/C3155</f>
        <v>-1.0034552546169941E-2</v>
      </c>
      <c r="I3156" s="12">
        <f>(PrincipalesVariables[[#This Row],[Dólar  mayorista]]-E3155)/E3155</f>
        <v>5.6793145654838767E-4</v>
      </c>
      <c r="J3156" s="12">
        <f>(PrincipalesVariables[[#This Row],[Reservas internacionales]]-F3155)/F3155</f>
        <v>1.6160534274193547E-2</v>
      </c>
    </row>
    <row r="3157" spans="1:10" ht="15.75" thickBot="1" x14ac:dyDescent="0.3">
      <c r="A3157" s="14">
        <v>45644</v>
      </c>
      <c r="B3157" s="15">
        <v>45644</v>
      </c>
      <c r="C3157" s="16">
        <v>27711731</v>
      </c>
      <c r="D3157" s="10">
        <f>PrincipalesVariables[[#This Row],[Base monetaria]]/1000000</f>
        <v>27.711731</v>
      </c>
      <c r="E3157" s="10">
        <v>1022.75</v>
      </c>
      <c r="F3157" s="11">
        <v>32255</v>
      </c>
      <c r="H3157" s="12">
        <f>(PrincipalesVariables[[#This Row],[Base monetaria]]-C3156)/C3156</f>
        <v>-2.7240965332363227E-4</v>
      </c>
      <c r="I3157" s="12">
        <f>(PrincipalesVariables[[#This Row],[Dólar  mayorista]]-E3156)/E3156</f>
        <v>9.0034545863789382E-4</v>
      </c>
      <c r="J3157" s="12">
        <f>(PrincipalesVariables[[#This Row],[Reservas internacionales]]-F3156)/F3156</f>
        <v>-6.2002046067520235E-5</v>
      </c>
    </row>
    <row r="3158" spans="1:10" ht="15.75" thickBot="1" x14ac:dyDescent="0.3">
      <c r="A3158" s="14">
        <v>45645</v>
      </c>
      <c r="B3158" s="15">
        <v>45645</v>
      </c>
      <c r="C3158" s="16">
        <v>27743826</v>
      </c>
      <c r="D3158" s="10">
        <f>PrincipalesVariables[[#This Row],[Base monetaria]]/1000000</f>
        <v>27.743825999999999</v>
      </c>
      <c r="E3158" s="10">
        <v>1023.25</v>
      </c>
      <c r="F3158" s="11">
        <v>32243</v>
      </c>
      <c r="H3158" s="12">
        <f>(PrincipalesVariables[[#This Row],[Base monetaria]]-C3157)/C3157</f>
        <v>1.1581737712451092E-3</v>
      </c>
      <c r="I3158" s="12">
        <f>(PrincipalesVariables[[#This Row],[Dólar  mayorista]]-E3157)/E3157</f>
        <v>4.8887802493277925E-4</v>
      </c>
      <c r="J3158" s="12">
        <f>(PrincipalesVariables[[#This Row],[Reservas internacionales]]-F3157)/F3157</f>
        <v>-3.7203534335761897E-4</v>
      </c>
    </row>
    <row r="3159" spans="1:10" ht="15.75" thickBot="1" x14ac:dyDescent="0.3">
      <c r="A3159" s="14">
        <v>45646</v>
      </c>
      <c r="B3159" s="15">
        <v>45646</v>
      </c>
      <c r="C3159" s="16">
        <v>28395764</v>
      </c>
      <c r="D3159" s="10">
        <f>PrincipalesVariables[[#This Row],[Base monetaria]]/1000000</f>
        <v>28.395764</v>
      </c>
      <c r="E3159" s="10">
        <v>1025.42</v>
      </c>
      <c r="F3159" s="11">
        <v>32864</v>
      </c>
      <c r="H3159" s="12">
        <f>(PrincipalesVariables[[#This Row],[Base monetaria]]-C3158)/C3158</f>
        <v>2.3498489357596172E-2</v>
      </c>
      <c r="I3159" s="12">
        <f>(PrincipalesVariables[[#This Row],[Dólar  mayorista]]-E3158)/E3158</f>
        <v>2.1206938675788641E-3</v>
      </c>
      <c r="J3159" s="12">
        <f>(PrincipalesVariables[[#This Row],[Reservas internacionales]]-F3158)/F3158</f>
        <v>1.9259994417392921E-2</v>
      </c>
    </row>
    <row r="3160" spans="1:10" ht="15.75" thickBot="1" x14ac:dyDescent="0.3">
      <c r="A3160" s="14">
        <v>45649</v>
      </c>
      <c r="B3160" s="15">
        <v>45649</v>
      </c>
      <c r="C3160" s="16">
        <v>28371966</v>
      </c>
      <c r="D3160" s="10">
        <f>PrincipalesVariables[[#This Row],[Base monetaria]]/1000000</f>
        <v>28.371966</v>
      </c>
      <c r="E3160" s="10">
        <v>1027.75</v>
      </c>
      <c r="F3160" s="11">
        <v>32688</v>
      </c>
      <c r="H3160" s="12">
        <f>(PrincipalesVariables[[#This Row],[Base monetaria]]-C3159)/C3159</f>
        <v>-8.3808275065252688E-4</v>
      </c>
      <c r="I3160" s="12">
        <f>(PrincipalesVariables[[#This Row],[Dólar  mayorista]]-E3159)/E3159</f>
        <v>2.272239667648307E-3</v>
      </c>
      <c r="J3160" s="12">
        <f>(PrincipalesVariables[[#This Row],[Reservas internacionales]]-F3159)/F3159</f>
        <v>-5.3554040895813044E-3</v>
      </c>
    </row>
    <row r="3161" spans="1:10" ht="15.75" thickBot="1" x14ac:dyDescent="0.3">
      <c r="A3161" s="14">
        <v>45652</v>
      </c>
      <c r="B3161" s="15">
        <v>45652</v>
      </c>
      <c r="C3161" s="16">
        <v>27902229</v>
      </c>
      <c r="D3161" s="10">
        <f>PrincipalesVariables[[#This Row],[Base monetaria]]/1000000</f>
        <v>27.902228999999998</v>
      </c>
      <c r="E3161" s="10">
        <v>1029</v>
      </c>
      <c r="F3161" s="11">
        <v>32413</v>
      </c>
      <c r="H3161" s="12">
        <f>(PrincipalesVariables[[#This Row],[Base monetaria]]-C3160)/C3160</f>
        <v>-1.6556378222080205E-2</v>
      </c>
      <c r="I3161" s="12">
        <f>(PrincipalesVariables[[#This Row],[Dólar  mayorista]]-E3160)/E3160</f>
        <v>1.2162490878131842E-3</v>
      </c>
      <c r="J3161" s="12">
        <f>(PrincipalesVariables[[#This Row],[Reservas internacionales]]-F3160)/F3160</f>
        <v>-8.4128732256485567E-3</v>
      </c>
    </row>
    <row r="3162" spans="1:10" ht="15.75" thickBot="1" x14ac:dyDescent="0.3">
      <c r="A3162" s="14">
        <v>45653</v>
      </c>
      <c r="B3162" s="15">
        <v>45653</v>
      </c>
      <c r="C3162" s="16">
        <v>28148247</v>
      </c>
      <c r="D3162" s="10">
        <f>PrincipalesVariables[[#This Row],[Base monetaria]]/1000000</f>
        <v>28.148247000000001</v>
      </c>
      <c r="E3162" s="10">
        <v>1030.5</v>
      </c>
      <c r="F3162" s="11">
        <v>31524</v>
      </c>
      <c r="H3162" s="12">
        <f>(PrincipalesVariables[[#This Row],[Base monetaria]]-C3161)/C3161</f>
        <v>8.817145038842596E-3</v>
      </c>
      <c r="I3162" s="12">
        <f>(PrincipalesVariables[[#This Row],[Dólar  mayorista]]-E3161)/E3161</f>
        <v>1.4577259475218659E-3</v>
      </c>
      <c r="J3162" s="12">
        <f>(PrincipalesVariables[[#This Row],[Reservas internacionales]]-F3161)/F3161</f>
        <v>-2.7427266837380063E-2</v>
      </c>
    </row>
    <row r="3163" spans="1:10" ht="15.75" thickBot="1" x14ac:dyDescent="0.3">
      <c r="A3163" s="14">
        <v>45656</v>
      </c>
      <c r="B3163" s="15">
        <v>45656</v>
      </c>
      <c r="C3163" s="16">
        <v>29728575</v>
      </c>
      <c r="D3163" s="10">
        <f>PrincipalesVariables[[#This Row],[Base monetaria]]/1000000</f>
        <v>29.728574999999999</v>
      </c>
      <c r="E3163" s="10">
        <v>1032.5</v>
      </c>
      <c r="F3163" s="11">
        <v>29640</v>
      </c>
      <c r="H3163" s="12">
        <f>(PrincipalesVariables[[#This Row],[Base monetaria]]-C3162)/C3162</f>
        <v>5.61430344134752E-2</v>
      </c>
      <c r="I3163" s="12">
        <f>(PrincipalesVariables[[#This Row],[Dólar  mayorista]]-E3162)/E3162</f>
        <v>1.9408054342552159E-3</v>
      </c>
      <c r="J3163" s="12">
        <f>(PrincipalesVariables[[#This Row],[Reservas internacionales]]-F3162)/F3162</f>
        <v>-5.9763989341454132E-2</v>
      </c>
    </row>
    <row r="3164" spans="1:10" ht="15.75" thickBot="1" x14ac:dyDescent="0.3">
      <c r="A3164" s="14">
        <v>45659</v>
      </c>
      <c r="B3164" s="15">
        <v>45659</v>
      </c>
      <c r="C3164" s="16">
        <v>30977989</v>
      </c>
      <c r="D3164" s="10">
        <f>PrincipalesVariables[[#This Row],[Base monetaria]]/1000000</f>
        <v>30.977989000000001</v>
      </c>
      <c r="E3164" s="10">
        <v>1032.75</v>
      </c>
      <c r="F3164" s="11">
        <v>31706</v>
      </c>
      <c r="H3164" s="12">
        <f>(PrincipalesVariables[[#This Row],[Base monetaria]]-C3163)/C3163</f>
        <v>4.2027376017854876E-2</v>
      </c>
      <c r="I3164" s="12">
        <f>(PrincipalesVariables[[#This Row],[Dólar  mayorista]]-E3163)/E3163</f>
        <v>2.4213075060532688E-4</v>
      </c>
      <c r="J3164" s="12">
        <f>(PrincipalesVariables[[#This Row],[Reservas internacionales]]-F3163)/F3163</f>
        <v>6.9703103913630229E-2</v>
      </c>
    </row>
    <row r="3165" spans="1:10" ht="15.75" thickBot="1" x14ac:dyDescent="0.3">
      <c r="A3165" s="14">
        <v>45660</v>
      </c>
      <c r="B3165" s="15">
        <v>45660</v>
      </c>
      <c r="C3165" s="16">
        <v>31660480</v>
      </c>
      <c r="D3165" s="10">
        <f>PrincipalesVariables[[#This Row],[Base monetaria]]/1000000</f>
        <v>31.66048</v>
      </c>
      <c r="E3165" s="10">
        <v>1034.75</v>
      </c>
      <c r="F3165" s="11">
        <v>32774</v>
      </c>
      <c r="H3165" s="12">
        <f>(PrincipalesVariables[[#This Row],[Base monetaria]]-C3164)/C3164</f>
        <v>2.2031481772428804E-2</v>
      </c>
      <c r="I3165" s="12">
        <f>(PrincipalesVariables[[#This Row],[Dólar  mayorista]]-E3164)/E3164</f>
        <v>1.9365770999757927E-3</v>
      </c>
      <c r="J3165" s="12">
        <f>(PrincipalesVariables[[#This Row],[Reservas internacionales]]-F3164)/F3164</f>
        <v>3.3684476124392862E-2</v>
      </c>
    </row>
    <row r="3166" spans="1:10" ht="15.75" thickBot="1" x14ac:dyDescent="0.3">
      <c r="A3166" s="14">
        <v>45663</v>
      </c>
      <c r="B3166" s="15">
        <v>45663</v>
      </c>
      <c r="C3166" s="16">
        <v>31269417</v>
      </c>
      <c r="D3166" s="10">
        <f>PrincipalesVariables[[#This Row],[Base monetaria]]/1000000</f>
        <v>31.269417000000001</v>
      </c>
      <c r="E3166" s="10">
        <v>1035.75</v>
      </c>
      <c r="F3166" s="11">
        <v>32805</v>
      </c>
      <c r="H3166" s="12">
        <f>(PrincipalesVariables[[#This Row],[Base monetaria]]-C3165)/C3165</f>
        <v>-1.2351771040742275E-2</v>
      </c>
      <c r="I3166" s="12">
        <f>(PrincipalesVariables[[#This Row],[Dólar  mayorista]]-E3165)/E3165</f>
        <v>9.664170089393573E-4</v>
      </c>
      <c r="J3166" s="12">
        <f>(PrincipalesVariables[[#This Row],[Reservas internacionales]]-F3165)/F3165</f>
        <v>9.4587172758894248E-4</v>
      </c>
    </row>
    <row r="3167" spans="1:10" ht="15.75" thickBot="1" x14ac:dyDescent="0.3">
      <c r="A3167" s="14">
        <v>45664</v>
      </c>
      <c r="B3167" s="15">
        <v>45664</v>
      </c>
      <c r="C3167" s="16">
        <v>31025360</v>
      </c>
      <c r="D3167" s="10">
        <f>PrincipalesVariables[[#This Row],[Base monetaria]]/1000000</f>
        <v>31.025359999999999</v>
      </c>
      <c r="E3167" s="10">
        <v>1036.25</v>
      </c>
      <c r="F3167" s="11">
        <v>32903</v>
      </c>
      <c r="H3167" s="12">
        <f>(PrincipalesVariables[[#This Row],[Base monetaria]]-C3166)/C3166</f>
        <v>-7.8049744259702696E-3</v>
      </c>
      <c r="I3167" s="12">
        <f>(PrincipalesVariables[[#This Row],[Dólar  mayorista]]-E3166)/E3166</f>
        <v>4.8274197441467538E-4</v>
      </c>
      <c r="J3167" s="12">
        <f>(PrincipalesVariables[[#This Row],[Reservas internacionales]]-F3166)/F3166</f>
        <v>2.9873494894071028E-3</v>
      </c>
    </row>
    <row r="3168" spans="1:10" ht="15.75" thickBot="1" x14ac:dyDescent="0.3">
      <c r="A3168" s="14">
        <v>45665</v>
      </c>
      <c r="B3168" s="15">
        <v>45665</v>
      </c>
      <c r="C3168" s="16">
        <v>31138876</v>
      </c>
      <c r="D3168" s="10">
        <f>PrincipalesVariables[[#This Row],[Base monetaria]]/1000000</f>
        <v>31.138876</v>
      </c>
      <c r="E3168" s="10">
        <v>1036.75</v>
      </c>
      <c r="F3168" s="11">
        <v>31176</v>
      </c>
      <c r="H3168" s="12">
        <f>(PrincipalesVariables[[#This Row],[Base monetaria]]-C3167)/C3167</f>
        <v>3.6588133062758982E-3</v>
      </c>
      <c r="I3168" s="12">
        <f>(PrincipalesVariables[[#This Row],[Dólar  mayorista]]-E3167)/E3167</f>
        <v>4.8250904704463208E-4</v>
      </c>
      <c r="J3168" s="12">
        <f>(PrincipalesVariables[[#This Row],[Reservas internacionales]]-F3167)/F3167</f>
        <v>-5.2487615111084095E-2</v>
      </c>
    </row>
    <row r="3169" spans="1:10" ht="15.75" thickBot="1" x14ac:dyDescent="0.3">
      <c r="A3169" s="14">
        <v>45666</v>
      </c>
      <c r="B3169" s="15">
        <v>45666</v>
      </c>
      <c r="C3169" s="16">
        <v>30687325</v>
      </c>
      <c r="D3169" s="10">
        <f>PrincipalesVariables[[#This Row],[Base monetaria]]/1000000</f>
        <v>30.687325000000001</v>
      </c>
      <c r="E3169" s="10">
        <v>1037.75</v>
      </c>
      <c r="F3169" s="11">
        <v>30904</v>
      </c>
      <c r="H3169" s="12">
        <f>(PrincipalesVariables[[#This Row],[Base monetaria]]-C3168)/C3168</f>
        <v>-1.4501197795321835E-2</v>
      </c>
      <c r="I3169" s="12">
        <f>(PrincipalesVariables[[#This Row],[Dólar  mayorista]]-E3168)/E3168</f>
        <v>9.6455268869061975E-4</v>
      </c>
      <c r="J3169" s="12">
        <f>(PrincipalesVariables[[#This Row],[Reservas internacionales]]-F3168)/F3168</f>
        <v>-8.724659994867847E-3</v>
      </c>
    </row>
    <row r="3170" spans="1:10" ht="15.75" thickBot="1" x14ac:dyDescent="0.3">
      <c r="A3170" s="14">
        <v>45667</v>
      </c>
      <c r="B3170" s="15">
        <v>45667</v>
      </c>
      <c r="C3170" s="16">
        <v>30414752</v>
      </c>
      <c r="D3170" s="10">
        <f>PrincipalesVariables[[#This Row],[Base monetaria]]/1000000</f>
        <v>30.414752</v>
      </c>
      <c r="E3170" s="10">
        <v>1039.75</v>
      </c>
      <c r="F3170" s="11">
        <v>31038</v>
      </c>
      <c r="H3170" s="12">
        <f>(PrincipalesVariables[[#This Row],[Base monetaria]]-C3169)/C3169</f>
        <v>-8.8822665383835181E-3</v>
      </c>
      <c r="I3170" s="12">
        <f>(PrincipalesVariables[[#This Row],[Dólar  mayorista]]-E3169)/E3169</f>
        <v>1.927246446639364E-3</v>
      </c>
      <c r="J3170" s="12">
        <f>(PrincipalesVariables[[#This Row],[Reservas internacionales]]-F3169)/F3169</f>
        <v>4.3360082837173184E-3</v>
      </c>
    </row>
    <row r="3171" spans="1:10" ht="15.75" thickBot="1" x14ac:dyDescent="0.3">
      <c r="A3171" s="14">
        <v>45670</v>
      </c>
      <c r="B3171" s="15">
        <v>45670</v>
      </c>
      <c r="C3171" s="16">
        <v>29988673</v>
      </c>
      <c r="D3171" s="10">
        <f>PrincipalesVariables[[#This Row],[Base monetaria]]/1000000</f>
        <v>29.988672999999999</v>
      </c>
      <c r="E3171" s="10">
        <v>1040.25</v>
      </c>
      <c r="F3171" s="11">
        <v>30835</v>
      </c>
      <c r="H3171" s="12">
        <f>(PrincipalesVariables[[#This Row],[Base monetaria]]-C3170)/C3170</f>
        <v>-1.40089585474838E-2</v>
      </c>
      <c r="I3171" s="12">
        <f>(PrincipalesVariables[[#This Row],[Dólar  mayorista]]-E3170)/E3170</f>
        <v>4.8088482808367395E-4</v>
      </c>
      <c r="J3171" s="12">
        <f>(PrincipalesVariables[[#This Row],[Reservas internacionales]]-F3170)/F3170</f>
        <v>-6.5403698691926023E-3</v>
      </c>
    </row>
    <row r="3172" spans="1:10" ht="15.75" thickBot="1" x14ac:dyDescent="0.3">
      <c r="A3172" s="14">
        <v>45671</v>
      </c>
      <c r="B3172" s="15">
        <v>45671</v>
      </c>
      <c r="C3172" s="16">
        <v>29244363</v>
      </c>
      <c r="D3172" s="10">
        <f>PrincipalesVariables[[#This Row],[Base monetaria]]/1000000</f>
        <v>29.244363</v>
      </c>
      <c r="E3172" s="10">
        <v>1041.25</v>
      </c>
      <c r="F3172" s="11">
        <v>30704</v>
      </c>
      <c r="H3172" s="12">
        <f>(PrincipalesVariables[[#This Row],[Base monetaria]]-C3171)/C3171</f>
        <v>-2.4819704426401263E-2</v>
      </c>
      <c r="I3172" s="12">
        <f>(PrincipalesVariables[[#This Row],[Dólar  mayorista]]-E3171)/E3171</f>
        <v>9.6130737803412636E-4</v>
      </c>
      <c r="J3172" s="12">
        <f>(PrincipalesVariables[[#This Row],[Reservas internacionales]]-F3171)/F3171</f>
        <v>-4.2484190043781418E-3</v>
      </c>
    </row>
    <row r="3173" spans="1:10" ht="15.75" thickBot="1" x14ac:dyDescent="0.3">
      <c r="A3173" s="14">
        <v>45672</v>
      </c>
      <c r="B3173" s="15">
        <v>45672</v>
      </c>
      <c r="C3173" s="16">
        <v>30122644</v>
      </c>
      <c r="D3173" s="10">
        <f>PrincipalesVariables[[#This Row],[Base monetaria]]/1000000</f>
        <v>30.122644000000001</v>
      </c>
      <c r="E3173" s="10">
        <v>1041.75</v>
      </c>
      <c r="F3173" s="11">
        <v>30624</v>
      </c>
      <c r="H3173" s="12">
        <f>(PrincipalesVariables[[#This Row],[Base monetaria]]-C3172)/C3172</f>
        <v>3.0032488654309207E-2</v>
      </c>
      <c r="I3173" s="12">
        <f>(PrincipalesVariables[[#This Row],[Dólar  mayorista]]-E3172)/E3172</f>
        <v>4.8019207683073231E-4</v>
      </c>
      <c r="J3173" s="12">
        <f>(PrincipalesVariables[[#This Row],[Reservas internacionales]]-F3172)/F3172</f>
        <v>-2.6055237102657635E-3</v>
      </c>
    </row>
    <row r="3174" spans="1:10" ht="15.75" thickBot="1" x14ac:dyDescent="0.3">
      <c r="A3174" s="14">
        <v>45673</v>
      </c>
      <c r="B3174" s="15">
        <v>45673</v>
      </c>
      <c r="C3174" s="16">
        <v>30188706</v>
      </c>
      <c r="D3174" s="10">
        <f>PrincipalesVariables[[#This Row],[Base monetaria]]/1000000</f>
        <v>30.188706</v>
      </c>
      <c r="E3174" s="10">
        <v>1042.25</v>
      </c>
      <c r="F3174" s="11">
        <v>30707</v>
      </c>
      <c r="H3174" s="12">
        <f>(PrincipalesVariables[[#This Row],[Base monetaria]]-C3173)/C3173</f>
        <v>2.1931009774573572E-3</v>
      </c>
      <c r="I3174" s="12">
        <f>(PrincipalesVariables[[#This Row],[Dólar  mayorista]]-E3173)/E3173</f>
        <v>4.7996160307175426E-4</v>
      </c>
      <c r="J3174" s="12">
        <f>(PrincipalesVariables[[#This Row],[Reservas internacionales]]-F3173)/F3173</f>
        <v>2.7102925809822363E-3</v>
      </c>
    </row>
    <row r="3175" spans="1:10" ht="15.75" thickBot="1" x14ac:dyDescent="0.3">
      <c r="A3175" s="14">
        <v>45674</v>
      </c>
      <c r="B3175" s="15">
        <v>45674</v>
      </c>
      <c r="C3175" s="16">
        <v>30146444</v>
      </c>
      <c r="D3175" s="10">
        <f>PrincipalesVariables[[#This Row],[Base monetaria]]/1000000</f>
        <v>30.146443999999999</v>
      </c>
      <c r="E3175" s="10">
        <v>1044.5</v>
      </c>
      <c r="F3175" s="11">
        <v>30518</v>
      </c>
      <c r="H3175" s="12">
        <f>(PrincipalesVariables[[#This Row],[Base monetaria]]-C3174)/C3174</f>
        <v>-1.3999275093142449E-3</v>
      </c>
      <c r="I3175" s="12">
        <f>(PrincipalesVariables[[#This Row],[Dólar  mayorista]]-E3174)/E3174</f>
        <v>2.1587910769968817E-3</v>
      </c>
      <c r="J3175" s="12">
        <f>(PrincipalesVariables[[#This Row],[Reservas internacionales]]-F3174)/F3174</f>
        <v>-6.1549483831048295E-3</v>
      </c>
    </row>
    <row r="3176" spans="1:10" ht="15.75" thickBot="1" x14ac:dyDescent="0.3">
      <c r="A3176" s="14">
        <v>45677</v>
      </c>
      <c r="B3176" s="15">
        <v>45677</v>
      </c>
      <c r="C3176" s="16">
        <v>29983683</v>
      </c>
      <c r="D3176" s="10">
        <f>PrincipalesVariables[[#This Row],[Base monetaria]]/1000000</f>
        <v>29.983682999999999</v>
      </c>
      <c r="E3176" s="10">
        <v>1045.25</v>
      </c>
      <c r="F3176" s="11">
        <v>30593</v>
      </c>
      <c r="H3176" s="12">
        <f>(PrincipalesVariables[[#This Row],[Base monetaria]]-C3175)/C3175</f>
        <v>-5.3990115716467252E-3</v>
      </c>
      <c r="I3176" s="12">
        <f>(PrincipalesVariables[[#This Row],[Dólar  mayorista]]-E3175)/E3175</f>
        <v>7.1804691239827668E-4</v>
      </c>
      <c r="J3176" s="12">
        <f>(PrincipalesVariables[[#This Row],[Reservas internacionales]]-F3175)/F3175</f>
        <v>2.4575660266072481E-3</v>
      </c>
    </row>
    <row r="3177" spans="1:10" ht="15.75" thickBot="1" x14ac:dyDescent="0.3">
      <c r="A3177" s="14">
        <v>45678</v>
      </c>
      <c r="B3177" s="15">
        <v>45678</v>
      </c>
      <c r="C3177" s="16">
        <v>29894816</v>
      </c>
      <c r="D3177" s="10">
        <f>PrincipalesVariables[[#This Row],[Base monetaria]]/1000000</f>
        <v>29.894815999999999</v>
      </c>
      <c r="E3177" s="10">
        <v>1045.92</v>
      </c>
      <c r="F3177" s="11">
        <v>30282</v>
      </c>
      <c r="H3177" s="12">
        <f>(PrincipalesVariables[[#This Row],[Base monetaria]]-C3176)/C3176</f>
        <v>-2.9638453688294398E-3</v>
      </c>
      <c r="I3177" s="12">
        <f>(PrincipalesVariables[[#This Row],[Dólar  mayorista]]-E3176)/E3176</f>
        <v>6.4099497727823271E-4</v>
      </c>
      <c r="J3177" s="12">
        <f>(PrincipalesVariables[[#This Row],[Reservas internacionales]]-F3176)/F3176</f>
        <v>-1.016572418527114E-2</v>
      </c>
    </row>
    <row r="3178" spans="1:10" ht="15.75" thickBot="1" x14ac:dyDescent="0.3">
      <c r="A3178" s="14">
        <v>45679</v>
      </c>
      <c r="B3178" s="15">
        <v>45679</v>
      </c>
      <c r="C3178" s="16">
        <v>30090521</v>
      </c>
      <c r="D3178" s="10">
        <f>PrincipalesVariables[[#This Row],[Base monetaria]]/1000000</f>
        <v>30.090520999999999</v>
      </c>
      <c r="E3178" s="10">
        <v>1047.25</v>
      </c>
      <c r="F3178" s="11">
        <v>30140</v>
      </c>
      <c r="H3178" s="12">
        <f>(PrincipalesVariables[[#This Row],[Base monetaria]]-C3177)/C3177</f>
        <v>6.5464527361533183E-3</v>
      </c>
      <c r="I3178" s="12">
        <f>(PrincipalesVariables[[#This Row],[Dólar  mayorista]]-E3177)/E3177</f>
        <v>1.2716077711487754E-3</v>
      </c>
      <c r="J3178" s="12">
        <f>(PrincipalesVariables[[#This Row],[Reservas internacionales]]-F3177)/F3177</f>
        <v>-4.6892543425137044E-3</v>
      </c>
    </row>
    <row r="3179" spans="1:10" ht="15.75" thickBot="1" x14ac:dyDescent="0.3">
      <c r="A3179" s="14">
        <v>45680</v>
      </c>
      <c r="B3179" s="15">
        <v>45680</v>
      </c>
      <c r="C3179" s="16">
        <v>30058865</v>
      </c>
      <c r="D3179" s="10">
        <f>PrincipalesVariables[[#This Row],[Base monetaria]]/1000000</f>
        <v>30.058865000000001</v>
      </c>
      <c r="E3179" s="10">
        <v>1047.67</v>
      </c>
      <c r="F3179" s="11">
        <v>29838</v>
      </c>
      <c r="H3179" s="12">
        <f>(PrincipalesVariables[[#This Row],[Base monetaria]]-C3178)/C3178</f>
        <v>-1.0520256528625742E-3</v>
      </c>
      <c r="I3179" s="12">
        <f>(PrincipalesVariables[[#This Row],[Dólar  mayorista]]-E3178)/E3178</f>
        <v>4.0105037001677993E-4</v>
      </c>
      <c r="J3179" s="12">
        <f>(PrincipalesVariables[[#This Row],[Reservas internacionales]]-F3178)/F3178</f>
        <v>-1.0019907100199071E-2</v>
      </c>
    </row>
    <row r="3180" spans="1:10" ht="15.75" thickBot="1" x14ac:dyDescent="0.3">
      <c r="A3180" s="14">
        <v>45681</v>
      </c>
      <c r="B3180" s="15">
        <v>45681</v>
      </c>
      <c r="C3180" s="16">
        <v>30008838</v>
      </c>
      <c r="D3180" s="10">
        <f>PrincipalesVariables[[#This Row],[Base monetaria]]/1000000</f>
        <v>30.008838000000001</v>
      </c>
      <c r="E3180" s="10">
        <v>1049.58</v>
      </c>
      <c r="F3180" s="11">
        <v>29970</v>
      </c>
      <c r="H3180" s="12">
        <f>(PrincipalesVariables[[#This Row],[Base monetaria]]-C3179)/C3179</f>
        <v>-1.6643010306610047E-3</v>
      </c>
      <c r="I3180" s="12">
        <f>(PrincipalesVariables[[#This Row],[Dólar  mayorista]]-E3179)/E3179</f>
        <v>1.8230931495603142E-3</v>
      </c>
      <c r="J3180" s="12">
        <f>(PrincipalesVariables[[#This Row],[Reservas internacionales]]-F3179)/F3179</f>
        <v>4.4238890006032573E-3</v>
      </c>
    </row>
    <row r="3181" spans="1:10" ht="15.75" thickBot="1" x14ac:dyDescent="0.3">
      <c r="A3181" s="14">
        <v>45684</v>
      </c>
      <c r="B3181" s="15">
        <v>45684</v>
      </c>
      <c r="C3181" s="16">
        <v>30451680</v>
      </c>
      <c r="D3181" s="10">
        <f>PrincipalesVariables[[#This Row],[Base monetaria]]/1000000</f>
        <v>30.45168</v>
      </c>
      <c r="E3181" s="10">
        <v>1050.5</v>
      </c>
      <c r="F3181" s="11">
        <v>29834</v>
      </c>
      <c r="H3181" s="12">
        <f>(PrincipalesVariables[[#This Row],[Base monetaria]]-C3180)/C3180</f>
        <v>1.4757052572312197E-2</v>
      </c>
      <c r="I3181" s="12">
        <f>(PrincipalesVariables[[#This Row],[Dólar  mayorista]]-E3180)/E3180</f>
        <v>8.7654109262759656E-4</v>
      </c>
      <c r="J3181" s="12">
        <f>(PrincipalesVariables[[#This Row],[Reservas internacionales]]-F3180)/F3180</f>
        <v>-4.5378712045378716E-3</v>
      </c>
    </row>
    <row r="3182" spans="1:10" ht="15.75" thickBot="1" x14ac:dyDescent="0.3">
      <c r="A3182" s="14">
        <v>45685</v>
      </c>
      <c r="B3182" s="15">
        <v>45685</v>
      </c>
      <c r="C3182" s="16">
        <v>29616605</v>
      </c>
      <c r="D3182" s="10">
        <f>PrincipalesVariables[[#This Row],[Base monetaria]]/1000000</f>
        <v>29.616605</v>
      </c>
      <c r="E3182" s="10">
        <v>1050.92</v>
      </c>
      <c r="F3182" s="11">
        <v>29802</v>
      </c>
      <c r="H3182" s="12">
        <f>(PrincipalesVariables[[#This Row],[Base monetaria]]-C3181)/C3181</f>
        <v>-2.7422953347729911E-2</v>
      </c>
      <c r="I3182" s="12">
        <f>(PrincipalesVariables[[#This Row],[Dólar  mayorista]]-E3181)/E3181</f>
        <v>3.9980961446936959E-4</v>
      </c>
      <c r="J3182" s="12">
        <f>(PrincipalesVariables[[#This Row],[Reservas internacionales]]-F3181)/F3181</f>
        <v>-1.072601729570289E-3</v>
      </c>
    </row>
    <row r="3183" spans="1:10" ht="15.75" thickBot="1" x14ac:dyDescent="0.3">
      <c r="A3183" s="14">
        <v>45686</v>
      </c>
      <c r="B3183" s="15">
        <v>45686</v>
      </c>
      <c r="C3183" s="16">
        <v>29196847</v>
      </c>
      <c r="D3183" s="10">
        <f>PrincipalesVariables[[#This Row],[Base monetaria]]/1000000</f>
        <v>29.196847000000002</v>
      </c>
      <c r="E3183" s="10">
        <v>1051.58</v>
      </c>
      <c r="F3183" s="11">
        <v>29648</v>
      </c>
      <c r="H3183" s="12">
        <f>(PrincipalesVariables[[#This Row],[Base monetaria]]-C3182)/C3182</f>
        <v>-1.4173062712623544E-2</v>
      </c>
      <c r="I3183" s="12">
        <f>(PrincipalesVariables[[#This Row],[Dólar  mayorista]]-E3182)/E3182</f>
        <v>6.280211624099403E-4</v>
      </c>
      <c r="J3183" s="12">
        <f>(PrincipalesVariables[[#This Row],[Reservas internacionales]]-F3182)/F3182</f>
        <v>-5.1674384269512113E-3</v>
      </c>
    </row>
    <row r="3184" spans="1:10" ht="15.75" thickBot="1" x14ac:dyDescent="0.3">
      <c r="A3184" s="14">
        <v>45687</v>
      </c>
      <c r="B3184" s="15">
        <v>45687</v>
      </c>
      <c r="C3184" s="16">
        <v>28999198</v>
      </c>
      <c r="D3184" s="10">
        <f>PrincipalesVariables[[#This Row],[Base monetaria]]/1000000</f>
        <v>28.999198</v>
      </c>
      <c r="E3184" s="10">
        <v>1052.5</v>
      </c>
      <c r="F3184" s="11">
        <v>29429</v>
      </c>
      <c r="H3184" s="12">
        <f>(PrincipalesVariables[[#This Row],[Base monetaria]]-C3183)/C3183</f>
        <v>-6.7695323402557819E-3</v>
      </c>
      <c r="I3184" s="12">
        <f>(PrincipalesVariables[[#This Row],[Dólar  mayorista]]-E3183)/E3183</f>
        <v>8.748739991251952E-4</v>
      </c>
      <c r="J3184" s="12">
        <f>(PrincipalesVariables[[#This Row],[Reservas internacionales]]-F3183)/F3183</f>
        <v>-7.38667026443605E-3</v>
      </c>
    </row>
    <row r="3185" spans="1:10" ht="15.75" thickBot="1" x14ac:dyDescent="0.3">
      <c r="A3185" s="14">
        <v>45688</v>
      </c>
      <c r="B3185" s="15">
        <v>45688</v>
      </c>
      <c r="C3185" s="16">
        <v>30246597</v>
      </c>
      <c r="D3185" s="10">
        <f>PrincipalesVariables[[#This Row],[Base monetaria]]/1000000</f>
        <v>30.246597000000001</v>
      </c>
      <c r="E3185" s="10">
        <v>1053.5</v>
      </c>
      <c r="F3185" s="11">
        <v>28310</v>
      </c>
      <c r="H3185" s="12">
        <f>(PrincipalesVariables[[#This Row],[Base monetaria]]-C3184)/C3184</f>
        <v>4.3014948206498677E-2</v>
      </c>
      <c r="I3185" s="12">
        <f>(PrincipalesVariables[[#This Row],[Dólar  mayorista]]-E3184)/E3184</f>
        <v>9.501187648456057E-4</v>
      </c>
      <c r="J3185" s="12">
        <f>(PrincipalesVariables[[#This Row],[Reservas internacionales]]-F3184)/F3184</f>
        <v>-3.8023718101192698E-2</v>
      </c>
    </row>
    <row r="3186" spans="1:10" ht="15.75" thickBot="1" x14ac:dyDescent="0.3">
      <c r="A3186" s="14">
        <v>45691</v>
      </c>
      <c r="B3186" s="15">
        <v>45691</v>
      </c>
      <c r="C3186" s="16">
        <v>31194889</v>
      </c>
      <c r="D3186" s="10">
        <f>PrincipalesVariables[[#This Row],[Base monetaria]]/1000000</f>
        <v>31.194889</v>
      </c>
      <c r="E3186" s="10">
        <v>1053.92</v>
      </c>
      <c r="F3186" s="11">
        <v>29453</v>
      </c>
      <c r="H3186" s="12">
        <f>(PrincipalesVariables[[#This Row],[Base monetaria]]-C3185)/C3185</f>
        <v>3.1352022840784373E-2</v>
      </c>
      <c r="I3186" s="12">
        <f>(PrincipalesVariables[[#This Row],[Dólar  mayorista]]-E3185)/E3185</f>
        <v>3.9867109634558404E-4</v>
      </c>
      <c r="J3186" s="12">
        <f>(PrincipalesVariables[[#This Row],[Reservas internacionales]]-F3185)/F3185</f>
        <v>4.037442599788061E-2</v>
      </c>
    </row>
    <row r="3187" spans="1:10" ht="15.75" thickBot="1" x14ac:dyDescent="0.3">
      <c r="A3187" s="14">
        <v>45692</v>
      </c>
      <c r="B3187" s="15">
        <v>45692</v>
      </c>
      <c r="C3187" s="16">
        <v>31793497</v>
      </c>
      <c r="D3187" s="10">
        <f>PrincipalesVariables[[#This Row],[Base monetaria]]/1000000</f>
        <v>31.793496999999999</v>
      </c>
      <c r="E3187" s="10">
        <v>1054.25</v>
      </c>
      <c r="F3187" s="11">
        <v>29427</v>
      </c>
      <c r="H3187" s="12">
        <f>(PrincipalesVariables[[#This Row],[Base monetaria]]-C3186)/C3186</f>
        <v>1.9189297323673759E-2</v>
      </c>
      <c r="I3187" s="12">
        <f>(PrincipalesVariables[[#This Row],[Dólar  mayorista]]-E3186)/E3186</f>
        <v>3.1311674510392366E-4</v>
      </c>
      <c r="J3187" s="12">
        <f>(PrincipalesVariables[[#This Row],[Reservas internacionales]]-F3186)/F3186</f>
        <v>-8.8276236716123993E-4</v>
      </c>
    </row>
    <row r="3188" spans="1:10" ht="15.75" thickBot="1" x14ac:dyDescent="0.3">
      <c r="A3188" s="14">
        <v>45693</v>
      </c>
      <c r="B3188" s="15">
        <v>45693</v>
      </c>
      <c r="C3188" s="16">
        <v>30901745</v>
      </c>
      <c r="D3188" s="10">
        <f>PrincipalesVariables[[#This Row],[Base monetaria]]/1000000</f>
        <v>30.901744999999998</v>
      </c>
      <c r="E3188" s="10">
        <v>1054.71</v>
      </c>
      <c r="F3188" s="11">
        <v>29354</v>
      </c>
      <c r="H3188" s="12">
        <f>(PrincipalesVariables[[#This Row],[Base monetaria]]-C3187)/C3187</f>
        <v>-2.8048251502500652E-2</v>
      </c>
      <c r="I3188" s="12">
        <f>(PrincipalesVariables[[#This Row],[Dólar  mayorista]]-E3187)/E3187</f>
        <v>4.3632914394122494E-4</v>
      </c>
      <c r="J3188" s="12">
        <f>(PrincipalesVariables[[#This Row],[Reservas internacionales]]-F3187)/F3187</f>
        <v>-2.4807149896353691E-3</v>
      </c>
    </row>
    <row r="3189" spans="1:10" ht="15.75" thickBot="1" x14ac:dyDescent="0.3">
      <c r="A3189" s="14">
        <v>45694</v>
      </c>
      <c r="B3189" s="15">
        <v>45694</v>
      </c>
      <c r="C3189" s="16">
        <v>31034691</v>
      </c>
      <c r="D3189" s="10">
        <f>PrincipalesVariables[[#This Row],[Base monetaria]]/1000000</f>
        <v>31.034690999999999</v>
      </c>
      <c r="E3189" s="10">
        <v>1054.8800000000001</v>
      </c>
      <c r="F3189" s="11">
        <v>28743</v>
      </c>
      <c r="H3189" s="12">
        <f>(PrincipalesVariables[[#This Row],[Base monetaria]]-C3188)/C3188</f>
        <v>4.3022165900339932E-3</v>
      </c>
      <c r="I3189" s="12">
        <f>(PrincipalesVariables[[#This Row],[Dólar  mayorista]]-E3188)/E3188</f>
        <v>1.6118174664132582E-4</v>
      </c>
      <c r="J3189" s="12">
        <f>(PrincipalesVariables[[#This Row],[Reservas internacionales]]-F3188)/F3188</f>
        <v>-2.0814880425155006E-2</v>
      </c>
    </row>
    <row r="3190" spans="1:10" ht="15.75" thickBot="1" x14ac:dyDescent="0.3">
      <c r="A3190" s="14">
        <v>45695</v>
      </c>
      <c r="B3190" s="15">
        <v>45695</v>
      </c>
      <c r="C3190" s="16">
        <v>31310198</v>
      </c>
      <c r="D3190" s="10">
        <f>PrincipalesVariables[[#This Row],[Base monetaria]]/1000000</f>
        <v>31.310198</v>
      </c>
      <c r="E3190" s="10">
        <v>1055.92</v>
      </c>
      <c r="F3190" s="11">
        <v>28889</v>
      </c>
      <c r="H3190" s="12">
        <f>(PrincipalesVariables[[#This Row],[Base monetaria]]-C3189)/C3189</f>
        <v>8.8773882105028859E-3</v>
      </c>
      <c r="I3190" s="12">
        <f>(PrincipalesVariables[[#This Row],[Dólar  mayorista]]-E3189)/E3189</f>
        <v>9.8589413013799062E-4</v>
      </c>
      <c r="J3190" s="12">
        <f>(PrincipalesVariables[[#This Row],[Reservas internacionales]]-F3189)/F3189</f>
        <v>5.0794976168110498E-3</v>
      </c>
    </row>
    <row r="3191" spans="1:10" ht="15.75" thickBot="1" x14ac:dyDescent="0.3">
      <c r="A3191" s="14">
        <v>45698</v>
      </c>
      <c r="B3191" s="15">
        <v>45698</v>
      </c>
      <c r="C3191" s="16">
        <v>30993421</v>
      </c>
      <c r="D3191" s="10">
        <f>PrincipalesVariables[[#This Row],[Base monetaria]]/1000000</f>
        <v>30.993421000000001</v>
      </c>
      <c r="E3191" s="10">
        <v>1056.3800000000001</v>
      </c>
      <c r="F3191" s="11">
        <v>28938</v>
      </c>
      <c r="H3191" s="12">
        <f>(PrincipalesVariables[[#This Row],[Base monetaria]]-C3190)/C3190</f>
        <v>-1.0117374537203502E-2</v>
      </c>
      <c r="I3191" s="12">
        <f>(PrincipalesVariables[[#This Row],[Dólar  mayorista]]-E3190)/E3190</f>
        <v>4.3563906356545605E-4</v>
      </c>
      <c r="J3191" s="12">
        <f>(PrincipalesVariables[[#This Row],[Reservas internacionales]]-F3190)/F3190</f>
        <v>1.696147322510298E-3</v>
      </c>
    </row>
    <row r="3192" spans="1:10" ht="15.75" thickBot="1" x14ac:dyDescent="0.3">
      <c r="A3192" s="14">
        <v>45699</v>
      </c>
      <c r="B3192" s="15">
        <v>45699</v>
      </c>
      <c r="C3192" s="16">
        <v>30640926</v>
      </c>
      <c r="D3192" s="10">
        <f>PrincipalesVariables[[#This Row],[Base monetaria]]/1000000</f>
        <v>30.640926</v>
      </c>
      <c r="E3192" s="10">
        <v>1056.6300000000001</v>
      </c>
      <c r="F3192" s="11">
        <v>28898</v>
      </c>
      <c r="H3192" s="12">
        <f>(PrincipalesVariables[[#This Row],[Base monetaria]]-C3191)/C3191</f>
        <v>-1.1373220142429582E-2</v>
      </c>
      <c r="I3192" s="12">
        <f>(PrincipalesVariables[[#This Row],[Dólar  mayorista]]-E3191)/E3191</f>
        <v>2.3665726348473084E-4</v>
      </c>
      <c r="J3192" s="12">
        <f>(PrincipalesVariables[[#This Row],[Reservas internacionales]]-F3191)/F3191</f>
        <v>-1.3822655332089294E-3</v>
      </c>
    </row>
    <row r="3193" spans="1:10" ht="15.75" thickBot="1" x14ac:dyDescent="0.3">
      <c r="A3193" s="14">
        <v>45700</v>
      </c>
      <c r="B3193" s="15">
        <v>45700</v>
      </c>
      <c r="C3193" s="16">
        <v>30436865</v>
      </c>
      <c r="D3193" s="10">
        <f>PrincipalesVariables[[#This Row],[Base monetaria]]/1000000</f>
        <v>30.436865000000001</v>
      </c>
      <c r="E3193" s="10">
        <v>1056.8800000000001</v>
      </c>
      <c r="F3193" s="11">
        <v>28925</v>
      </c>
      <c r="H3193" s="12">
        <f>(PrincipalesVariables[[#This Row],[Base monetaria]]-C3192)/C3192</f>
        <v>-6.6597530374897943E-3</v>
      </c>
      <c r="I3193" s="12">
        <f>(PrincipalesVariables[[#This Row],[Dólar  mayorista]]-E3192)/E3192</f>
        <v>2.3660127007561773E-4</v>
      </c>
      <c r="J3193" s="12">
        <f>(PrincipalesVariables[[#This Row],[Reservas internacionales]]-F3192)/F3192</f>
        <v>9.3432071423627937E-4</v>
      </c>
    </row>
    <row r="3194" spans="1:10" ht="15.75" thickBot="1" x14ac:dyDescent="0.3">
      <c r="A3194" s="14">
        <v>45701</v>
      </c>
      <c r="B3194" s="15">
        <v>45701</v>
      </c>
      <c r="C3194" s="16">
        <v>30533195</v>
      </c>
      <c r="D3194" s="10">
        <f>PrincipalesVariables[[#This Row],[Base monetaria]]/1000000</f>
        <v>30.533194999999999</v>
      </c>
      <c r="E3194" s="10">
        <v>1057.46</v>
      </c>
      <c r="F3194" s="11">
        <v>28894</v>
      </c>
      <c r="H3194" s="12">
        <f>(PrincipalesVariables[[#This Row],[Base monetaria]]-C3193)/C3193</f>
        <v>3.1649120236266121E-3</v>
      </c>
      <c r="I3194" s="12">
        <f>(PrincipalesVariables[[#This Row],[Dólar  mayorista]]-E3193)/E3193</f>
        <v>5.4878510332291954E-4</v>
      </c>
      <c r="J3194" s="12">
        <f>(PrincipalesVariables[[#This Row],[Reservas internacionales]]-F3193)/F3193</f>
        <v>-1.0717372515125325E-3</v>
      </c>
    </row>
    <row r="3195" spans="1:10" ht="15.75" thickBot="1" x14ac:dyDescent="0.3">
      <c r="A3195" s="14">
        <v>45702</v>
      </c>
      <c r="B3195" s="15">
        <v>45702</v>
      </c>
      <c r="C3195" s="16">
        <v>30388719</v>
      </c>
      <c r="D3195" s="10">
        <f>PrincipalesVariables[[#This Row],[Base monetaria]]/1000000</f>
        <v>30.388718999999998</v>
      </c>
      <c r="E3195" s="10">
        <v>1058.5</v>
      </c>
      <c r="F3195" s="11">
        <v>28801</v>
      </c>
      <c r="H3195" s="12">
        <f>(PrincipalesVariables[[#This Row],[Base monetaria]]-C3194)/C3194</f>
        <v>-4.7317681624867627E-3</v>
      </c>
      <c r="I3195" s="12">
        <f>(PrincipalesVariables[[#This Row],[Dólar  mayorista]]-E3194)/E3194</f>
        <v>9.8348873716260052E-4</v>
      </c>
      <c r="J3195" s="12">
        <f>(PrincipalesVariables[[#This Row],[Reservas internacionales]]-F3194)/F3194</f>
        <v>-3.2186613137675643E-3</v>
      </c>
    </row>
    <row r="3196" spans="1:10" ht="15.75" thickBot="1" x14ac:dyDescent="0.3">
      <c r="A3196" s="14">
        <v>45705</v>
      </c>
      <c r="B3196" s="15">
        <v>45705</v>
      </c>
      <c r="C3196" s="16">
        <v>29278470</v>
      </c>
      <c r="D3196" s="10">
        <f>PrincipalesVariables[[#This Row],[Base monetaria]]/1000000</f>
        <v>29.278469999999999</v>
      </c>
      <c r="E3196" s="10">
        <v>1059.08</v>
      </c>
      <c r="F3196" s="11">
        <v>28747</v>
      </c>
      <c r="H3196" s="12">
        <f>(PrincipalesVariables[[#This Row],[Base monetaria]]-C3195)/C3195</f>
        <v>-3.6534906259128593E-2</v>
      </c>
      <c r="I3196" s="12">
        <f>(PrincipalesVariables[[#This Row],[Dólar  mayorista]]-E3195)/E3195</f>
        <v>5.4794520547938328E-4</v>
      </c>
      <c r="J3196" s="12">
        <f>(PrincipalesVariables[[#This Row],[Reservas internacionales]]-F3195)/F3195</f>
        <v>-1.8749348980938161E-3</v>
      </c>
    </row>
    <row r="3197" spans="1:10" ht="15.75" thickBot="1" x14ac:dyDescent="0.3">
      <c r="A3197" s="14">
        <v>45706</v>
      </c>
      <c r="B3197" s="15">
        <v>45706</v>
      </c>
      <c r="C3197" s="16">
        <v>29264005</v>
      </c>
      <c r="D3197" s="10">
        <f>PrincipalesVariables[[#This Row],[Base monetaria]]/1000000</f>
        <v>29.264005000000001</v>
      </c>
      <c r="E3197" s="10">
        <v>1059.17</v>
      </c>
      <c r="F3197" s="11">
        <v>28405</v>
      </c>
      <c r="H3197" s="12">
        <f>(PrincipalesVariables[[#This Row],[Base monetaria]]-C3196)/C3196</f>
        <v>-4.9404904013085381E-4</v>
      </c>
      <c r="I3197" s="12">
        <f>(PrincipalesVariables[[#This Row],[Dólar  mayorista]]-E3196)/E3196</f>
        <v>8.4979416097127254E-5</v>
      </c>
      <c r="J3197" s="12">
        <f>(PrincipalesVariables[[#This Row],[Reservas internacionales]]-F3196)/F3196</f>
        <v>-1.1896893588896233E-2</v>
      </c>
    </row>
    <row r="3198" spans="1:10" ht="15.75" thickBot="1" x14ac:dyDescent="0.3">
      <c r="A3198" s="14">
        <v>45707</v>
      </c>
      <c r="B3198" s="15">
        <v>45707</v>
      </c>
      <c r="C3198" s="16">
        <v>28991665</v>
      </c>
      <c r="D3198" s="10">
        <f>PrincipalesVariables[[#This Row],[Base monetaria]]/1000000</f>
        <v>28.991665000000001</v>
      </c>
      <c r="E3198" s="10">
        <v>1059.3800000000001</v>
      </c>
      <c r="F3198" s="11">
        <v>28362</v>
      </c>
      <c r="H3198" s="12">
        <f>(PrincipalesVariables[[#This Row],[Base monetaria]]-C3197)/C3197</f>
        <v>-9.3063133361274367E-3</v>
      </c>
      <c r="I3198" s="12">
        <f>(PrincipalesVariables[[#This Row],[Dólar  mayorista]]-E3197)/E3197</f>
        <v>1.9826845548876607E-4</v>
      </c>
      <c r="J3198" s="12">
        <f>(PrincipalesVariables[[#This Row],[Reservas internacionales]]-F3197)/F3197</f>
        <v>-1.5138179897905299E-3</v>
      </c>
    </row>
    <row r="3199" spans="1:10" ht="15.75" thickBot="1" x14ac:dyDescent="0.3">
      <c r="A3199" s="14">
        <v>45708</v>
      </c>
      <c r="B3199" s="15">
        <v>45708</v>
      </c>
      <c r="C3199" s="16">
        <v>29063451</v>
      </c>
      <c r="D3199" s="10">
        <f>PrincipalesVariables[[#This Row],[Base monetaria]]/1000000</f>
        <v>29.063451000000001</v>
      </c>
      <c r="E3199" s="10">
        <v>1059.8800000000001</v>
      </c>
      <c r="F3199" s="11">
        <v>28578</v>
      </c>
      <c r="H3199" s="12">
        <f>(PrincipalesVariables[[#This Row],[Base monetaria]]-C3198)/C3198</f>
        <v>2.4760909730434594E-3</v>
      </c>
      <c r="I3199" s="12">
        <f>(PrincipalesVariables[[#This Row],[Dólar  mayorista]]-E3198)/E3198</f>
        <v>4.7197417357322204E-4</v>
      </c>
      <c r="J3199" s="12">
        <f>(PrincipalesVariables[[#This Row],[Reservas internacionales]]-F3198)/F3198</f>
        <v>7.6158239898455682E-3</v>
      </c>
    </row>
    <row r="3200" spans="1:10" ht="15.75" thickBot="1" x14ac:dyDescent="0.3">
      <c r="A3200" s="14">
        <v>45709</v>
      </c>
      <c r="B3200" s="15">
        <v>45709</v>
      </c>
      <c r="C3200" s="16">
        <v>29449494</v>
      </c>
      <c r="D3200" s="10">
        <f>PrincipalesVariables[[#This Row],[Base monetaria]]/1000000</f>
        <v>29.449494000000001</v>
      </c>
      <c r="E3200" s="10">
        <v>1060.8800000000001</v>
      </c>
      <c r="F3200" s="11">
        <v>28495</v>
      </c>
      <c r="H3200" s="12">
        <f>(PrincipalesVariables[[#This Row],[Base monetaria]]-C3199)/C3199</f>
        <v>1.3282765353639524E-2</v>
      </c>
      <c r="I3200" s="12">
        <f>(PrincipalesVariables[[#This Row],[Dólar  mayorista]]-E3199)/E3199</f>
        <v>9.4350303807978254E-4</v>
      </c>
      <c r="J3200" s="12">
        <f>(PrincipalesVariables[[#This Row],[Reservas internacionales]]-F3199)/F3199</f>
        <v>-2.9043320036391631E-3</v>
      </c>
    </row>
    <row r="3201" spans="1:10" ht="15.75" thickBot="1" x14ac:dyDescent="0.3">
      <c r="A3201" s="14">
        <v>45712</v>
      </c>
      <c r="B3201" s="15">
        <v>45712</v>
      </c>
      <c r="C3201" s="16">
        <v>29282430</v>
      </c>
      <c r="D3201" s="10">
        <f>PrincipalesVariables[[#This Row],[Base monetaria]]/1000000</f>
        <v>29.282430000000002</v>
      </c>
      <c r="E3201" s="10">
        <v>1061.1300000000001</v>
      </c>
      <c r="F3201" s="11">
        <v>28603</v>
      </c>
      <c r="H3201" s="12">
        <f>(PrincipalesVariables[[#This Row],[Base monetaria]]-C3200)/C3200</f>
        <v>-5.6728988280749411E-3</v>
      </c>
      <c r="I3201" s="12">
        <f>(PrincipalesVariables[[#This Row],[Dólar  mayorista]]-E3200)/E3200</f>
        <v>2.3565341980242815E-4</v>
      </c>
      <c r="J3201" s="12">
        <f>(PrincipalesVariables[[#This Row],[Reservas internacionales]]-F3200)/F3200</f>
        <v>3.7901386208106687E-3</v>
      </c>
    </row>
    <row r="3202" spans="1:10" ht="15.75" thickBot="1" x14ac:dyDescent="0.3">
      <c r="A3202" s="14">
        <v>45713</v>
      </c>
      <c r="B3202" s="15">
        <v>45713</v>
      </c>
      <c r="C3202" s="16">
        <v>29229656</v>
      </c>
      <c r="D3202" s="10">
        <f>PrincipalesVariables[[#This Row],[Base monetaria]]/1000000</f>
        <v>29.229655999999999</v>
      </c>
      <c r="E3202" s="10">
        <v>1061.6300000000001</v>
      </c>
      <c r="F3202" s="11">
        <v>28685</v>
      </c>
      <c r="H3202" s="12">
        <f>(PrincipalesVariables[[#This Row],[Base monetaria]]-C3201)/C3201</f>
        <v>-1.8022411391404333E-3</v>
      </c>
      <c r="I3202" s="12">
        <f>(PrincipalesVariables[[#This Row],[Dólar  mayorista]]-E3201)/E3201</f>
        <v>4.7119580070302411E-4</v>
      </c>
      <c r="J3202" s="12">
        <f>(PrincipalesVariables[[#This Row],[Reservas internacionales]]-F3201)/F3201</f>
        <v>2.8668321504737265E-3</v>
      </c>
    </row>
    <row r="3203" spans="1:10" ht="15.75" thickBot="1" x14ac:dyDescent="0.3">
      <c r="A3203" s="14">
        <v>45714</v>
      </c>
      <c r="B3203" s="15">
        <v>45714</v>
      </c>
      <c r="C3203" s="16">
        <v>29103728</v>
      </c>
      <c r="D3203" s="10">
        <f>PrincipalesVariables[[#This Row],[Base monetaria]]/1000000</f>
        <v>29.103728</v>
      </c>
      <c r="E3203" s="10">
        <v>1061.8800000000001</v>
      </c>
      <c r="F3203" s="11">
        <v>28714</v>
      </c>
      <c r="H3203" s="12">
        <f>(PrincipalesVariables[[#This Row],[Base monetaria]]-C3202)/C3202</f>
        <v>-4.3082272333276857E-3</v>
      </c>
      <c r="I3203" s="12">
        <f>(PrincipalesVariables[[#This Row],[Dólar  mayorista]]-E3202)/E3202</f>
        <v>2.3548693989431345E-4</v>
      </c>
      <c r="J3203" s="12">
        <f>(PrincipalesVariables[[#This Row],[Reservas internacionales]]-F3202)/F3202</f>
        <v>1.0109813491371797E-3</v>
      </c>
    </row>
    <row r="3204" spans="1:10" ht="15.75" thickBot="1" x14ac:dyDescent="0.3">
      <c r="A3204" s="14">
        <v>45715</v>
      </c>
      <c r="B3204" s="15">
        <v>45715</v>
      </c>
      <c r="C3204" s="16">
        <v>30179493</v>
      </c>
      <c r="D3204" s="10">
        <f>PrincipalesVariables[[#This Row],[Base monetaria]]/1000000</f>
        <v>30.179493000000001</v>
      </c>
      <c r="E3204" s="10">
        <v>1062.3800000000001</v>
      </c>
      <c r="F3204" s="11">
        <v>28586</v>
      </c>
      <c r="H3204" s="12">
        <f>(PrincipalesVariables[[#This Row],[Base monetaria]]-C3203)/C3203</f>
        <v>3.6963134069972065E-2</v>
      </c>
      <c r="I3204" s="12">
        <f>(PrincipalesVariables[[#This Row],[Dólar  mayorista]]-E3203)/E3203</f>
        <v>4.708629977021885E-4</v>
      </c>
      <c r="J3204" s="12">
        <f>(PrincipalesVariables[[#This Row],[Reservas internacionales]]-F3203)/F3203</f>
        <v>-4.4577557985651601E-3</v>
      </c>
    </row>
    <row r="3205" spans="1:10" ht="15.75" thickBot="1" x14ac:dyDescent="0.3">
      <c r="A3205" s="14">
        <v>45716</v>
      </c>
      <c r="B3205" s="15">
        <v>45716</v>
      </c>
      <c r="C3205" s="16">
        <v>30282166</v>
      </c>
      <c r="D3205" s="10">
        <f>PrincipalesVariables[[#This Row],[Base monetaria]]/1000000</f>
        <v>30.282166</v>
      </c>
      <c r="E3205" s="10">
        <v>1064.3800000000001</v>
      </c>
      <c r="F3205" s="11">
        <v>28117</v>
      </c>
      <c r="H3205" s="12">
        <f>(PrincipalesVariables[[#This Row],[Base monetaria]]-C3204)/C3204</f>
        <v>3.4020783583077422E-3</v>
      </c>
      <c r="I3205" s="12">
        <f>(PrincipalesVariables[[#This Row],[Dólar  mayorista]]-E3204)/E3204</f>
        <v>1.8825655603456389E-3</v>
      </c>
      <c r="J3205" s="12">
        <f>(PrincipalesVariables[[#This Row],[Reservas internacionales]]-F3204)/F3204</f>
        <v>-1.6406632617365143E-2</v>
      </c>
    </row>
    <row r="3206" spans="1:10" ht="15.75" thickBot="1" x14ac:dyDescent="0.3">
      <c r="A3206" s="14">
        <v>45721</v>
      </c>
      <c r="B3206" s="15">
        <v>45721</v>
      </c>
      <c r="C3206" s="16">
        <v>30759385</v>
      </c>
      <c r="D3206" s="10">
        <f>PrincipalesVariables[[#This Row],[Base monetaria]]/1000000</f>
        <v>30.759385000000002</v>
      </c>
      <c r="E3206" s="10">
        <v>1064.3800000000001</v>
      </c>
      <c r="F3206" s="11">
        <v>27991</v>
      </c>
      <c r="H3206" s="12">
        <f>(PrincipalesVariables[[#This Row],[Base monetaria]]-C3205)/C3205</f>
        <v>1.575907747153886E-2</v>
      </c>
      <c r="I3206" s="12">
        <f>(PrincipalesVariables[[#This Row],[Dólar  mayorista]]-E3205)/E3205</f>
        <v>0</v>
      </c>
      <c r="J3206" s="12">
        <f>(PrincipalesVariables[[#This Row],[Reservas internacionales]]-F3205)/F3205</f>
        <v>-4.4812746736849589E-3</v>
      </c>
    </row>
    <row r="3207" spans="1:10" ht="15.75" thickBot="1" x14ac:dyDescent="0.3">
      <c r="A3207" s="14">
        <v>45722</v>
      </c>
      <c r="B3207" s="15">
        <v>45722</v>
      </c>
      <c r="C3207" s="16">
        <v>31125291</v>
      </c>
      <c r="D3207" s="10">
        <f>PrincipalesVariables[[#This Row],[Base monetaria]]/1000000</f>
        <v>31.125291000000001</v>
      </c>
      <c r="E3207" s="10">
        <v>1064.6300000000001</v>
      </c>
      <c r="F3207" s="11">
        <v>28181</v>
      </c>
      <c r="H3207" s="12">
        <f>(PrincipalesVariables[[#This Row],[Base monetaria]]-C3206)/C3206</f>
        <v>1.1895751491780475E-2</v>
      </c>
      <c r="I3207" s="12">
        <f>(PrincipalesVariables[[#This Row],[Dólar  mayorista]]-E3206)/E3206</f>
        <v>2.348785208290272E-4</v>
      </c>
      <c r="J3207" s="12">
        <f>(PrincipalesVariables[[#This Row],[Reservas internacionales]]-F3206)/F3206</f>
        <v>6.7878961094637565E-3</v>
      </c>
    </row>
    <row r="3208" spans="1:10" ht="15.75" thickBot="1" x14ac:dyDescent="0.3">
      <c r="A3208" s="14">
        <v>45723</v>
      </c>
      <c r="B3208" s="15">
        <v>45723</v>
      </c>
      <c r="C3208" s="16">
        <v>30856427</v>
      </c>
      <c r="D3208" s="10">
        <f>PrincipalesVariables[[#This Row],[Base monetaria]]/1000000</f>
        <v>30.856427</v>
      </c>
      <c r="E3208" s="10">
        <v>1066.04</v>
      </c>
      <c r="F3208" s="11">
        <v>28090</v>
      </c>
      <c r="H3208" s="12">
        <f>(PrincipalesVariables[[#This Row],[Base monetaria]]-C3207)/C3207</f>
        <v>-8.6381200419941451E-3</v>
      </c>
      <c r="I3208" s="12">
        <f>(PrincipalesVariables[[#This Row],[Dólar  mayorista]]-E3207)/E3207</f>
        <v>1.324403783473934E-3</v>
      </c>
      <c r="J3208" s="12">
        <f>(PrincipalesVariables[[#This Row],[Reservas internacionales]]-F3207)/F3207</f>
        <v>-3.2291260068840707E-3</v>
      </c>
    </row>
    <row r="3209" spans="1:10" ht="15.75" thickBot="1" x14ac:dyDescent="0.3">
      <c r="A3209" s="14">
        <v>45726</v>
      </c>
      <c r="B3209" s="15">
        <v>45726</v>
      </c>
      <c r="C3209" s="16">
        <v>30146018</v>
      </c>
      <c r="D3209" s="10">
        <f>PrincipalesVariables[[#This Row],[Base monetaria]]/1000000</f>
        <v>30.146018000000002</v>
      </c>
      <c r="E3209" s="10">
        <v>1066.33</v>
      </c>
      <c r="F3209" s="11">
        <v>27732</v>
      </c>
      <c r="H3209" s="12">
        <f>(PrincipalesVariables[[#This Row],[Base monetaria]]-C3208)/C3208</f>
        <v>-2.3023048002284906E-2</v>
      </c>
      <c r="I3209" s="12">
        <f>(PrincipalesVariables[[#This Row],[Dólar  mayorista]]-E3208)/E3208</f>
        <v>2.7203482045698441E-4</v>
      </c>
      <c r="J3209" s="12">
        <f>(PrincipalesVariables[[#This Row],[Reservas internacionales]]-F3208)/F3208</f>
        <v>-1.2744749021003915E-2</v>
      </c>
    </row>
    <row r="3210" spans="1:10" ht="15.75" thickBot="1" x14ac:dyDescent="0.3">
      <c r="A3210" s="14">
        <v>45727</v>
      </c>
      <c r="B3210" s="15">
        <v>45727</v>
      </c>
      <c r="C3210" s="16">
        <v>30475141</v>
      </c>
      <c r="D3210" s="10">
        <f>PrincipalesVariables[[#This Row],[Base monetaria]]/1000000</f>
        <v>30.475141000000001</v>
      </c>
      <c r="E3210" s="10">
        <v>1066.67</v>
      </c>
      <c r="F3210" s="11">
        <v>27687</v>
      </c>
      <c r="H3210" s="12">
        <f>(PrincipalesVariables[[#This Row],[Base monetaria]]-C3209)/C3209</f>
        <v>1.0917627661470912E-2</v>
      </c>
      <c r="I3210" s="12">
        <f>(PrincipalesVariables[[#This Row],[Dólar  mayorista]]-E3209)/E3209</f>
        <v>3.1885063723251298E-4</v>
      </c>
      <c r="J3210" s="12">
        <f>(PrincipalesVariables[[#This Row],[Reservas internacionales]]-F3209)/F3209</f>
        <v>-1.6226741670272609E-3</v>
      </c>
    </row>
    <row r="3211" spans="1:10" ht="15.75" thickBot="1" x14ac:dyDescent="0.3">
      <c r="A3211" s="14">
        <v>45728</v>
      </c>
      <c r="B3211" s="15">
        <v>45728</v>
      </c>
      <c r="C3211" s="16">
        <v>30493322</v>
      </c>
      <c r="D3211" s="10">
        <f>PrincipalesVariables[[#This Row],[Base monetaria]]/1000000</f>
        <v>30.493321999999999</v>
      </c>
      <c r="E3211" s="10">
        <v>1066.8800000000001</v>
      </c>
      <c r="F3211" s="11">
        <v>27960</v>
      </c>
      <c r="H3211" s="12">
        <f>(PrincipalesVariables[[#This Row],[Base monetaria]]-C3210)/C3210</f>
        <v>5.9658460645022114E-4</v>
      </c>
      <c r="I3211" s="12">
        <f>(PrincipalesVariables[[#This Row],[Dólar  mayorista]]-E3210)/E3210</f>
        <v>1.9687438476758169E-4</v>
      </c>
      <c r="J3211" s="12">
        <f>(PrincipalesVariables[[#This Row],[Reservas internacionales]]-F3210)/F3210</f>
        <v>9.8602232094484772E-3</v>
      </c>
    </row>
    <row r="3212" spans="1:10" ht="15.75" thickBot="1" x14ac:dyDescent="0.3">
      <c r="A3212" s="14">
        <v>45729</v>
      </c>
      <c r="B3212" s="15">
        <v>45729</v>
      </c>
      <c r="C3212" s="16">
        <v>30051710</v>
      </c>
      <c r="D3212" s="10">
        <f>PrincipalesVariables[[#This Row],[Base monetaria]]/1000000</f>
        <v>30.05171</v>
      </c>
      <c r="E3212" s="10">
        <v>1067.1300000000001</v>
      </c>
      <c r="F3212" s="11">
        <v>28104</v>
      </c>
      <c r="H3212" s="12">
        <f>(PrincipalesVariables[[#This Row],[Base monetaria]]-C3211)/C3211</f>
        <v>-1.448225286834934E-2</v>
      </c>
      <c r="I3212" s="12">
        <f>(PrincipalesVariables[[#This Row],[Dólar  mayorista]]-E3211)/E3211</f>
        <v>2.3432813437312535E-4</v>
      </c>
      <c r="J3212" s="12">
        <f>(PrincipalesVariables[[#This Row],[Reservas internacionales]]-F3211)/F3211</f>
        <v>5.1502145922746783E-3</v>
      </c>
    </row>
    <row r="3213" spans="1:10" ht="15.75" thickBot="1" x14ac:dyDescent="0.3">
      <c r="A3213" s="14">
        <v>45730</v>
      </c>
      <c r="B3213" s="15">
        <v>45730</v>
      </c>
      <c r="C3213" s="16">
        <v>30562264</v>
      </c>
      <c r="D3213" s="10">
        <f>PrincipalesVariables[[#This Row],[Base monetaria]]/1000000</f>
        <v>30.562263999999999</v>
      </c>
      <c r="E3213" s="10">
        <v>1068.54</v>
      </c>
      <c r="F3213" s="11">
        <v>28091</v>
      </c>
      <c r="H3213" s="12">
        <f>(PrincipalesVariables[[#This Row],[Base monetaria]]-C3212)/C3212</f>
        <v>1.6989182978273117E-2</v>
      </c>
      <c r="I3213" s="12">
        <f>(PrincipalesVariables[[#This Row],[Dólar  mayorista]]-E3212)/E3212</f>
        <v>1.3213010598519903E-3</v>
      </c>
      <c r="J3213" s="12">
        <f>(PrincipalesVariables[[#This Row],[Reservas internacionales]]-F3212)/F3212</f>
        <v>-4.6256760603472814E-4</v>
      </c>
    </row>
    <row r="3214" spans="1:10" ht="15.75" thickBot="1" x14ac:dyDescent="0.3">
      <c r="A3214" s="14">
        <v>45733</v>
      </c>
      <c r="B3214" s="15">
        <v>45733</v>
      </c>
      <c r="C3214" s="16">
        <v>30215667</v>
      </c>
      <c r="D3214" s="10">
        <f>PrincipalesVariables[[#This Row],[Base monetaria]]/1000000</f>
        <v>30.215667</v>
      </c>
      <c r="E3214" s="10">
        <v>1068.92</v>
      </c>
      <c r="F3214" s="11">
        <v>27338</v>
      </c>
      <c r="H3214" s="12">
        <f>(PrincipalesVariables[[#This Row],[Base monetaria]]-C3213)/C3213</f>
        <v>-1.1340684708436521E-2</v>
      </c>
      <c r="I3214" s="12">
        <f>(PrincipalesVariables[[#This Row],[Dólar  mayorista]]-E3213)/E3213</f>
        <v>3.5562543283368815E-4</v>
      </c>
      <c r="J3214" s="12">
        <f>(PrincipalesVariables[[#This Row],[Reservas internacionales]]-F3213)/F3213</f>
        <v>-2.6805738492755686E-2</v>
      </c>
    </row>
    <row r="3215" spans="1:10" ht="15.75" thickBot="1" x14ac:dyDescent="0.3">
      <c r="A3215" s="14">
        <v>45734</v>
      </c>
      <c r="B3215" s="15">
        <v>45734</v>
      </c>
      <c r="C3215" s="16">
        <v>29885056</v>
      </c>
      <c r="D3215" s="10">
        <f>PrincipalesVariables[[#This Row],[Base monetaria]]/1000000</f>
        <v>29.885055999999999</v>
      </c>
      <c r="E3215" s="10">
        <v>1069.1300000000001</v>
      </c>
      <c r="F3215" s="11">
        <v>27208</v>
      </c>
      <c r="H3215" s="12">
        <f>(PrincipalesVariables[[#This Row],[Base monetaria]]-C3214)/C3214</f>
        <v>-1.0941707823295775E-2</v>
      </c>
      <c r="I3215" s="12">
        <f>(PrincipalesVariables[[#This Row],[Dólar  mayorista]]-E3214)/E3214</f>
        <v>1.9645997829588404E-4</v>
      </c>
      <c r="J3215" s="12">
        <f>(PrincipalesVariables[[#This Row],[Reservas internacionales]]-F3214)/F3214</f>
        <v>-4.7552856829321819E-3</v>
      </c>
    </row>
    <row r="3216" spans="1:10" ht="15.75" thickBot="1" x14ac:dyDescent="0.3">
      <c r="A3216" s="14">
        <v>45735</v>
      </c>
      <c r="B3216" s="15">
        <v>45735</v>
      </c>
      <c r="C3216" s="16">
        <v>29992603</v>
      </c>
      <c r="D3216" s="10">
        <f>PrincipalesVariables[[#This Row],[Base monetaria]]/1000000</f>
        <v>29.992602999999999</v>
      </c>
      <c r="E3216" s="10">
        <v>1069.6300000000001</v>
      </c>
      <c r="F3216" s="11">
        <v>27046</v>
      </c>
      <c r="H3216" s="12">
        <f>(PrincipalesVariables[[#This Row],[Base monetaria]]-C3215)/C3215</f>
        <v>3.5986882540892679E-3</v>
      </c>
      <c r="I3216" s="12">
        <f>(PrincipalesVariables[[#This Row],[Dólar  mayorista]]-E3215)/E3215</f>
        <v>4.676699746522873E-4</v>
      </c>
      <c r="J3216" s="12">
        <f>(PrincipalesVariables[[#This Row],[Reservas internacionales]]-F3215)/F3215</f>
        <v>-5.9541311379006177E-3</v>
      </c>
    </row>
    <row r="3217" spans="1:10" ht="15.75" thickBot="1" x14ac:dyDescent="0.3">
      <c r="A3217" s="14">
        <v>45736</v>
      </c>
      <c r="B3217" s="15">
        <v>45736</v>
      </c>
      <c r="C3217" s="16">
        <v>29715005</v>
      </c>
      <c r="D3217" s="10">
        <f>PrincipalesVariables[[#This Row],[Base monetaria]]/1000000</f>
        <v>29.715005000000001</v>
      </c>
      <c r="E3217" s="10">
        <v>1069.83</v>
      </c>
      <c r="F3217" s="11">
        <v>26785</v>
      </c>
      <c r="H3217" s="12">
        <f>(PrincipalesVariables[[#This Row],[Base monetaria]]-C3216)/C3216</f>
        <v>-9.2555487764766527E-3</v>
      </c>
      <c r="I3217" s="12">
        <f>(PrincipalesVariables[[#This Row],[Dólar  mayorista]]-E3216)/E3216</f>
        <v>1.8698054467415656E-4</v>
      </c>
      <c r="J3217" s="12">
        <f>(PrincipalesVariables[[#This Row],[Reservas internacionales]]-F3216)/F3216</f>
        <v>-9.6502255416697474E-3</v>
      </c>
    </row>
    <row r="3218" spans="1:10" ht="15.75" thickBot="1" x14ac:dyDescent="0.3">
      <c r="A3218" s="14">
        <v>45737</v>
      </c>
      <c r="B3218" s="15">
        <v>45737</v>
      </c>
      <c r="C3218" s="16">
        <v>30157532</v>
      </c>
      <c r="D3218" s="10">
        <f>PrincipalesVariables[[#This Row],[Base monetaria]]/1000000</f>
        <v>30.157532</v>
      </c>
      <c r="E3218" s="10">
        <v>1071.33</v>
      </c>
      <c r="F3218" s="11">
        <v>26628</v>
      </c>
      <c r="H3218" s="12">
        <f>(PrincipalesVariables[[#This Row],[Base monetaria]]-C3217)/C3217</f>
        <v>1.4892375081208971E-2</v>
      </c>
      <c r="I3218" s="12">
        <f>(PrincipalesVariables[[#This Row],[Dólar  mayorista]]-E3217)/E3217</f>
        <v>1.4020919211463504E-3</v>
      </c>
      <c r="J3218" s="12">
        <f>(PrincipalesVariables[[#This Row],[Reservas internacionales]]-F3217)/F3217</f>
        <v>-5.8614896397237264E-3</v>
      </c>
    </row>
    <row r="3219" spans="1:10" ht="15.75" thickBot="1" x14ac:dyDescent="0.3">
      <c r="A3219" s="14">
        <v>45741</v>
      </c>
      <c r="B3219" s="15">
        <v>45741</v>
      </c>
      <c r="C3219" s="16">
        <v>30148778</v>
      </c>
      <c r="D3219" s="10">
        <f>PrincipalesVariables[[#This Row],[Base monetaria]]/1000000</f>
        <v>30.148778</v>
      </c>
      <c r="E3219" s="10">
        <v>1071.58</v>
      </c>
      <c r="F3219" s="11">
        <v>26442</v>
      </c>
      <c r="H3219" s="12">
        <f>(PrincipalesVariables[[#This Row],[Base monetaria]]-C3218)/C3218</f>
        <v>-2.9027574272324407E-4</v>
      </c>
      <c r="I3219" s="12">
        <f>(PrincipalesVariables[[#This Row],[Dólar  mayorista]]-E3218)/E3218</f>
        <v>2.3335480197511505E-4</v>
      </c>
      <c r="J3219" s="12">
        <f>(PrincipalesVariables[[#This Row],[Reservas internacionales]]-F3218)/F3218</f>
        <v>-6.9851284362325372E-3</v>
      </c>
    </row>
    <row r="3220" spans="1:10" ht="15.75" thickBot="1" x14ac:dyDescent="0.3">
      <c r="A3220" s="14">
        <v>45742</v>
      </c>
      <c r="B3220" s="15">
        <v>45742</v>
      </c>
      <c r="C3220" s="16">
        <v>29851367</v>
      </c>
      <c r="D3220" s="10">
        <f>PrincipalesVariables[[#This Row],[Base monetaria]]/1000000</f>
        <v>29.851367</v>
      </c>
      <c r="E3220" s="10">
        <v>1072.08</v>
      </c>
      <c r="F3220" s="11">
        <v>26251</v>
      </c>
      <c r="H3220" s="12">
        <f>(PrincipalesVariables[[#This Row],[Base monetaria]]-C3219)/C3219</f>
        <v>-9.8647779356098603E-3</v>
      </c>
      <c r="I3220" s="12">
        <f>(PrincipalesVariables[[#This Row],[Dólar  mayorista]]-E3219)/E3219</f>
        <v>4.6660072043151236E-4</v>
      </c>
      <c r="J3220" s="12">
        <f>(PrincipalesVariables[[#This Row],[Reservas internacionales]]-F3219)/F3219</f>
        <v>-7.2233567808789052E-3</v>
      </c>
    </row>
    <row r="3221" spans="1:10" ht="15.75" thickBot="1" x14ac:dyDescent="0.3">
      <c r="A3221" s="14">
        <v>45743</v>
      </c>
      <c r="B3221" s="15">
        <v>45743</v>
      </c>
      <c r="C3221" s="16">
        <v>30090914</v>
      </c>
      <c r="D3221" s="10">
        <f>PrincipalesVariables[[#This Row],[Base monetaria]]/1000000</f>
        <v>30.090914000000001</v>
      </c>
      <c r="E3221" s="10">
        <v>1072.29</v>
      </c>
      <c r="F3221" s="11">
        <v>26223</v>
      </c>
      <c r="H3221" s="12">
        <f>(PrincipalesVariables[[#This Row],[Base monetaria]]-C3220)/C3220</f>
        <v>8.0246576312568863E-3</v>
      </c>
      <c r="I3221" s="12">
        <f>(PrincipalesVariables[[#This Row],[Dólar  mayorista]]-E3220)/E3220</f>
        <v>1.9588090441015259E-4</v>
      </c>
      <c r="J3221" s="12">
        <f>(PrincipalesVariables[[#This Row],[Reservas internacionales]]-F3220)/F3220</f>
        <v>-1.0666260332939698E-3</v>
      </c>
    </row>
    <row r="3222" spans="1:10" ht="15.75" thickBot="1" x14ac:dyDescent="0.3">
      <c r="A3222" s="14">
        <v>45744</v>
      </c>
      <c r="B3222" s="15">
        <v>45744</v>
      </c>
      <c r="C3222" s="16">
        <v>29892870</v>
      </c>
      <c r="D3222" s="10">
        <f>PrincipalesVariables[[#This Row],[Base monetaria]]/1000000</f>
        <v>29.892869999999998</v>
      </c>
      <c r="E3222" s="10">
        <v>1073.3800000000001</v>
      </c>
      <c r="F3222" s="11">
        <v>25777</v>
      </c>
      <c r="H3222" s="12">
        <f>(PrincipalesVariables[[#This Row],[Base monetaria]]-C3221)/C3221</f>
        <v>-6.5815215848877172E-3</v>
      </c>
      <c r="I3222" s="12">
        <f>(PrincipalesVariables[[#This Row],[Dólar  mayorista]]-E3221)/E3221</f>
        <v>1.016516054425711E-3</v>
      </c>
      <c r="J3222" s="12">
        <f>(PrincipalesVariables[[#This Row],[Reservas internacionales]]-F3221)/F3221</f>
        <v>-1.7007970102581704E-2</v>
      </c>
    </row>
    <row r="3223" spans="1:10" ht="15.75" thickBot="1" x14ac:dyDescent="0.3">
      <c r="A3223" s="14">
        <v>45747</v>
      </c>
      <c r="B3223" s="15">
        <v>45747</v>
      </c>
      <c r="C3223" s="16">
        <v>30534180</v>
      </c>
      <c r="D3223" s="10">
        <f>PrincipalesVariables[[#This Row],[Base monetaria]]/1000000</f>
        <v>30.534179999999999</v>
      </c>
      <c r="E3223" s="10">
        <v>1073.8800000000001</v>
      </c>
      <c r="F3223" s="11">
        <v>24986</v>
      </c>
      <c r="H3223" s="12">
        <f>(PrincipalesVariables[[#This Row],[Base monetaria]]-C3222)/C3222</f>
        <v>2.1453610844325084E-2</v>
      </c>
      <c r="I3223" s="12">
        <f>(PrincipalesVariables[[#This Row],[Dólar  mayorista]]-E3222)/E3222</f>
        <v>4.6581825634910281E-4</v>
      </c>
      <c r="J3223" s="12">
        <f>(PrincipalesVariables[[#This Row],[Reservas internacionales]]-F3222)/F3222</f>
        <v>-3.0686270706443728E-2</v>
      </c>
    </row>
    <row r="3224" spans="1:10" ht="15.75" thickBot="1" x14ac:dyDescent="0.3">
      <c r="A3224" s="14">
        <v>45748</v>
      </c>
      <c r="B3224" s="15">
        <v>45748</v>
      </c>
      <c r="C3224" s="16">
        <v>33924898</v>
      </c>
      <c r="D3224" s="10">
        <f>PrincipalesVariables[[#This Row],[Base monetaria]]/1000000</f>
        <v>33.924897999999999</v>
      </c>
      <c r="E3224" s="10">
        <v>1074.54</v>
      </c>
      <c r="F3224" s="11">
        <v>25450</v>
      </c>
      <c r="H3224" s="12">
        <f>(PrincipalesVariables[[#This Row],[Base monetaria]]-C3223)/C3223</f>
        <v>0.11104663691639992</v>
      </c>
      <c r="I3224" s="12">
        <f>(PrincipalesVariables[[#This Row],[Dólar  mayorista]]-E3223)/E3223</f>
        <v>6.145938093640392E-4</v>
      </c>
      <c r="J3224" s="12">
        <f>(PrincipalesVariables[[#This Row],[Reservas internacionales]]-F3223)/F3223</f>
        <v>1.8570399423677258E-2</v>
      </c>
    </row>
    <row r="3225" spans="1:10" ht="15.75" thickBot="1" x14ac:dyDescent="0.3">
      <c r="A3225" s="14">
        <v>45750</v>
      </c>
      <c r="B3225" s="15">
        <v>45750</v>
      </c>
      <c r="C3225" s="16">
        <v>34468529</v>
      </c>
      <c r="D3225" s="10">
        <f>PrincipalesVariables[[#This Row],[Base monetaria]]/1000000</f>
        <v>34.468528999999997</v>
      </c>
      <c r="E3225" s="10">
        <v>1074.83</v>
      </c>
      <c r="F3225" s="11">
        <v>25305</v>
      </c>
      <c r="H3225" s="12">
        <f>(PrincipalesVariables[[#This Row],[Base monetaria]]-C3224)/C3224</f>
        <v>1.6024543389931489E-2</v>
      </c>
      <c r="I3225" s="12">
        <f>(PrincipalesVariables[[#This Row],[Dólar  mayorista]]-E3224)/E3224</f>
        <v>2.6988292664764793E-4</v>
      </c>
      <c r="J3225" s="12">
        <f>(PrincipalesVariables[[#This Row],[Reservas internacionales]]-F3224)/F3224</f>
        <v>-5.6974459724950886E-3</v>
      </c>
    </row>
    <row r="3226" spans="1:10" ht="15.75" thickBot="1" x14ac:dyDescent="0.3">
      <c r="A3226" s="14">
        <v>45751</v>
      </c>
      <c r="B3226" s="15">
        <v>45751</v>
      </c>
      <c r="C3226" s="16">
        <v>33767969</v>
      </c>
      <c r="D3226" s="10">
        <f>PrincipalesVariables[[#This Row],[Base monetaria]]/1000000</f>
        <v>33.767969000000001</v>
      </c>
      <c r="E3226" s="10">
        <v>1075.8800000000001</v>
      </c>
      <c r="F3226" s="11">
        <v>25148</v>
      </c>
      <c r="H3226" s="12">
        <f>(PrincipalesVariables[[#This Row],[Base monetaria]]-C3225)/C3225</f>
        <v>-2.0324627140311094E-2</v>
      </c>
      <c r="I3226" s="12">
        <f>(PrincipalesVariables[[#This Row],[Dólar  mayorista]]-E3225)/E3225</f>
        <v>9.7689867234835464E-4</v>
      </c>
      <c r="J3226" s="12">
        <f>(PrincipalesVariables[[#This Row],[Reservas internacionales]]-F3225)/F3225</f>
        <v>-6.2043074491207268E-3</v>
      </c>
    </row>
    <row r="3227" spans="1:10" ht="15.75" thickBot="1" x14ac:dyDescent="0.3">
      <c r="A3227" s="14">
        <v>45754</v>
      </c>
      <c r="B3227" s="15">
        <v>45754</v>
      </c>
      <c r="C3227" s="16">
        <v>34275343</v>
      </c>
      <c r="D3227" s="10">
        <f>PrincipalesVariables[[#This Row],[Base monetaria]]/1000000</f>
        <v>34.275342999999999</v>
      </c>
      <c r="E3227" s="10">
        <v>1076.33</v>
      </c>
      <c r="F3227" s="11">
        <v>24838</v>
      </c>
      <c r="H3227" s="12">
        <f>(PrincipalesVariables[[#This Row],[Base monetaria]]-C3226)/C3226</f>
        <v>1.5025304009252081E-2</v>
      </c>
      <c r="I3227" s="12">
        <f>(PrincipalesVariables[[#This Row],[Dólar  mayorista]]-E3226)/E3226</f>
        <v>4.1826225973139945E-4</v>
      </c>
      <c r="J3227" s="12">
        <f>(PrincipalesVariables[[#This Row],[Reservas internacionales]]-F3226)/F3226</f>
        <v>-1.2327024017814539E-2</v>
      </c>
    </row>
    <row r="3228" spans="1:10" ht="15.75" thickBot="1" x14ac:dyDescent="0.3">
      <c r="A3228" s="14">
        <v>45755</v>
      </c>
      <c r="B3228" s="15">
        <v>45755</v>
      </c>
      <c r="C3228" s="16">
        <v>34496121</v>
      </c>
      <c r="D3228" s="10">
        <f>PrincipalesVariables[[#This Row],[Base monetaria]]/1000000</f>
        <v>34.496121000000002</v>
      </c>
      <c r="E3228" s="10">
        <v>1076.58</v>
      </c>
      <c r="F3228" s="11">
        <v>24677</v>
      </c>
      <c r="H3228" s="12">
        <f>(PrincipalesVariables[[#This Row],[Base monetaria]]-C3227)/C3227</f>
        <v>6.4413068018021003E-3</v>
      </c>
      <c r="I3228" s="12">
        <f>(PrincipalesVariables[[#This Row],[Dólar  mayorista]]-E3227)/E3227</f>
        <v>2.3227077197513776E-4</v>
      </c>
      <c r="J3228" s="12">
        <f>(PrincipalesVariables[[#This Row],[Reservas internacionales]]-F3227)/F3227</f>
        <v>-6.482003381914808E-3</v>
      </c>
    </row>
    <row r="3229" spans="1:10" ht="15.75" thickBot="1" x14ac:dyDescent="0.3">
      <c r="A3229" s="14">
        <v>45756</v>
      </c>
      <c r="B3229" s="15">
        <v>45756</v>
      </c>
      <c r="C3229" s="16">
        <v>34124828</v>
      </c>
      <c r="D3229" s="10">
        <f>PrincipalesVariables[[#This Row],[Base monetaria]]/1000000</f>
        <v>34.124828000000001</v>
      </c>
      <c r="E3229" s="10">
        <v>1077.1300000000001</v>
      </c>
      <c r="F3229" s="11">
        <v>24780</v>
      </c>
      <c r="H3229" s="12">
        <f>(PrincipalesVariables[[#This Row],[Base monetaria]]-C3228)/C3228</f>
        <v>-1.0763326114260788E-2</v>
      </c>
      <c r="I3229" s="12">
        <f>(PrincipalesVariables[[#This Row],[Dólar  mayorista]]-E3228)/E3228</f>
        <v>5.1087703654181013E-4</v>
      </c>
      <c r="J3229" s="12">
        <f>(PrincipalesVariables[[#This Row],[Reservas internacionales]]-F3228)/F3228</f>
        <v>4.1739271386311144E-3</v>
      </c>
    </row>
    <row r="3230" spans="1:10" ht="15.75" thickBot="1" x14ac:dyDescent="0.3">
      <c r="A3230" s="14">
        <v>45757</v>
      </c>
      <c r="B3230" s="15">
        <v>45757</v>
      </c>
      <c r="C3230" s="16">
        <v>34413497</v>
      </c>
      <c r="D3230" s="10">
        <f>PrincipalesVariables[[#This Row],[Base monetaria]]/1000000</f>
        <v>34.413497</v>
      </c>
      <c r="E3230" s="10">
        <v>1077.3800000000001</v>
      </c>
      <c r="F3230" s="11">
        <v>24773</v>
      </c>
      <c r="H3230" s="12">
        <f>(PrincipalesVariables[[#This Row],[Base monetaria]]-C3229)/C3229</f>
        <v>8.4592074720493838E-3</v>
      </c>
      <c r="I3230" s="12">
        <f>(PrincipalesVariables[[#This Row],[Dólar  mayorista]]-E3229)/E3229</f>
        <v>2.3209826111982766E-4</v>
      </c>
      <c r="J3230" s="12">
        <f>(PrincipalesVariables[[#This Row],[Reservas internacionales]]-F3229)/F3229</f>
        <v>-2.824858757062147E-4</v>
      </c>
    </row>
    <row r="3231" spans="1:10" ht="15.75" thickBot="1" x14ac:dyDescent="0.3">
      <c r="A3231" s="14">
        <v>45758</v>
      </c>
      <c r="B3231" s="15">
        <v>45758</v>
      </c>
      <c r="C3231" s="16">
        <v>36723827</v>
      </c>
      <c r="D3231" s="10">
        <f>PrincipalesVariables[[#This Row],[Base monetaria]]/1000000</f>
        <v>36.723827</v>
      </c>
      <c r="E3231" s="10">
        <v>1078.3800000000001</v>
      </c>
      <c r="F3231" s="11">
        <v>24704</v>
      </c>
      <c r="H3231" s="12">
        <f>(PrincipalesVariables[[#This Row],[Base monetaria]]-C3230)/C3230</f>
        <v>6.7134415313852003E-2</v>
      </c>
      <c r="I3231" s="12">
        <f>(PrincipalesVariables[[#This Row],[Dólar  mayorista]]-E3230)/E3230</f>
        <v>9.2817761606861081E-4</v>
      </c>
      <c r="J3231" s="12">
        <f>(PrincipalesVariables[[#This Row],[Reservas internacionales]]-F3230)/F3230</f>
        <v>-2.7852904371694991E-3</v>
      </c>
    </row>
    <row r="3232" spans="1:10" ht="15.75" thickBot="1" x14ac:dyDescent="0.3">
      <c r="A3232" s="14">
        <v>45761</v>
      </c>
      <c r="B3232" s="15">
        <v>45761</v>
      </c>
      <c r="C3232" s="16">
        <v>34015295</v>
      </c>
      <c r="D3232" s="10">
        <f>PrincipalesVariables[[#This Row],[Base monetaria]]/1000000</f>
        <v>34.015295000000002</v>
      </c>
      <c r="E3232" s="10">
        <v>1182.42</v>
      </c>
      <c r="F3232" s="11">
        <v>24221</v>
      </c>
      <c r="H3232" s="12">
        <f>(PrincipalesVariables[[#This Row],[Base monetaria]]-C3231)/C3231</f>
        <v>-7.3754077972320253E-2</v>
      </c>
      <c r="I3232" s="12">
        <f>(PrincipalesVariables[[#This Row],[Dólar  mayorista]]-E3231)/E3231</f>
        <v>9.6478050408946706E-2</v>
      </c>
      <c r="J3232" s="12">
        <f>(PrincipalesVariables[[#This Row],[Reservas internacionales]]-F3231)/F3231</f>
        <v>-1.95514896373057E-2</v>
      </c>
    </row>
    <row r="3233" spans="1:10" ht="15.75" thickBot="1" x14ac:dyDescent="0.3">
      <c r="A3233" s="14">
        <v>45762</v>
      </c>
      <c r="B3233" s="15">
        <v>45762</v>
      </c>
      <c r="C3233" s="16">
        <v>33925628</v>
      </c>
      <c r="D3233" s="10">
        <f>PrincipalesVariables[[#This Row],[Base monetaria]]/1000000</f>
        <v>33.925628000000003</v>
      </c>
      <c r="E3233" s="10">
        <v>1200.83</v>
      </c>
      <c r="F3233" s="11">
        <v>36777</v>
      </c>
      <c r="H3233" s="12">
        <f>(PrincipalesVariables[[#This Row],[Base monetaria]]-C3232)/C3232</f>
        <v>-2.6360788580548837E-3</v>
      </c>
      <c r="I3233" s="12">
        <f>(PrincipalesVariables[[#This Row],[Dólar  mayorista]]-E3232)/E3232</f>
        <v>1.5569763704943973E-2</v>
      </c>
      <c r="J3233" s="12">
        <f>(PrincipalesVariables[[#This Row],[Reservas internacionales]]-F3232)/F3232</f>
        <v>0.51839312992857434</v>
      </c>
    </row>
    <row r="3234" spans="1:10" ht="15.75" thickBot="1" x14ac:dyDescent="0.3">
      <c r="A3234" s="14">
        <v>45763</v>
      </c>
      <c r="B3234" s="15">
        <v>45763</v>
      </c>
      <c r="C3234" s="16">
        <v>33430894</v>
      </c>
      <c r="D3234" s="10">
        <f>PrincipalesVariables[[#This Row],[Base monetaria]]/1000000</f>
        <v>33.430894000000002</v>
      </c>
      <c r="E3234" s="10">
        <v>1172.83</v>
      </c>
      <c r="F3234" s="11">
        <v>38616</v>
      </c>
      <c r="H3234" s="12">
        <f>(PrincipalesVariables[[#This Row],[Base monetaria]]-C3233)/C3233</f>
        <v>-1.4582898804408278E-2</v>
      </c>
      <c r="I3234" s="12">
        <f>(PrincipalesVariables[[#This Row],[Dólar  mayorista]]-E3233)/E3233</f>
        <v>-2.3317205599460374E-2</v>
      </c>
      <c r="J3234" s="12">
        <f>(PrincipalesVariables[[#This Row],[Reservas internacionales]]-F3233)/F3233</f>
        <v>5.0004078636104086E-2</v>
      </c>
    </row>
    <row r="3235" spans="1:10" ht="15.75" thickBot="1" x14ac:dyDescent="0.3">
      <c r="A3235" s="14">
        <v>45768</v>
      </c>
      <c r="B3235" s="15">
        <v>45768</v>
      </c>
      <c r="C3235" s="16">
        <v>31540018</v>
      </c>
      <c r="D3235" s="10">
        <f>PrincipalesVariables[[#This Row],[Base monetaria]]/1000000</f>
        <v>31.540018</v>
      </c>
      <c r="E3235" s="10">
        <v>1070.42</v>
      </c>
      <c r="F3235" s="11">
        <v>38791</v>
      </c>
      <c r="H3235" s="12">
        <f>(PrincipalesVariables[[#This Row],[Base monetaria]]-C3234)/C3234</f>
        <v>-5.6560736904014593E-2</v>
      </c>
      <c r="I3235" s="12">
        <f>(PrincipalesVariables[[#This Row],[Dólar  mayorista]]-E3234)/E3234</f>
        <v>-8.7318707741104729E-2</v>
      </c>
      <c r="J3235" s="12">
        <f>(PrincipalesVariables[[#This Row],[Reservas internacionales]]-F3234)/F3234</f>
        <v>4.5318002900352188E-3</v>
      </c>
    </row>
    <row r="3236" spans="1:10" ht="15.75" thickBot="1" x14ac:dyDescent="0.3">
      <c r="A3236" s="14">
        <v>45769</v>
      </c>
      <c r="B3236" s="15">
        <v>45769</v>
      </c>
      <c r="C3236" s="16">
        <v>30535306</v>
      </c>
      <c r="D3236" s="10">
        <f>PrincipalesVariables[[#This Row],[Base monetaria]]/1000000</f>
        <v>30.535305999999999</v>
      </c>
      <c r="E3236" s="10">
        <v>1093.33</v>
      </c>
      <c r="F3236" s="11">
        <v>38814</v>
      </c>
      <c r="H3236" s="12">
        <f>(PrincipalesVariables[[#This Row],[Base monetaria]]-C3235)/C3235</f>
        <v>-3.1855149860726142E-2</v>
      </c>
      <c r="I3236" s="12">
        <f>(PrincipalesVariables[[#This Row],[Dólar  mayorista]]-E3235)/E3235</f>
        <v>2.1402813848769506E-2</v>
      </c>
      <c r="J3236" s="12">
        <f>(PrincipalesVariables[[#This Row],[Reservas internacionales]]-F3235)/F3235</f>
        <v>5.9292103838519243E-4</v>
      </c>
    </row>
    <row r="3237" spans="1:10" ht="15.75" thickBot="1" x14ac:dyDescent="0.3">
      <c r="A3237" s="14">
        <v>45770</v>
      </c>
      <c r="B3237" s="15">
        <v>45770</v>
      </c>
      <c r="C3237" s="16">
        <v>30799765</v>
      </c>
      <c r="D3237" s="10">
        <f>PrincipalesVariables[[#This Row],[Base monetaria]]/1000000</f>
        <v>30.799765000000001</v>
      </c>
      <c r="E3237" s="10">
        <v>1122.5</v>
      </c>
      <c r="F3237" s="11">
        <v>38631</v>
      </c>
      <c r="H3237" s="12">
        <f>(PrincipalesVariables[[#This Row],[Base monetaria]]-C3236)/C3236</f>
        <v>8.660761414999411E-3</v>
      </c>
      <c r="I3237" s="12">
        <f>(PrincipalesVariables[[#This Row],[Dólar  mayorista]]-E3236)/E3236</f>
        <v>2.6679959390120161E-2</v>
      </c>
      <c r="J3237" s="12">
        <f>(PrincipalesVariables[[#This Row],[Reservas internacionales]]-F3236)/F3236</f>
        <v>-4.7147936311640127E-3</v>
      </c>
    </row>
    <row r="3238" spans="1:10" ht="15.75" thickBot="1" x14ac:dyDescent="0.3">
      <c r="A3238" s="14">
        <v>45771</v>
      </c>
      <c r="B3238" s="15">
        <v>45771</v>
      </c>
      <c r="C3238" s="16">
        <v>30917195</v>
      </c>
      <c r="D3238" s="10">
        <f>PrincipalesVariables[[#This Row],[Base monetaria]]/1000000</f>
        <v>30.917195</v>
      </c>
      <c r="E3238" s="10">
        <v>1176.42</v>
      </c>
      <c r="F3238" s="11">
        <v>39079</v>
      </c>
      <c r="H3238" s="12">
        <f>(PrincipalesVariables[[#This Row],[Base monetaria]]-C3237)/C3237</f>
        <v>3.8126914280027786E-3</v>
      </c>
      <c r="I3238" s="12">
        <f>(PrincipalesVariables[[#This Row],[Dólar  mayorista]]-E3237)/E3237</f>
        <v>4.8035634743875344E-2</v>
      </c>
      <c r="J3238" s="12">
        <f>(PrincipalesVariables[[#This Row],[Reservas internacionales]]-F3237)/F3237</f>
        <v>1.1596904040796252E-2</v>
      </c>
    </row>
    <row r="3239" spans="1:10" ht="15.75" thickBot="1" x14ac:dyDescent="0.3">
      <c r="A3239" s="14">
        <v>45772</v>
      </c>
      <c r="B3239" s="15">
        <v>45772</v>
      </c>
      <c r="C3239" s="16">
        <v>31494771</v>
      </c>
      <c r="D3239" s="10">
        <f>PrincipalesVariables[[#This Row],[Base monetaria]]/1000000</f>
        <v>31.494771</v>
      </c>
      <c r="E3239" s="10">
        <v>1174.17</v>
      </c>
      <c r="F3239" s="11">
        <v>39168</v>
      </c>
      <c r="H3239" s="12">
        <f>(PrincipalesVariables[[#This Row],[Base monetaria]]-C3238)/C3238</f>
        <v>1.8681384258824256E-2</v>
      </c>
      <c r="I3239" s="12">
        <f>(PrincipalesVariables[[#This Row],[Dólar  mayorista]]-E3238)/E3238</f>
        <v>-1.9125822410363644E-3</v>
      </c>
      <c r="J3239" s="12">
        <f>(PrincipalesVariables[[#This Row],[Reservas internacionales]]-F3238)/F3238</f>
        <v>2.2774380101844979E-3</v>
      </c>
    </row>
    <row r="3240" spans="1:10" ht="15.75" thickBot="1" x14ac:dyDescent="0.3">
      <c r="A3240" s="14">
        <v>45775</v>
      </c>
      <c r="B3240" s="15">
        <v>45775</v>
      </c>
      <c r="C3240" s="16">
        <v>31123513</v>
      </c>
      <c r="D3240" s="10">
        <f>PrincipalesVariables[[#This Row],[Base monetaria]]/1000000</f>
        <v>31.123512999999999</v>
      </c>
      <c r="E3240" s="10">
        <v>1163.17</v>
      </c>
      <c r="F3240" s="11">
        <v>39291</v>
      </c>
      <c r="H3240" s="12">
        <f>(PrincipalesVariables[[#This Row],[Base monetaria]]-C3239)/C3239</f>
        <v>-1.1787925049526476E-2</v>
      </c>
      <c r="I3240" s="12">
        <f>(PrincipalesVariables[[#This Row],[Dólar  mayorista]]-E3239)/E3239</f>
        <v>-9.3683197492696966E-3</v>
      </c>
      <c r="J3240" s="12">
        <f>(PrincipalesVariables[[#This Row],[Reservas internacionales]]-F3239)/F3239</f>
        <v>3.1403186274509805E-3</v>
      </c>
    </row>
    <row r="3241" spans="1:10" ht="15.75" thickBot="1" x14ac:dyDescent="0.3">
      <c r="A3241" s="14">
        <v>45776</v>
      </c>
      <c r="B3241" s="15">
        <v>45776</v>
      </c>
      <c r="C3241" s="16">
        <v>31591655</v>
      </c>
      <c r="D3241" s="10">
        <f>PrincipalesVariables[[#This Row],[Base monetaria]]/1000000</f>
        <v>31.591654999999999</v>
      </c>
      <c r="E3241" s="10">
        <v>1170.67</v>
      </c>
      <c r="F3241" s="11">
        <v>39091</v>
      </c>
      <c r="H3241" s="12">
        <f>(PrincipalesVariables[[#This Row],[Base monetaria]]-C3240)/C3240</f>
        <v>1.5041425432919479E-2</v>
      </c>
      <c r="I3241" s="12">
        <f>(PrincipalesVariables[[#This Row],[Dólar  mayorista]]-E3240)/E3240</f>
        <v>6.4478966960977322E-3</v>
      </c>
      <c r="J3241" s="12">
        <f>(PrincipalesVariables[[#This Row],[Reservas internacionales]]-F3240)/F3240</f>
        <v>-5.0902242243770837E-3</v>
      </c>
    </row>
    <row r="3242" spans="1:10" ht="15.75" thickBot="1" x14ac:dyDescent="0.3">
      <c r="A3242" s="14">
        <v>45777</v>
      </c>
      <c r="B3242" s="15">
        <v>45777</v>
      </c>
      <c r="C3242" s="16">
        <v>32698982</v>
      </c>
      <c r="D3242" s="10">
        <f>PrincipalesVariables[[#This Row],[Base monetaria]]/1000000</f>
        <v>32.698982000000001</v>
      </c>
      <c r="E3242" s="10">
        <v>1172</v>
      </c>
      <c r="F3242" s="11">
        <v>38928</v>
      </c>
      <c r="H3242" s="12">
        <f>(PrincipalesVariables[[#This Row],[Base monetaria]]-C3241)/C3241</f>
        <v>3.5051250084872095E-2</v>
      </c>
      <c r="I3242" s="12">
        <f>(PrincipalesVariables[[#This Row],[Dólar  mayorista]]-E3241)/E3241</f>
        <v>1.1361015486857332E-3</v>
      </c>
      <c r="J3242" s="12">
        <f>(PrincipalesVariables[[#This Row],[Reservas internacionales]]-F3241)/F3241</f>
        <v>-4.169757744749431E-3</v>
      </c>
    </row>
    <row r="3243" spans="1:10" ht="15.75" thickBot="1" x14ac:dyDescent="0.3">
      <c r="A3243" s="14">
        <v>45782</v>
      </c>
      <c r="B3243" s="15">
        <v>45782</v>
      </c>
      <c r="C3243" s="16">
        <v>36854734</v>
      </c>
      <c r="D3243" s="10">
        <f>PrincipalesVariables[[#This Row],[Base monetaria]]/1000000</f>
        <v>36.854734000000001</v>
      </c>
      <c r="E3243" s="10">
        <v>1178.5</v>
      </c>
      <c r="F3243" s="11">
        <v>38976</v>
      </c>
      <c r="H3243" s="12">
        <f>(PrincipalesVariables[[#This Row],[Base monetaria]]-C3242)/C3242</f>
        <v>0.12709117366406086</v>
      </c>
      <c r="I3243" s="12">
        <f>(PrincipalesVariables[[#This Row],[Dólar  mayorista]]-E3242)/E3242</f>
        <v>5.5460750853242322E-3</v>
      </c>
      <c r="J3243" s="12">
        <f>(PrincipalesVariables[[#This Row],[Reservas internacionales]]-F3242)/F3242</f>
        <v>1.2330456226880395E-3</v>
      </c>
    </row>
    <row r="3244" spans="1:10" ht="15.75" thickBot="1" x14ac:dyDescent="0.3">
      <c r="A3244" s="14">
        <v>45783</v>
      </c>
      <c r="B3244" s="15">
        <v>45783</v>
      </c>
      <c r="C3244" s="16">
        <v>36649451</v>
      </c>
      <c r="D3244" s="10">
        <f>PrincipalesVariables[[#This Row],[Base monetaria]]/1000000</f>
        <v>36.649450999999999</v>
      </c>
      <c r="E3244" s="10">
        <v>1203.83</v>
      </c>
      <c r="F3244" s="11">
        <v>38542</v>
      </c>
      <c r="H3244" s="12">
        <f>(PrincipalesVariables[[#This Row],[Base monetaria]]-C3243)/C3243</f>
        <v>-5.5700578384312851E-3</v>
      </c>
      <c r="I3244" s="12">
        <f>(PrincipalesVariables[[#This Row],[Dólar  mayorista]]-E3243)/E3243</f>
        <v>2.1493423843869264E-2</v>
      </c>
      <c r="J3244" s="12">
        <f>(PrincipalesVariables[[#This Row],[Reservas internacionales]]-F3243)/F3243</f>
        <v>-1.1135057471264368E-2</v>
      </c>
    </row>
    <row r="3245" spans="1:10" ht="15.75" thickBot="1" x14ac:dyDescent="0.3">
      <c r="A3245" s="14">
        <v>45784</v>
      </c>
      <c r="B3245" s="15">
        <v>45784</v>
      </c>
      <c r="C3245" s="16">
        <v>36874854</v>
      </c>
      <c r="D3245" s="10">
        <f>PrincipalesVariables[[#This Row],[Base monetaria]]/1000000</f>
        <v>36.874853999999999</v>
      </c>
      <c r="E3245" s="10">
        <v>1153.5</v>
      </c>
      <c r="F3245" s="11">
        <v>38258</v>
      </c>
      <c r="H3245" s="12">
        <f>(PrincipalesVariables[[#This Row],[Base monetaria]]-C3244)/C3244</f>
        <v>6.1502421959881469E-3</v>
      </c>
      <c r="I3245" s="12">
        <f>(PrincipalesVariables[[#This Row],[Dólar  mayorista]]-E3244)/E3244</f>
        <v>-4.1808228736615577E-2</v>
      </c>
      <c r="J3245" s="12">
        <f>(PrincipalesVariables[[#This Row],[Reservas internacionales]]-F3244)/F3244</f>
        <v>-7.3685849203466349E-3</v>
      </c>
    </row>
    <row r="3246" spans="1:10" ht="15.75" thickBot="1" x14ac:dyDescent="0.3">
      <c r="A3246" s="14">
        <v>45785</v>
      </c>
      <c r="B3246" s="15">
        <v>45785</v>
      </c>
      <c r="C3246" s="16">
        <v>36551345</v>
      </c>
      <c r="D3246" s="10">
        <f>PrincipalesVariables[[#This Row],[Base monetaria]]/1000000</f>
        <v>36.551344999999998</v>
      </c>
      <c r="E3246" s="10">
        <v>1117.5</v>
      </c>
      <c r="F3246" s="11">
        <v>38035</v>
      </c>
      <c r="H3246" s="12">
        <f>(PrincipalesVariables[[#This Row],[Base monetaria]]-C3245)/C3245</f>
        <v>-8.7731601594951397E-3</v>
      </c>
      <c r="I3246" s="12">
        <f>(PrincipalesVariables[[#This Row],[Dólar  mayorista]]-E3245)/E3245</f>
        <v>-3.1209362808842653E-2</v>
      </c>
      <c r="J3246" s="12">
        <f>(PrincipalesVariables[[#This Row],[Reservas internacionales]]-F3245)/F3245</f>
        <v>-5.8288462543781691E-3</v>
      </c>
    </row>
    <row r="3247" spans="1:10" ht="15.75" thickBot="1" x14ac:dyDescent="0.3">
      <c r="A3247" s="14">
        <v>45786</v>
      </c>
      <c r="B3247" s="15">
        <v>45786</v>
      </c>
      <c r="C3247" s="16">
        <v>37372925</v>
      </c>
      <c r="D3247" s="10">
        <f>PrincipalesVariables[[#This Row],[Base monetaria]]/1000000</f>
        <v>37.372925000000002</v>
      </c>
      <c r="E3247" s="10">
        <v>1113.58</v>
      </c>
      <c r="F3247" s="11">
        <v>38123</v>
      </c>
      <c r="H3247" s="12">
        <f>(PrincipalesVariables[[#This Row],[Base monetaria]]-C3246)/C3246</f>
        <v>2.2477421829483975E-2</v>
      </c>
      <c r="I3247" s="12">
        <f>(PrincipalesVariables[[#This Row],[Dólar  mayorista]]-E3246)/E3246</f>
        <v>-3.5078299776287003E-3</v>
      </c>
      <c r="J3247" s="12">
        <f>(PrincipalesVariables[[#This Row],[Reservas internacionales]]-F3246)/F3246</f>
        <v>2.3136584724595768E-3</v>
      </c>
    </row>
    <row r="3248" spans="1:10" ht="15.75" thickBot="1" x14ac:dyDescent="0.3">
      <c r="A3248" s="14">
        <v>45789</v>
      </c>
      <c r="B3248" s="15">
        <v>45789</v>
      </c>
      <c r="C3248" s="16">
        <v>34430644</v>
      </c>
      <c r="D3248" s="10">
        <f>PrincipalesVariables[[#This Row],[Base monetaria]]/1000000</f>
        <v>34.430644000000001</v>
      </c>
      <c r="E3248" s="10">
        <v>1126</v>
      </c>
      <c r="F3248" s="11">
        <v>38079</v>
      </c>
      <c r="H3248" s="12">
        <f>(PrincipalesVariables[[#This Row],[Base monetaria]]-C3247)/C3247</f>
        <v>-7.8727608288620701E-2</v>
      </c>
      <c r="I3248" s="12">
        <f>(PrincipalesVariables[[#This Row],[Dólar  mayorista]]-E3247)/E3247</f>
        <v>1.1153217550602628E-2</v>
      </c>
      <c r="J3248" s="12">
        <f>(PrincipalesVariables[[#This Row],[Reservas internacionales]]-F3247)/F3247</f>
        <v>-1.1541589066967448E-3</v>
      </c>
    </row>
    <row r="3249" spans="1:10" ht="15.75" thickBot="1" x14ac:dyDescent="0.3">
      <c r="A3249" s="14">
        <v>45790</v>
      </c>
      <c r="B3249" s="15">
        <v>45790</v>
      </c>
      <c r="C3249" s="16">
        <v>34281998</v>
      </c>
      <c r="D3249" s="10">
        <f>PrincipalesVariables[[#This Row],[Base monetaria]]/1000000</f>
        <v>34.281998000000002</v>
      </c>
      <c r="E3249" s="10">
        <v>1125.67</v>
      </c>
      <c r="F3249" s="11">
        <v>38651</v>
      </c>
      <c r="H3249" s="12">
        <f>(PrincipalesVariables[[#This Row],[Base monetaria]]-C3248)/C3248</f>
        <v>-4.3172587768035937E-3</v>
      </c>
      <c r="I3249" s="12">
        <f>(PrincipalesVariables[[#This Row],[Dólar  mayorista]]-E3248)/E3248</f>
        <v>-2.9307282415624088E-4</v>
      </c>
      <c r="J3249" s="12">
        <f>(PrincipalesVariables[[#This Row],[Reservas internacionales]]-F3248)/F3248</f>
        <v>1.5021402872974605E-2</v>
      </c>
    </row>
    <row r="3250" spans="1:10" ht="15.75" thickBot="1" x14ac:dyDescent="0.3">
      <c r="A3250" s="14">
        <v>45791</v>
      </c>
      <c r="B3250" s="15">
        <v>45791</v>
      </c>
      <c r="C3250" s="16">
        <v>34207517</v>
      </c>
      <c r="D3250" s="10">
        <f>PrincipalesVariables[[#This Row],[Base monetaria]]/1000000</f>
        <v>34.207517000000003</v>
      </c>
      <c r="E3250" s="10">
        <v>1129.83</v>
      </c>
      <c r="F3250" s="11">
        <v>38565</v>
      </c>
      <c r="H3250" s="12">
        <f>(PrincipalesVariables[[#This Row],[Base monetaria]]-C3249)/C3249</f>
        <v>-2.1725979915172972E-3</v>
      </c>
      <c r="I3250" s="12">
        <f>(PrincipalesVariables[[#This Row],[Dólar  mayorista]]-E3249)/E3249</f>
        <v>3.6955768564498068E-3</v>
      </c>
      <c r="J3250" s="12">
        <f>(PrincipalesVariables[[#This Row],[Reservas internacionales]]-F3249)/F3249</f>
        <v>-2.22503945564151E-3</v>
      </c>
    </row>
    <row r="3251" spans="1:10" ht="15.75" thickBot="1" x14ac:dyDescent="0.3">
      <c r="A3251" s="14">
        <v>45792</v>
      </c>
      <c r="B3251" s="15">
        <v>45792</v>
      </c>
      <c r="C3251" s="16">
        <v>33994625</v>
      </c>
      <c r="D3251" s="10">
        <f>PrincipalesVariables[[#This Row],[Base monetaria]]/1000000</f>
        <v>33.994624999999999</v>
      </c>
      <c r="E3251" s="10">
        <v>1135.5</v>
      </c>
      <c r="F3251" s="11">
        <v>38346</v>
      </c>
      <c r="H3251" s="12">
        <f>(PrincipalesVariables[[#This Row],[Base monetaria]]-C3250)/C3250</f>
        <v>-6.2235443747641781E-3</v>
      </c>
      <c r="I3251" s="12">
        <f>(PrincipalesVariables[[#This Row],[Dólar  mayorista]]-E3250)/E3250</f>
        <v>5.0184541037147827E-3</v>
      </c>
      <c r="J3251" s="12">
        <f>(PrincipalesVariables[[#This Row],[Reservas internacionales]]-F3250)/F3250</f>
        <v>-5.6787242318164137E-3</v>
      </c>
    </row>
    <row r="3252" spans="1:10" ht="15.75" thickBot="1" x14ac:dyDescent="0.3">
      <c r="A3252" s="14">
        <v>45793</v>
      </c>
      <c r="B3252" s="15">
        <v>45793</v>
      </c>
      <c r="C3252" s="16">
        <v>33931781</v>
      </c>
      <c r="D3252" s="10">
        <f>PrincipalesVariables[[#This Row],[Base monetaria]]/1000000</f>
        <v>33.931781000000001</v>
      </c>
      <c r="E3252" s="10">
        <v>1146.17</v>
      </c>
      <c r="F3252" s="11">
        <v>38338</v>
      </c>
      <c r="H3252" s="12">
        <f>(PrincipalesVariables[[#This Row],[Base monetaria]]-C3251)/C3251</f>
        <v>-1.8486451902322795E-3</v>
      </c>
      <c r="I3252" s="12">
        <f>(PrincipalesVariables[[#This Row],[Dólar  mayorista]]-E3251)/E3251</f>
        <v>9.3967415235579679E-3</v>
      </c>
      <c r="J3252" s="12">
        <f>(PrincipalesVariables[[#This Row],[Reservas internacionales]]-F3251)/F3251</f>
        <v>-2.0862671465081103E-4</v>
      </c>
    </row>
    <row r="3253" spans="1:10" ht="15.75" thickBot="1" x14ac:dyDescent="0.3">
      <c r="A3253" s="14">
        <v>45796</v>
      </c>
      <c r="B3253" s="15">
        <v>45796</v>
      </c>
      <c r="C3253" s="16">
        <v>33277257</v>
      </c>
      <c r="D3253" s="10">
        <f>PrincipalesVariables[[#This Row],[Base monetaria]]/1000000</f>
        <v>33.277256999999999</v>
      </c>
      <c r="E3253" s="10">
        <v>1134.25</v>
      </c>
      <c r="F3253" s="11">
        <v>38300</v>
      </c>
      <c r="H3253" s="12">
        <f>(PrincipalesVariables[[#This Row],[Base monetaria]]-C3252)/C3252</f>
        <v>-1.9289408946733446E-2</v>
      </c>
      <c r="I3253" s="12">
        <f>(PrincipalesVariables[[#This Row],[Dólar  mayorista]]-E3252)/E3252</f>
        <v>-1.0399853424884678E-2</v>
      </c>
      <c r="J3253" s="12">
        <f>(PrincipalesVariables[[#This Row],[Reservas internacionales]]-F3252)/F3252</f>
        <v>-9.9118368198654067E-4</v>
      </c>
    </row>
    <row r="3254" spans="1:10" ht="15.75" thickBot="1" x14ac:dyDescent="0.3">
      <c r="A3254" s="14">
        <v>45797</v>
      </c>
      <c r="B3254" s="15">
        <v>45797</v>
      </c>
      <c r="C3254" s="16">
        <v>32822015</v>
      </c>
      <c r="D3254" s="10">
        <f>PrincipalesVariables[[#This Row],[Base monetaria]]/1000000</f>
        <v>32.822015</v>
      </c>
      <c r="E3254" s="10">
        <v>1142</v>
      </c>
      <c r="F3254" s="11">
        <v>38267</v>
      </c>
      <c r="H3254" s="12">
        <f>(PrincipalesVariables[[#This Row],[Base monetaria]]-C3253)/C3253</f>
        <v>-1.3680274188464512E-2</v>
      </c>
      <c r="I3254" s="12">
        <f>(PrincipalesVariables[[#This Row],[Dólar  mayorista]]-E3253)/E3253</f>
        <v>6.8327088384394974E-3</v>
      </c>
      <c r="J3254" s="12">
        <f>(PrincipalesVariables[[#This Row],[Reservas internacionales]]-F3253)/F3253</f>
        <v>-8.6161879895561356E-4</v>
      </c>
    </row>
    <row r="3255" spans="1:10" ht="15.75" thickBot="1" x14ac:dyDescent="0.3">
      <c r="A3255" s="14">
        <v>45798</v>
      </c>
      <c r="B3255" s="15">
        <v>45798</v>
      </c>
      <c r="C3255" s="16">
        <v>32498752</v>
      </c>
      <c r="D3255" s="10">
        <f>PrincipalesVariables[[#This Row],[Base monetaria]]/1000000</f>
        <v>32.498752000000003</v>
      </c>
      <c r="E3255" s="10">
        <v>1145</v>
      </c>
      <c r="F3255" s="11">
        <v>38176</v>
      </c>
      <c r="H3255" s="12">
        <f>(PrincipalesVariables[[#This Row],[Base monetaria]]-C3254)/C3254</f>
        <v>-9.8489687485670829E-3</v>
      </c>
      <c r="I3255" s="12">
        <f>(PrincipalesVariables[[#This Row],[Dólar  mayorista]]-E3254)/E3254</f>
        <v>2.6269702276707531E-3</v>
      </c>
      <c r="J3255" s="12">
        <f>(PrincipalesVariables[[#This Row],[Reservas internacionales]]-F3254)/F3254</f>
        <v>-2.3780280659576134E-3</v>
      </c>
    </row>
    <row r="3256" spans="1:10" ht="15.75" thickBot="1" x14ac:dyDescent="0.3">
      <c r="A3256" s="14">
        <v>45799</v>
      </c>
      <c r="B3256" s="15">
        <v>45799</v>
      </c>
      <c r="C3256" s="16">
        <v>32886199</v>
      </c>
      <c r="D3256" s="10">
        <f>PrincipalesVariables[[#This Row],[Base monetaria]]/1000000</f>
        <v>32.886198999999998</v>
      </c>
      <c r="E3256" s="10">
        <v>1143.58</v>
      </c>
      <c r="F3256" s="11">
        <v>38097</v>
      </c>
      <c r="H3256" s="12">
        <f>(PrincipalesVariables[[#This Row],[Base monetaria]]-C3255)/C3255</f>
        <v>1.1921903954958023E-2</v>
      </c>
      <c r="I3256" s="12">
        <f>(PrincipalesVariables[[#This Row],[Dólar  mayorista]]-E3255)/E3255</f>
        <v>-1.2401746724891465E-3</v>
      </c>
      <c r="J3256" s="12">
        <f>(PrincipalesVariables[[#This Row],[Reservas internacionales]]-F3255)/F3255</f>
        <v>-2.069362950544845E-3</v>
      </c>
    </row>
    <row r="3257" spans="1:10" ht="15.75" thickBot="1" x14ac:dyDescent="0.3">
      <c r="A3257" s="14">
        <v>45800</v>
      </c>
      <c r="B3257" s="15">
        <v>45800</v>
      </c>
      <c r="C3257" s="16">
        <v>33289989</v>
      </c>
      <c r="D3257" s="10">
        <f>PrincipalesVariables[[#This Row],[Base monetaria]]/1000000</f>
        <v>33.289988999999998</v>
      </c>
      <c r="E3257" s="10">
        <v>1137</v>
      </c>
      <c r="F3257" s="11">
        <v>38428</v>
      </c>
      <c r="H3257" s="12">
        <f>(PrincipalesVariables[[#This Row],[Base monetaria]]-C3256)/C3256</f>
        <v>1.227840286437481E-2</v>
      </c>
      <c r="I3257" s="12">
        <f>(PrincipalesVariables[[#This Row],[Dólar  mayorista]]-E3256)/E3256</f>
        <v>-5.7538606831178648E-3</v>
      </c>
      <c r="J3257" s="12">
        <f>(PrincipalesVariables[[#This Row],[Reservas internacionales]]-F3256)/F3256</f>
        <v>8.6883481638974202E-3</v>
      </c>
    </row>
    <row r="3258" spans="1:10" ht="15.75" thickBot="1" x14ac:dyDescent="0.3">
      <c r="A3258" s="14">
        <v>45803</v>
      </c>
      <c r="B3258" s="15">
        <v>45803</v>
      </c>
      <c r="C3258" s="16">
        <v>33019446</v>
      </c>
      <c r="D3258" s="10">
        <f>PrincipalesVariables[[#This Row],[Base monetaria]]/1000000</f>
        <v>33.019446000000002</v>
      </c>
      <c r="E3258" s="10">
        <v>1139.83</v>
      </c>
      <c r="F3258" s="11">
        <v>38384</v>
      </c>
      <c r="H3258" s="12">
        <f>(PrincipalesVariables[[#This Row],[Base monetaria]]-C3257)/C3257</f>
        <v>-8.1268575967387673E-3</v>
      </c>
      <c r="I3258" s="12">
        <f>(PrincipalesVariables[[#This Row],[Dólar  mayorista]]-E3257)/E3257</f>
        <v>2.4890061565522666E-3</v>
      </c>
      <c r="J3258" s="12">
        <f>(PrincipalesVariables[[#This Row],[Reservas internacionales]]-F3257)/F3257</f>
        <v>-1.1449984386384929E-3</v>
      </c>
    </row>
    <row r="3259" spans="1:10" ht="15.75" thickBot="1" x14ac:dyDescent="0.3">
      <c r="A3259" s="14">
        <v>45804</v>
      </c>
      <c r="B3259" s="15">
        <v>45804</v>
      </c>
      <c r="C3259" s="16">
        <v>33238432</v>
      </c>
      <c r="D3259" s="10">
        <f>PrincipalesVariables[[#This Row],[Base monetaria]]/1000000</f>
        <v>33.238432000000003</v>
      </c>
      <c r="E3259" s="10">
        <v>1148</v>
      </c>
      <c r="F3259" s="11">
        <v>38381</v>
      </c>
      <c r="H3259" s="12">
        <f>(PrincipalesVariables[[#This Row],[Base monetaria]]-C3258)/C3258</f>
        <v>6.6320313187568317E-3</v>
      </c>
      <c r="I3259" s="12">
        <f>(PrincipalesVariables[[#This Row],[Dólar  mayorista]]-E3258)/E3258</f>
        <v>7.1677355395103424E-3</v>
      </c>
      <c r="J3259" s="12">
        <f>(PrincipalesVariables[[#This Row],[Reservas internacionales]]-F3258)/F3258</f>
        <v>-7.8157565652355146E-5</v>
      </c>
    </row>
    <row r="3260" spans="1:10" ht="15.75" thickBot="1" x14ac:dyDescent="0.3">
      <c r="A3260" s="14">
        <v>45805</v>
      </c>
      <c r="B3260" s="15">
        <v>45805</v>
      </c>
      <c r="C3260" s="16">
        <v>33413949</v>
      </c>
      <c r="D3260" s="10">
        <f>PrincipalesVariables[[#This Row],[Base monetaria]]/1000000</f>
        <v>33.413949000000002</v>
      </c>
      <c r="E3260" s="10">
        <v>1161</v>
      </c>
      <c r="F3260" s="11">
        <v>38444</v>
      </c>
      <c r="H3260" s="12">
        <f>(PrincipalesVariables[[#This Row],[Base monetaria]]-C3259)/C3259</f>
        <v>5.280543919761317E-3</v>
      </c>
      <c r="I3260" s="12">
        <f>(PrincipalesVariables[[#This Row],[Dólar  mayorista]]-E3259)/E3259</f>
        <v>1.1324041811846691E-2</v>
      </c>
      <c r="J3260" s="12">
        <f>(PrincipalesVariables[[#This Row],[Reservas internacionales]]-F3259)/F3259</f>
        <v>1.6414371694327922E-3</v>
      </c>
    </row>
    <row r="3261" spans="1:10" ht="15.75" thickBot="1" x14ac:dyDescent="0.3">
      <c r="A3261" s="14">
        <v>45806</v>
      </c>
      <c r="B3261" s="15">
        <v>45806</v>
      </c>
      <c r="C3261" s="16">
        <v>33286265</v>
      </c>
      <c r="D3261" s="10">
        <f>PrincipalesVariables[[#This Row],[Base monetaria]]/1000000</f>
        <v>33.286265</v>
      </c>
      <c r="E3261" s="10">
        <v>1174.5</v>
      </c>
      <c r="F3261" s="11">
        <v>38366</v>
      </c>
      <c r="H3261" s="12">
        <f>(PrincipalesVariables[[#This Row],[Base monetaria]]-C3260)/C3260</f>
        <v>-3.8212783529417609E-3</v>
      </c>
      <c r="I3261" s="12">
        <f>(PrincipalesVariables[[#This Row],[Dólar  mayorista]]-E3260)/E3260</f>
        <v>1.1627906976744186E-2</v>
      </c>
      <c r="J3261" s="12">
        <f>(PrincipalesVariables[[#This Row],[Reservas internacionales]]-F3260)/F3260</f>
        <v>-2.0289251898865882E-3</v>
      </c>
    </row>
    <row r="3262" spans="1:10" ht="15.75" thickBot="1" x14ac:dyDescent="0.3">
      <c r="A3262" s="14">
        <v>45807</v>
      </c>
      <c r="B3262" s="15">
        <v>45807</v>
      </c>
      <c r="C3262" s="16">
        <v>34940118</v>
      </c>
      <c r="D3262" s="10">
        <f>PrincipalesVariables[[#This Row],[Base monetaria]]/1000000</f>
        <v>34.940117999999998</v>
      </c>
      <c r="E3262" s="10">
        <v>1195.33</v>
      </c>
      <c r="F3262" s="11">
        <v>36919</v>
      </c>
      <c r="H3262" s="12">
        <f>(PrincipalesVariables[[#This Row],[Base monetaria]]-C3261)/C3261</f>
        <v>4.968574876153873E-2</v>
      </c>
      <c r="I3262" s="12">
        <f>(PrincipalesVariables[[#This Row],[Dólar  mayorista]]-E3261)/E3261</f>
        <v>1.7735206470838594E-2</v>
      </c>
      <c r="J3262" s="12">
        <f>(PrincipalesVariables[[#This Row],[Reservas internacionales]]-F3261)/F3261</f>
        <v>-3.7715685763436375E-2</v>
      </c>
    </row>
    <row r="3263" spans="1:10" ht="15.75" thickBot="1" x14ac:dyDescent="0.3">
      <c r="A3263" s="14">
        <v>45810</v>
      </c>
      <c r="B3263" s="15">
        <v>45810</v>
      </c>
      <c r="C3263" s="16">
        <v>36927413</v>
      </c>
      <c r="D3263" s="10">
        <f>PrincipalesVariables[[#This Row],[Base monetaria]]/1000000</f>
        <v>36.927413000000001</v>
      </c>
      <c r="E3263" s="10">
        <v>1181.17</v>
      </c>
      <c r="F3263" s="11">
        <v>37793</v>
      </c>
      <c r="H3263" s="12">
        <f>(PrincipalesVariables[[#This Row],[Base monetaria]]-C3262)/C3262</f>
        <v>5.6877169104008175E-2</v>
      </c>
      <c r="I3263" s="12">
        <f>(PrincipalesVariables[[#This Row],[Dólar  mayorista]]-E3262)/E3262</f>
        <v>-1.1846101076689998E-2</v>
      </c>
      <c r="J3263" s="12">
        <f>(PrincipalesVariables[[#This Row],[Reservas internacionales]]-F3262)/F3262</f>
        <v>2.3673447276470111E-2</v>
      </c>
    </row>
    <row r="3264" spans="1:10" ht="15.75" thickBot="1" x14ac:dyDescent="0.3">
      <c r="A3264" s="14">
        <v>45811</v>
      </c>
      <c r="B3264" s="15">
        <v>45811</v>
      </c>
      <c r="C3264" s="16">
        <v>36423142</v>
      </c>
      <c r="D3264" s="10">
        <f>PrincipalesVariables[[#This Row],[Base monetaria]]/1000000</f>
        <v>36.423141999999999</v>
      </c>
      <c r="E3264" s="10">
        <v>1184</v>
      </c>
      <c r="F3264" s="11">
        <v>37767</v>
      </c>
      <c r="H3264" s="12">
        <f>(PrincipalesVariables[[#This Row],[Base monetaria]]-C3263)/C3263</f>
        <v>-1.3655735916296112E-2</v>
      </c>
      <c r="I3264" s="12">
        <f>(PrincipalesVariables[[#This Row],[Dólar  mayorista]]-E3263)/E3263</f>
        <v>2.3959294597728754E-3</v>
      </c>
      <c r="J3264" s="12">
        <f>(PrincipalesVariables[[#This Row],[Reservas internacionales]]-F3263)/F3263</f>
        <v>-6.8795808747651682E-4</v>
      </c>
    </row>
    <row r="3265" spans="1:10" ht="15.75" thickBot="1" x14ac:dyDescent="0.3">
      <c r="A3265" s="14">
        <v>45812</v>
      </c>
      <c r="B3265" s="15">
        <v>45812</v>
      </c>
      <c r="C3265" s="16">
        <v>36636601</v>
      </c>
      <c r="D3265" s="10">
        <f>PrincipalesVariables[[#This Row],[Base monetaria]]/1000000</f>
        <v>36.636600999999999</v>
      </c>
      <c r="E3265" s="10">
        <v>1184.33</v>
      </c>
      <c r="F3265" s="11">
        <v>38818</v>
      </c>
      <c r="H3265" s="12">
        <f>(PrincipalesVariables[[#This Row],[Base monetaria]]-C3264)/C3264</f>
        <v>5.8605322956487389E-3</v>
      </c>
      <c r="I3265" s="12">
        <f>(PrincipalesVariables[[#This Row],[Dólar  mayorista]]-E3264)/E3264</f>
        <v>2.7871621621615477E-4</v>
      </c>
      <c r="J3265" s="12">
        <f>(PrincipalesVariables[[#This Row],[Reservas internacionales]]-F3264)/F3264</f>
        <v>2.7828527550507055E-2</v>
      </c>
    </row>
    <row r="3266" spans="1:10" ht="15.75" thickBot="1" x14ac:dyDescent="0.3">
      <c r="A3266" s="14">
        <v>45813</v>
      </c>
      <c r="B3266" s="15">
        <v>45813</v>
      </c>
      <c r="C3266" s="16">
        <v>36533114</v>
      </c>
      <c r="D3266" s="10">
        <f>PrincipalesVariables[[#This Row],[Base monetaria]]/1000000</f>
        <v>36.533113999999998</v>
      </c>
      <c r="E3266" s="10">
        <v>1189.67</v>
      </c>
      <c r="F3266" s="11">
        <v>38758</v>
      </c>
      <c r="H3266" s="12">
        <f>(PrincipalesVariables[[#This Row],[Base monetaria]]-C3265)/C3265</f>
        <v>-2.8246888951297638E-3</v>
      </c>
      <c r="I3266" s="12">
        <f>(PrincipalesVariables[[#This Row],[Dólar  mayorista]]-E3265)/E3265</f>
        <v>4.5088784375977523E-3</v>
      </c>
      <c r="J3266" s="12">
        <f>(PrincipalesVariables[[#This Row],[Reservas internacionales]]-F3265)/F3265</f>
        <v>-1.5456746870008758E-3</v>
      </c>
    </row>
    <row r="3267" spans="1:10" ht="15.75" thickBot="1" x14ac:dyDescent="0.3">
      <c r="A3267" s="14">
        <v>45814</v>
      </c>
      <c r="B3267" s="15">
        <v>45814</v>
      </c>
      <c r="C3267" s="16">
        <v>36604803</v>
      </c>
      <c r="D3267" s="10">
        <f>PrincipalesVariables[[#This Row],[Base monetaria]]/1000000</f>
        <v>36.604802999999997</v>
      </c>
      <c r="E3267" s="10">
        <v>1190</v>
      </c>
      <c r="F3267" s="11">
        <v>38639</v>
      </c>
      <c r="H3267" s="12">
        <f>(PrincipalesVariables[[#This Row],[Base monetaria]]-C3266)/C3266</f>
        <v>1.9623019269586492E-3</v>
      </c>
      <c r="I3267" s="12">
        <f>(PrincipalesVariables[[#This Row],[Dólar  mayorista]]-E3266)/E3266</f>
        <v>2.7738784704996108E-4</v>
      </c>
      <c r="J3267" s="12">
        <f>(PrincipalesVariables[[#This Row],[Reservas internacionales]]-F3266)/F3266</f>
        <v>-3.0703338665565819E-3</v>
      </c>
    </row>
    <row r="3268" spans="1:10" ht="15.75" thickBot="1" x14ac:dyDescent="0.3">
      <c r="A3268" s="14">
        <v>45817</v>
      </c>
      <c r="B3268" s="15">
        <v>45817</v>
      </c>
      <c r="C3268" s="16">
        <v>36536164</v>
      </c>
      <c r="D3268" s="10">
        <f>PrincipalesVariables[[#This Row],[Base monetaria]]/1000000</f>
        <v>36.536163999999999</v>
      </c>
      <c r="E3268" s="10">
        <v>1186.42</v>
      </c>
      <c r="F3268" s="11">
        <v>38604</v>
      </c>
      <c r="H3268" s="12">
        <f>(PrincipalesVariables[[#This Row],[Base monetaria]]-C3267)/C3267</f>
        <v>-1.8751364404283231E-3</v>
      </c>
      <c r="I3268" s="12">
        <f>(PrincipalesVariables[[#This Row],[Dólar  mayorista]]-E3267)/E3267</f>
        <v>-3.0084033613444767E-3</v>
      </c>
      <c r="J3268" s="12">
        <f>(PrincipalesVariables[[#This Row],[Reservas internacionales]]-F3267)/F3267</f>
        <v>-9.0582054400993811E-4</v>
      </c>
    </row>
    <row r="3269" spans="1:10" ht="15.75" thickBot="1" x14ac:dyDescent="0.3">
      <c r="A3269" s="14">
        <v>45818</v>
      </c>
      <c r="B3269" s="15">
        <v>45818</v>
      </c>
      <c r="C3269" s="16">
        <v>36212110</v>
      </c>
      <c r="D3269" s="10">
        <f>PrincipalesVariables[[#This Row],[Base monetaria]]/1000000</f>
        <v>36.212110000000003</v>
      </c>
      <c r="E3269" s="10">
        <v>1187</v>
      </c>
      <c r="F3269" s="11">
        <v>38600</v>
      </c>
      <c r="H3269" s="12">
        <f>(PrincipalesVariables[[#This Row],[Base monetaria]]-C3268)/C3268</f>
        <v>-8.869404023914498E-3</v>
      </c>
      <c r="I3269" s="12">
        <f>(PrincipalesVariables[[#This Row],[Dólar  mayorista]]-E3268)/E3268</f>
        <v>4.888656630872096E-4</v>
      </c>
      <c r="J3269" s="12">
        <f>(PrincipalesVariables[[#This Row],[Reservas internacionales]]-F3268)/F3268</f>
        <v>-1.0361620557455187E-4</v>
      </c>
    </row>
    <row r="3270" spans="1:10" ht="15.75" thickBot="1" x14ac:dyDescent="0.3">
      <c r="A3270" s="14">
        <v>45819</v>
      </c>
      <c r="B3270" s="15">
        <v>45819</v>
      </c>
      <c r="C3270" s="16">
        <v>36235936</v>
      </c>
      <c r="D3270" s="10">
        <f>PrincipalesVariables[[#This Row],[Base monetaria]]/1000000</f>
        <v>36.235936000000002</v>
      </c>
      <c r="E3270" s="10">
        <v>1184.5</v>
      </c>
      <c r="F3270" s="11">
        <v>38533</v>
      </c>
      <c r="H3270" s="12">
        <f>(PrincipalesVariables[[#This Row],[Base monetaria]]-C3269)/C3269</f>
        <v>6.5795668907445604E-4</v>
      </c>
      <c r="I3270" s="12">
        <f>(PrincipalesVariables[[#This Row],[Dólar  mayorista]]-E3269)/E3269</f>
        <v>-2.1061499578770007E-3</v>
      </c>
      <c r="J3270" s="12">
        <f>(PrincipalesVariables[[#This Row],[Reservas internacionales]]-F3269)/F3269</f>
        <v>-1.7357512953367876E-3</v>
      </c>
    </row>
    <row r="3271" spans="1:10" ht="15.75" thickBot="1" x14ac:dyDescent="0.3">
      <c r="A3271" s="14">
        <v>45820</v>
      </c>
      <c r="B3271" s="15">
        <v>45820</v>
      </c>
      <c r="C3271" s="16">
        <v>35385140</v>
      </c>
      <c r="D3271" s="10">
        <f>PrincipalesVariables[[#This Row],[Base monetaria]]/1000000</f>
        <v>35.38514</v>
      </c>
      <c r="E3271" s="10">
        <v>1185.5</v>
      </c>
      <c r="F3271" s="11">
        <v>38506</v>
      </c>
      <c r="H3271" s="12">
        <f>(PrincipalesVariables[[#This Row],[Base monetaria]]-C3270)/C3270</f>
        <v>-2.3479343820454922E-2</v>
      </c>
      <c r="I3271" s="12">
        <f>(PrincipalesVariables[[#This Row],[Dólar  mayorista]]-E3270)/E3270</f>
        <v>8.4423807513718866E-4</v>
      </c>
      <c r="J3271" s="12">
        <f>(PrincipalesVariables[[#This Row],[Reservas internacionales]]-F3270)/F3270</f>
        <v>-7.0069810292476575E-4</v>
      </c>
    </row>
    <row r="3272" spans="1:10" ht="15.75" thickBot="1" x14ac:dyDescent="0.3">
      <c r="A3272" s="14">
        <v>45821</v>
      </c>
      <c r="B3272" s="15">
        <v>45821</v>
      </c>
      <c r="C3272" s="16">
        <v>35650056</v>
      </c>
      <c r="D3272" s="10">
        <f>PrincipalesVariables[[#This Row],[Base monetaria]]/1000000</f>
        <v>35.650055999999999</v>
      </c>
      <c r="E3272" s="10">
        <v>1187.67</v>
      </c>
      <c r="F3272" s="11">
        <v>40465</v>
      </c>
      <c r="H3272" s="12">
        <f>(PrincipalesVariables[[#This Row],[Base monetaria]]-C3271)/C3271</f>
        <v>7.4866455240815777E-3</v>
      </c>
      <c r="I3272" s="12">
        <f>(PrincipalesVariables[[#This Row],[Dólar  mayorista]]-E3271)/E3271</f>
        <v>1.8304512863771174E-3</v>
      </c>
      <c r="J3272" s="12">
        <f>(PrincipalesVariables[[#This Row],[Reservas internacionales]]-F3271)/F3271</f>
        <v>5.0875188282345607E-2</v>
      </c>
    </row>
    <row r="3273" spans="1:10" ht="15.75" thickBot="1" x14ac:dyDescent="0.3">
      <c r="A3273" s="14">
        <v>45825</v>
      </c>
      <c r="B3273" s="15">
        <v>45825</v>
      </c>
      <c r="C3273" s="16">
        <v>36061997</v>
      </c>
      <c r="D3273" s="10">
        <f>PrincipalesVariables[[#This Row],[Base monetaria]]/1000000</f>
        <v>36.061996999999998</v>
      </c>
      <c r="E3273" s="10">
        <v>1180.08</v>
      </c>
      <c r="F3273" s="11">
        <v>40399</v>
      </c>
      <c r="H3273" s="12">
        <f>(PrincipalesVariables[[#This Row],[Base monetaria]]-C3272)/C3272</f>
        <v>1.1555129113962682E-2</v>
      </c>
      <c r="I3273" s="12">
        <f>(PrincipalesVariables[[#This Row],[Dólar  mayorista]]-E3272)/E3272</f>
        <v>-6.3906640733538316E-3</v>
      </c>
      <c r="J3273" s="12">
        <f>(PrincipalesVariables[[#This Row],[Reservas internacionales]]-F3272)/F3272</f>
        <v>-1.6310391696527863E-3</v>
      </c>
    </row>
    <row r="3274" spans="1:10" ht="15.75" thickBot="1" x14ac:dyDescent="0.3">
      <c r="A3274" s="14">
        <v>45826</v>
      </c>
      <c r="B3274" s="15">
        <v>45826</v>
      </c>
      <c r="C3274" s="16">
        <v>35924590</v>
      </c>
      <c r="D3274" s="10">
        <f>PrincipalesVariables[[#This Row],[Base monetaria]]/1000000</f>
        <v>35.924590000000002</v>
      </c>
      <c r="E3274" s="10">
        <v>1151</v>
      </c>
      <c r="F3274" s="11">
        <v>40153</v>
      </c>
      <c r="H3274" s="12">
        <f>(PrincipalesVariables[[#This Row],[Base monetaria]]-C3273)/C3273</f>
        <v>-3.8102992466002368E-3</v>
      </c>
      <c r="I3274" s="12">
        <f>(PrincipalesVariables[[#This Row],[Dólar  mayorista]]-E3273)/E3273</f>
        <v>-2.4642397125618543E-2</v>
      </c>
      <c r="J3274" s="12">
        <f>(PrincipalesVariables[[#This Row],[Reservas internacionales]]-F3273)/F3273</f>
        <v>-6.0892596351394841E-3</v>
      </c>
    </row>
    <row r="3275" spans="1:10" ht="15.75" thickBot="1" x14ac:dyDescent="0.3">
      <c r="A3275" s="14">
        <v>45827</v>
      </c>
      <c r="B3275" s="15">
        <v>45827</v>
      </c>
      <c r="C3275" s="16">
        <v>35393546</v>
      </c>
      <c r="D3275" s="10">
        <f>PrincipalesVariables[[#This Row],[Base monetaria]]/1000000</f>
        <v>35.393546000000001</v>
      </c>
      <c r="E3275" s="10">
        <v>1156.17</v>
      </c>
      <c r="F3275" s="11">
        <v>40182</v>
      </c>
      <c r="H3275" s="12">
        <f>(PrincipalesVariables[[#This Row],[Base monetaria]]-C3274)/C3274</f>
        <v>-1.4782186797399776E-2</v>
      </c>
      <c r="I3275" s="12">
        <f>(PrincipalesVariables[[#This Row],[Dólar  mayorista]]-E3274)/E3274</f>
        <v>4.4917463075587081E-3</v>
      </c>
      <c r="J3275" s="12">
        <f>(PrincipalesVariables[[#This Row],[Reservas internacionales]]-F3274)/F3274</f>
        <v>7.2223744178517174E-4</v>
      </c>
    </row>
    <row r="3276" spans="1:10" ht="15.75" thickBot="1" x14ac:dyDescent="0.3">
      <c r="A3276" s="14">
        <v>45831</v>
      </c>
      <c r="B3276" s="15">
        <v>45831</v>
      </c>
      <c r="C3276" s="16">
        <v>35729694</v>
      </c>
      <c r="D3276" s="10">
        <f>PrincipalesVariables[[#This Row],[Base monetaria]]/1000000</f>
        <v>35.729694000000002</v>
      </c>
      <c r="E3276" s="10">
        <v>1167.33</v>
      </c>
      <c r="F3276" s="11">
        <v>40894</v>
      </c>
      <c r="H3276" s="12">
        <f>(PrincipalesVariables[[#This Row],[Base monetaria]]-C3275)/C3275</f>
        <v>9.4974377531994118E-3</v>
      </c>
      <c r="I3276" s="12">
        <f>(PrincipalesVariables[[#This Row],[Dólar  mayorista]]-E3275)/E3275</f>
        <v>9.6525597446741E-3</v>
      </c>
      <c r="J3276" s="12">
        <f>(PrincipalesVariables[[#This Row],[Reservas internacionales]]-F3275)/F3275</f>
        <v>1.7719376835398936E-2</v>
      </c>
    </row>
    <row r="3277" spans="1:10" ht="15.75" thickBot="1" x14ac:dyDescent="0.3">
      <c r="A3277" s="14">
        <v>45832</v>
      </c>
      <c r="B3277" s="15">
        <v>45832</v>
      </c>
      <c r="C3277" s="16">
        <v>34844743</v>
      </c>
      <c r="D3277" s="10">
        <f>PrincipalesVariables[[#This Row],[Base monetaria]]/1000000</f>
        <v>34.844743000000001</v>
      </c>
      <c r="E3277" s="10">
        <v>1176</v>
      </c>
      <c r="F3277" s="11">
        <v>41212</v>
      </c>
      <c r="H3277" s="12">
        <f>(PrincipalesVariables[[#This Row],[Base monetaria]]-C3276)/C3276</f>
        <v>-2.4767942317110245E-2</v>
      </c>
      <c r="I3277" s="12">
        <f>(PrincipalesVariables[[#This Row],[Dólar  mayorista]]-E3276)/E3276</f>
        <v>7.4272056744879968E-3</v>
      </c>
      <c r="J3277" s="12">
        <f>(PrincipalesVariables[[#This Row],[Reservas internacionales]]-F3276)/F3276</f>
        <v>7.7762018878075019E-3</v>
      </c>
    </row>
    <row r="3278" spans="1:10" ht="15.75" thickBot="1" x14ac:dyDescent="0.3">
      <c r="A3278" s="14">
        <v>45833</v>
      </c>
      <c r="B3278" s="15">
        <v>45833</v>
      </c>
      <c r="C3278" s="16">
        <v>34821185</v>
      </c>
      <c r="D3278" s="10">
        <f>PrincipalesVariables[[#This Row],[Base monetaria]]/1000000</f>
        <v>34.821185</v>
      </c>
      <c r="E3278" s="10">
        <v>1176.33</v>
      </c>
      <c r="F3278" s="11">
        <v>41417</v>
      </c>
      <c r="H3278" s="12">
        <f>(PrincipalesVariables[[#This Row],[Base monetaria]]-C3277)/C3277</f>
        <v>-6.7608476836807205E-4</v>
      </c>
      <c r="I3278" s="12">
        <f>(PrincipalesVariables[[#This Row],[Dólar  mayorista]]-E3277)/E3277</f>
        <v>2.8061224489789733E-4</v>
      </c>
      <c r="J3278" s="12">
        <f>(PrincipalesVariables[[#This Row],[Reservas internacionales]]-F3277)/F3277</f>
        <v>4.9742793361156942E-3</v>
      </c>
    </row>
    <row r="3279" spans="1:10" ht="15.75" thickBot="1" x14ac:dyDescent="0.3">
      <c r="A3279" s="14">
        <v>45834</v>
      </c>
      <c r="B3279" s="15">
        <v>45834</v>
      </c>
      <c r="C3279" s="16">
        <v>34940528</v>
      </c>
      <c r="D3279" s="10">
        <f>PrincipalesVariables[[#This Row],[Base monetaria]]/1000000</f>
        <v>34.940528</v>
      </c>
      <c r="E3279" s="10">
        <v>1194.67</v>
      </c>
      <c r="F3279" s="11">
        <v>41555</v>
      </c>
      <c r="H3279" s="12">
        <f>(PrincipalesVariables[[#This Row],[Base monetaria]]-C3278)/C3278</f>
        <v>3.4273101274410966E-3</v>
      </c>
      <c r="I3279" s="12">
        <f>(PrincipalesVariables[[#This Row],[Dólar  mayorista]]-E3278)/E3278</f>
        <v>1.5590863108141548E-2</v>
      </c>
      <c r="J3279" s="12">
        <f>(PrincipalesVariables[[#This Row],[Reservas internacionales]]-F3278)/F3278</f>
        <v>3.3319651350894562E-3</v>
      </c>
    </row>
    <row r="3280" spans="1:10" ht="15.75" thickBot="1" x14ac:dyDescent="0.3">
      <c r="A3280" s="14">
        <v>45835</v>
      </c>
      <c r="B3280" s="15">
        <v>45835</v>
      </c>
      <c r="C3280" s="16">
        <v>35542364</v>
      </c>
      <c r="D3280" s="10">
        <f>PrincipalesVariables[[#This Row],[Base monetaria]]/1000000</f>
        <v>35.542363999999999</v>
      </c>
      <c r="E3280" s="10">
        <v>1189.83</v>
      </c>
      <c r="F3280" s="11">
        <v>41460</v>
      </c>
      <c r="H3280" s="12">
        <f>(PrincipalesVariables[[#This Row],[Base monetaria]]-C3279)/C3279</f>
        <v>1.7224582295951568E-2</v>
      </c>
      <c r="I3280" s="12">
        <f>(PrincipalesVariables[[#This Row],[Dólar  mayorista]]-E3279)/E3279</f>
        <v>-4.0513279817858865E-3</v>
      </c>
      <c r="J3280" s="12">
        <f>(PrincipalesVariables[[#This Row],[Reservas internacionales]]-F3279)/F3279</f>
        <v>-2.286126819877271E-3</v>
      </c>
    </row>
    <row r="3281" spans="1:10" ht="15.75" thickBot="1" x14ac:dyDescent="0.3">
      <c r="A3281" s="14">
        <v>45838</v>
      </c>
      <c r="B3281" s="15">
        <v>45838</v>
      </c>
      <c r="C3281" s="16">
        <v>37175626</v>
      </c>
      <c r="D3281" s="10">
        <f>PrincipalesVariables[[#This Row],[Base monetaria]]/1000000</f>
        <v>37.175626000000001</v>
      </c>
      <c r="E3281" s="10">
        <v>1194.08</v>
      </c>
      <c r="F3281" s="11">
        <v>39973</v>
      </c>
      <c r="H3281" s="12">
        <f>(PrincipalesVariables[[#This Row],[Base monetaria]]-C3280)/C3280</f>
        <v>4.595254271775507E-2</v>
      </c>
      <c r="I3281" s="12">
        <f>(PrincipalesVariables[[#This Row],[Dólar  mayorista]]-E3280)/E3280</f>
        <v>3.5719388484069157E-3</v>
      </c>
      <c r="J3281" s="12">
        <f>(PrincipalesVariables[[#This Row],[Reservas internacionales]]-F3280)/F3280</f>
        <v>-3.5865894838398457E-2</v>
      </c>
    </row>
    <row r="3282" spans="1:10" ht="15.75" thickBot="1" x14ac:dyDescent="0.3">
      <c r="A3282" s="14">
        <v>45839</v>
      </c>
      <c r="B3282" s="15">
        <v>45839</v>
      </c>
      <c r="C3282" s="16">
        <v>35577666</v>
      </c>
      <c r="D3282" s="10">
        <f>PrincipalesVariables[[#This Row],[Base monetaria]]/1000000</f>
        <v>35.577666000000001</v>
      </c>
      <c r="E3282" s="10">
        <v>1203</v>
      </c>
      <c r="F3282" s="11">
        <v>41686</v>
      </c>
      <c r="H3282" s="12">
        <f>(PrincipalesVariables[[#This Row],[Base monetaria]]-C3281)/C3281</f>
        <v>-4.2984077793336954E-2</v>
      </c>
      <c r="I3282" s="12">
        <f>(PrincipalesVariables[[#This Row],[Dólar  mayorista]]-E3281)/E3281</f>
        <v>7.4701862521774701E-3</v>
      </c>
      <c r="J3282" s="12">
        <f>(PrincipalesVariables[[#This Row],[Reservas internacionales]]-F3281)/F3281</f>
        <v>4.2853926400320215E-2</v>
      </c>
    </row>
    <row r="3283" spans="1:10" ht="15.75" thickBot="1" x14ac:dyDescent="0.3">
      <c r="A3283" s="14">
        <v>45840</v>
      </c>
      <c r="B3283" s="15">
        <v>45840</v>
      </c>
      <c r="C3283" s="16">
        <v>34406140</v>
      </c>
      <c r="D3283" s="10">
        <f>PrincipalesVariables[[#This Row],[Base monetaria]]/1000000</f>
        <v>34.406140000000001</v>
      </c>
      <c r="E3283" s="10">
        <v>1231.33</v>
      </c>
      <c r="F3283" s="11">
        <v>41658</v>
      </c>
      <c r="H3283" s="12">
        <f>(PrincipalesVariables[[#This Row],[Base monetaria]]-C3282)/C3282</f>
        <v>-3.2928691837176727E-2</v>
      </c>
      <c r="I3283" s="12">
        <f>(PrincipalesVariables[[#This Row],[Dólar  mayorista]]-E3282)/E3282</f>
        <v>2.3549459684122965E-2</v>
      </c>
      <c r="J3283" s="12">
        <f>(PrincipalesVariables[[#This Row],[Reservas internacionales]]-F3282)/F3282</f>
        <v>-6.7168833661181214E-4</v>
      </c>
    </row>
    <row r="3284" spans="1:10" ht="15.75" thickBot="1" x14ac:dyDescent="0.3">
      <c r="A3284" s="14">
        <v>45841</v>
      </c>
      <c r="B3284" s="15">
        <v>45841</v>
      </c>
      <c r="C3284" s="16">
        <v>33418387</v>
      </c>
      <c r="D3284" s="10">
        <f>PrincipalesVariables[[#This Row],[Base monetaria]]/1000000</f>
        <v>33.418387000000003</v>
      </c>
      <c r="E3284" s="10">
        <v>1226.92</v>
      </c>
      <c r="F3284" s="11">
        <v>41738</v>
      </c>
      <c r="H3284" s="12">
        <f>(PrincipalesVariables[[#This Row],[Base monetaria]]-C3283)/C3283</f>
        <v>-2.8708625844108056E-2</v>
      </c>
      <c r="I3284" s="12">
        <f>(PrincipalesVariables[[#This Row],[Dólar  mayorista]]-E3283)/E3283</f>
        <v>-3.5814931821687565E-3</v>
      </c>
      <c r="J3284" s="12">
        <f>(PrincipalesVariables[[#This Row],[Reservas internacionales]]-F3283)/F3283</f>
        <v>1.9203994430841615E-3</v>
      </c>
    </row>
    <row r="3285" spans="1:10" ht="15.75" thickBot="1" x14ac:dyDescent="0.3">
      <c r="A3285" s="14">
        <v>45842</v>
      </c>
      <c r="B3285" s="15">
        <v>45842</v>
      </c>
      <c r="C3285" s="16">
        <v>32748809</v>
      </c>
      <c r="D3285" s="10">
        <f>PrincipalesVariables[[#This Row],[Base monetaria]]/1000000</f>
        <v>32.748809000000001</v>
      </c>
      <c r="E3285" s="10">
        <v>1239.83</v>
      </c>
      <c r="F3285" s="11">
        <v>41747</v>
      </c>
      <c r="H3285" s="12">
        <f>(PrincipalesVariables[[#This Row],[Base monetaria]]-C3284)/C3284</f>
        <v>-2.0036215392442491E-2</v>
      </c>
      <c r="I3285" s="12">
        <f>(PrincipalesVariables[[#This Row],[Dólar  mayorista]]-E3284)/E3284</f>
        <v>1.0522283441463057E-2</v>
      </c>
      <c r="J3285" s="12">
        <f>(PrincipalesVariables[[#This Row],[Reservas internacionales]]-F3284)/F3284</f>
        <v>2.1563084000191671E-4</v>
      </c>
    </row>
    <row r="3286" spans="1:10" ht="15.75" thickBot="1" x14ac:dyDescent="0.3">
      <c r="A3286" s="14">
        <v>45845</v>
      </c>
      <c r="B3286" s="15">
        <v>45845</v>
      </c>
      <c r="C3286" s="16">
        <v>34372668</v>
      </c>
      <c r="D3286" s="10">
        <f>PrincipalesVariables[[#This Row],[Base monetaria]]/1000000</f>
        <v>34.372667999999997</v>
      </c>
      <c r="E3286" s="10">
        <v>1257.92</v>
      </c>
      <c r="F3286" s="11">
        <v>41721</v>
      </c>
      <c r="H3286" s="12">
        <f>(PrincipalesVariables[[#This Row],[Base monetaria]]-C3285)/C3285</f>
        <v>4.9585284154913846E-2</v>
      </c>
      <c r="I3286" s="12">
        <f>(PrincipalesVariables[[#This Row],[Dólar  mayorista]]-E3285)/E3285</f>
        <v>1.4590710016695955E-2</v>
      </c>
      <c r="J3286" s="12">
        <f>(PrincipalesVariables[[#This Row],[Reservas internacionales]]-F3285)/F3285</f>
        <v>-6.2279924305938148E-4</v>
      </c>
    </row>
    <row r="3287" spans="1:10" ht="15.75" thickBot="1" x14ac:dyDescent="0.3">
      <c r="A3287" s="14">
        <v>45846</v>
      </c>
      <c r="B3287" s="15">
        <v>45846</v>
      </c>
      <c r="C3287" s="16">
        <v>33139576</v>
      </c>
      <c r="D3287" s="10">
        <f>PrincipalesVariables[[#This Row],[Base monetaria]]/1000000</f>
        <v>33.139575999999998</v>
      </c>
      <c r="E3287" s="10">
        <v>1258</v>
      </c>
      <c r="F3287" s="11">
        <v>39127</v>
      </c>
      <c r="H3287" s="12">
        <f>(PrincipalesVariables[[#This Row],[Base monetaria]]-C3286)/C3286</f>
        <v>-3.5874200978521655E-2</v>
      </c>
      <c r="I3287" s="12">
        <f>(PrincipalesVariables[[#This Row],[Dólar  mayorista]]-E3286)/E3286</f>
        <v>6.3597049096864061E-5</v>
      </c>
      <c r="J3287" s="12">
        <f>(PrincipalesVariables[[#This Row],[Reservas internacionales]]-F3286)/F3286</f>
        <v>-6.2174923899235394E-2</v>
      </c>
    </row>
    <row r="3288" spans="1:10" ht="15.75" thickBot="1" x14ac:dyDescent="0.3">
      <c r="A3288" s="14">
        <v>45848</v>
      </c>
      <c r="B3288" s="15">
        <v>45848</v>
      </c>
      <c r="C3288" s="16">
        <v>43014258</v>
      </c>
      <c r="D3288" s="10">
        <f>PrincipalesVariables[[#This Row],[Base monetaria]]/1000000</f>
        <v>43.014257999999998</v>
      </c>
      <c r="E3288" s="10">
        <v>1261.17</v>
      </c>
      <c r="F3288" s="11">
        <v>38721</v>
      </c>
      <c r="H3288" s="12">
        <f>(PrincipalesVariables[[#This Row],[Base monetaria]]-C3287)/C3287</f>
        <v>0.29797249065588527</v>
      </c>
      <c r="I3288" s="12">
        <f>(PrincipalesVariables[[#This Row],[Dólar  mayorista]]-E3287)/E3287</f>
        <v>2.5198728139905189E-3</v>
      </c>
      <c r="J3288" s="12">
        <f>(PrincipalesVariables[[#This Row],[Reservas internacionales]]-F3287)/F3287</f>
        <v>-1.0376466378715464E-2</v>
      </c>
    </row>
    <row r="3289" spans="1:10" ht="15.75" thickBot="1" x14ac:dyDescent="0.3">
      <c r="A3289" s="14">
        <v>45849</v>
      </c>
      <c r="B3289" s="15">
        <v>45849</v>
      </c>
      <c r="C3289" s="16">
        <v>43032475</v>
      </c>
      <c r="D3289" s="10">
        <f>PrincipalesVariables[[#This Row],[Base monetaria]]/1000000</f>
        <v>43.032474999999998</v>
      </c>
      <c r="E3289" s="10">
        <v>1261.58</v>
      </c>
      <c r="F3289" s="11">
        <v>39060</v>
      </c>
      <c r="H3289" s="12">
        <f>(PrincipalesVariables[[#This Row],[Base monetaria]]-C3288)/C3288</f>
        <v>4.235107345104035E-4</v>
      </c>
      <c r="I3289" s="12">
        <f>(PrincipalesVariables[[#This Row],[Dólar  mayorista]]-E3288)/E3288</f>
        <v>3.2509495151316194E-4</v>
      </c>
      <c r="J3289" s="12">
        <f>(PrincipalesVariables[[#This Row],[Reservas internacionales]]-F3288)/F3288</f>
        <v>8.7549391802897655E-3</v>
      </c>
    </row>
    <row r="3290" spans="1:10" ht="15.75" thickBot="1" x14ac:dyDescent="0.3">
      <c r="A3290" s="14">
        <v>45852</v>
      </c>
      <c r="B3290" s="15">
        <v>45852</v>
      </c>
      <c r="C3290" s="16">
        <v>42051969</v>
      </c>
      <c r="D3290" s="10">
        <f>PrincipalesVariables[[#This Row],[Base monetaria]]/1000000</f>
        <v>42.051969</v>
      </c>
      <c r="E3290" s="10">
        <v>1266.17</v>
      </c>
      <c r="F3290" s="11">
        <v>39147</v>
      </c>
      <c r="H3290" s="12">
        <f>(PrincipalesVariables[[#This Row],[Base monetaria]]-C3289)/C3289</f>
        <v>-2.2785256948386075E-2</v>
      </c>
      <c r="I3290" s="12">
        <f>(PrincipalesVariables[[#This Row],[Dólar  mayorista]]-E3289)/E3289</f>
        <v>3.6382948366335435E-3</v>
      </c>
      <c r="J3290" s="12">
        <f>(PrincipalesVariables[[#This Row],[Reservas internacionales]]-F3289)/F3289</f>
        <v>2.2273425499231953E-3</v>
      </c>
    </row>
    <row r="3291" spans="1:10" ht="15.75" thickBot="1" x14ac:dyDescent="0.3">
      <c r="A3291" s="14">
        <v>45853</v>
      </c>
      <c r="B3291" s="15">
        <v>45853</v>
      </c>
      <c r="C3291" s="16">
        <v>38219612</v>
      </c>
      <c r="D3291" s="10">
        <f>PrincipalesVariables[[#This Row],[Base monetaria]]/1000000</f>
        <v>38.219611999999998</v>
      </c>
      <c r="E3291" s="10">
        <v>1277</v>
      </c>
      <c r="F3291" s="11">
        <v>39061</v>
      </c>
      <c r="H3291" s="12">
        <f>(PrincipalesVariables[[#This Row],[Base monetaria]]-C3290)/C3290</f>
        <v>-9.1133830142412595E-2</v>
      </c>
      <c r="I3291" s="12">
        <f>(PrincipalesVariables[[#This Row],[Dólar  mayorista]]-E3290)/E3290</f>
        <v>8.5533538150484745E-3</v>
      </c>
      <c r="J3291" s="12">
        <f>(PrincipalesVariables[[#This Row],[Reservas internacionales]]-F3290)/F3290</f>
        <v>-2.1968477788847167E-3</v>
      </c>
    </row>
    <row r="3292" spans="1:10" ht="15.75" thickBot="1" x14ac:dyDescent="0.3">
      <c r="A3292" s="14">
        <v>45854</v>
      </c>
      <c r="B3292" s="15">
        <v>45854</v>
      </c>
      <c r="C3292" s="16">
        <v>38563168</v>
      </c>
      <c r="D3292" s="10">
        <f>PrincipalesVariables[[#This Row],[Base monetaria]]/1000000</f>
        <v>38.563167999999997</v>
      </c>
      <c r="E3292" s="10">
        <v>1259.92</v>
      </c>
      <c r="F3292" s="11">
        <v>39554</v>
      </c>
      <c r="H3292" s="12">
        <f>(PrincipalesVariables[[#This Row],[Base monetaria]]-C3291)/C3291</f>
        <v>8.9889975858467638E-3</v>
      </c>
      <c r="I3292" s="12">
        <f>(PrincipalesVariables[[#This Row],[Dólar  mayorista]]-E3291)/E3291</f>
        <v>-1.3375097885669481E-2</v>
      </c>
      <c r="J3292" s="12">
        <f>(PrincipalesVariables[[#This Row],[Reservas internacionales]]-F3291)/F3291</f>
        <v>1.2621284657330841E-2</v>
      </c>
    </row>
    <row r="3293" spans="1:10" ht="15.75" thickBot="1" x14ac:dyDescent="0.3">
      <c r="A3293" s="14">
        <v>45855</v>
      </c>
      <c r="B3293" s="15">
        <v>45855</v>
      </c>
      <c r="C3293" s="16">
        <v>41459951</v>
      </c>
      <c r="D3293" s="10">
        <f>PrincipalesVariables[[#This Row],[Base monetaria]]/1000000</f>
        <v>41.459950999999997</v>
      </c>
      <c r="E3293" s="10">
        <v>1266.25</v>
      </c>
      <c r="F3293" s="11">
        <v>39836</v>
      </c>
      <c r="H3293" s="12">
        <f>(PrincipalesVariables[[#This Row],[Base monetaria]]-C3292)/C3292</f>
        <v>7.5117868946866603E-2</v>
      </c>
      <c r="I3293" s="12">
        <f>(PrincipalesVariables[[#This Row],[Dólar  mayorista]]-E3292)/E3292</f>
        <v>5.0241285160962023E-3</v>
      </c>
      <c r="J3293" s="12">
        <f>(PrincipalesVariables[[#This Row],[Reservas internacionales]]-F3292)/F3292</f>
        <v>7.1294938564999749E-3</v>
      </c>
    </row>
    <row r="3294" spans="1:10" ht="15.75" thickBot="1" x14ac:dyDescent="0.3">
      <c r="A3294" s="14">
        <v>45856</v>
      </c>
      <c r="B3294" s="15">
        <v>45856</v>
      </c>
      <c r="C3294" s="16">
        <v>37641717</v>
      </c>
      <c r="D3294" s="10">
        <f>PrincipalesVariables[[#This Row],[Base monetaria]]/1000000</f>
        <v>37.641717</v>
      </c>
      <c r="E3294" s="10">
        <v>1283.83</v>
      </c>
      <c r="F3294" s="11">
        <v>40393</v>
      </c>
      <c r="H3294" s="12">
        <f>(PrincipalesVariables[[#This Row],[Base monetaria]]-C3293)/C3293</f>
        <v>-9.2094513088064184E-2</v>
      </c>
      <c r="I3294" s="12">
        <f>(PrincipalesVariables[[#This Row],[Dólar  mayorista]]-E3293)/E3293</f>
        <v>1.3883514313918995E-2</v>
      </c>
      <c r="J3294" s="12">
        <f>(PrincipalesVariables[[#This Row],[Reservas internacionales]]-F3293)/F3293</f>
        <v>1.3982327542925997E-2</v>
      </c>
    </row>
    <row r="3295" spans="1:10" ht="15.75" thickBot="1" x14ac:dyDescent="0.3">
      <c r="A3295" s="14">
        <v>45859</v>
      </c>
      <c r="B3295" s="15">
        <v>45859</v>
      </c>
      <c r="C3295" s="16">
        <v>38025450</v>
      </c>
      <c r="D3295" s="10">
        <f>PrincipalesVariables[[#This Row],[Base monetaria]]/1000000</f>
        <v>38.025449999999999</v>
      </c>
      <c r="E3295" s="10">
        <v>1286</v>
      </c>
      <c r="F3295" s="11">
        <v>40652</v>
      </c>
      <c r="H3295" s="12">
        <f>(PrincipalesVariables[[#This Row],[Base monetaria]]-C3294)/C3294</f>
        <v>1.0194354311733442E-2</v>
      </c>
      <c r="I3295" s="12">
        <f>(PrincipalesVariables[[#This Row],[Dólar  mayorista]]-E3294)/E3294</f>
        <v>1.6902549402958904E-3</v>
      </c>
      <c r="J3295" s="12">
        <f>(PrincipalesVariables[[#This Row],[Reservas internacionales]]-F3294)/F3294</f>
        <v>6.4120020795682417E-3</v>
      </c>
    </row>
    <row r="3296" spans="1:10" ht="15.75" thickBot="1" x14ac:dyDescent="0.3">
      <c r="A3296" s="14">
        <v>45860</v>
      </c>
      <c r="B3296" s="15">
        <v>45860</v>
      </c>
      <c r="C3296" s="16">
        <v>38004625</v>
      </c>
      <c r="D3296" s="10">
        <f>PrincipalesVariables[[#This Row],[Base monetaria]]/1000000</f>
        <v>38.004624999999997</v>
      </c>
      <c r="E3296" s="10">
        <v>1266.17</v>
      </c>
      <c r="F3296" s="11">
        <v>40578</v>
      </c>
      <c r="H3296" s="12">
        <f>(PrincipalesVariables[[#This Row],[Base monetaria]]-C3295)/C3295</f>
        <v>-5.4765952802662431E-4</v>
      </c>
      <c r="I3296" s="12">
        <f>(PrincipalesVariables[[#This Row],[Dólar  mayorista]]-E3295)/E3295</f>
        <v>-1.5419906687402743E-2</v>
      </c>
      <c r="J3296" s="12">
        <f>(PrincipalesVariables[[#This Row],[Reservas internacionales]]-F3295)/F3295</f>
        <v>-1.8203286431171899E-3</v>
      </c>
    </row>
    <row r="3297" spans="1:10" ht="15.75" thickBot="1" x14ac:dyDescent="0.3">
      <c r="A3297" s="14">
        <v>45861</v>
      </c>
      <c r="B3297" s="15">
        <v>45861</v>
      </c>
      <c r="C3297" s="16">
        <v>38169300</v>
      </c>
      <c r="D3297" s="10">
        <f>PrincipalesVariables[[#This Row],[Base monetaria]]/1000000</f>
        <v>38.1693</v>
      </c>
      <c r="E3297" s="10">
        <v>1259.67</v>
      </c>
      <c r="F3297" s="11">
        <v>40358</v>
      </c>
      <c r="H3297" s="12">
        <f>(PrincipalesVariables[[#This Row],[Base monetaria]]-C3296)/C3296</f>
        <v>4.3330252567944033E-3</v>
      </c>
      <c r="I3297" s="12">
        <f>(PrincipalesVariables[[#This Row],[Dólar  mayorista]]-E3296)/E3296</f>
        <v>-5.1335918557539667E-3</v>
      </c>
      <c r="J3297" s="12">
        <f>(PrincipalesVariables[[#This Row],[Reservas internacionales]]-F3296)/F3296</f>
        <v>-5.4216570555473409E-3</v>
      </c>
    </row>
    <row r="3298" spans="1:10" ht="15.75" thickBot="1" x14ac:dyDescent="0.3">
      <c r="A3298" s="14">
        <v>45862</v>
      </c>
      <c r="B3298" s="15">
        <v>45862</v>
      </c>
      <c r="C3298" s="16">
        <v>38149891</v>
      </c>
      <c r="D3298" s="10">
        <f>PrincipalesVariables[[#This Row],[Base monetaria]]/1000000</f>
        <v>38.149890999999997</v>
      </c>
      <c r="E3298" s="10">
        <v>1262</v>
      </c>
      <c r="F3298" s="11">
        <v>40432</v>
      </c>
      <c r="H3298" s="12">
        <f>(PrincipalesVariables[[#This Row],[Base monetaria]]-C3297)/C3297</f>
        <v>-5.0849766697319576E-4</v>
      </c>
      <c r="I3298" s="12">
        <f>(PrincipalesVariables[[#This Row],[Dólar  mayorista]]-E3297)/E3297</f>
        <v>1.8496907920327761E-3</v>
      </c>
      <c r="J3298" s="12">
        <f>(PrincipalesVariables[[#This Row],[Reservas internacionales]]-F3297)/F3297</f>
        <v>1.8335893750929184E-3</v>
      </c>
    </row>
    <row r="3299" spans="1:10" ht="15.75" thickBot="1" x14ac:dyDescent="0.3">
      <c r="A3299" s="14">
        <v>45863</v>
      </c>
      <c r="B3299" s="15">
        <v>45863</v>
      </c>
      <c r="C3299" s="16">
        <v>37735031</v>
      </c>
      <c r="D3299" s="10">
        <f>PrincipalesVariables[[#This Row],[Base monetaria]]/1000000</f>
        <v>37.735030999999999</v>
      </c>
      <c r="E3299" s="10">
        <v>1277.75</v>
      </c>
      <c r="F3299" s="11">
        <v>40283</v>
      </c>
      <c r="H3299" s="12">
        <f>(PrincipalesVariables[[#This Row],[Base monetaria]]-C3298)/C3298</f>
        <v>-1.0874474058130336E-2</v>
      </c>
      <c r="I3299" s="12">
        <f>(PrincipalesVariables[[#This Row],[Dólar  mayorista]]-E3298)/E3298</f>
        <v>1.2480190174326465E-2</v>
      </c>
      <c r="J3299" s="12">
        <f>(PrincipalesVariables[[#This Row],[Reservas internacionales]]-F3298)/F3298</f>
        <v>-3.6851998417095368E-3</v>
      </c>
    </row>
    <row r="3300" spans="1:10" ht="15.75" thickBot="1" x14ac:dyDescent="0.3">
      <c r="A3300" s="14">
        <v>45866</v>
      </c>
      <c r="B3300" s="15">
        <v>45866</v>
      </c>
      <c r="C3300" s="16">
        <v>36820448</v>
      </c>
      <c r="D3300" s="10">
        <f>PrincipalesVariables[[#This Row],[Base monetaria]]/1000000</f>
        <v>36.820447999999999</v>
      </c>
      <c r="E3300" s="10">
        <v>1287.33</v>
      </c>
      <c r="F3300" s="11">
        <v>40146</v>
      </c>
      <c r="H3300" s="12">
        <f>(PrincipalesVariables[[#This Row],[Base monetaria]]-C3299)/C3299</f>
        <v>-2.4236974921260829E-2</v>
      </c>
      <c r="I3300" s="12">
        <f>(PrincipalesVariables[[#This Row],[Dólar  mayorista]]-E3299)/E3299</f>
        <v>7.4975542946585224E-3</v>
      </c>
      <c r="J3300" s="12">
        <f>(PrincipalesVariables[[#This Row],[Reservas internacionales]]-F3299)/F3299</f>
        <v>-3.400938361095251E-3</v>
      </c>
    </row>
    <row r="3301" spans="1:10" ht="15.75" thickBot="1" x14ac:dyDescent="0.3">
      <c r="A3301" s="14">
        <v>45867</v>
      </c>
      <c r="B3301" s="15">
        <v>45867</v>
      </c>
      <c r="C3301" s="16">
        <v>38348980</v>
      </c>
      <c r="D3301" s="10">
        <f>PrincipalesVariables[[#This Row],[Base monetaria]]/1000000</f>
        <v>38.348979999999997</v>
      </c>
      <c r="E3301" s="10">
        <v>1296.67</v>
      </c>
      <c r="F3301" s="11">
        <v>41245</v>
      </c>
      <c r="H3301" s="12">
        <f>(PrincipalesVariables[[#This Row],[Base monetaria]]-C3300)/C3300</f>
        <v>4.1513128791914752E-2</v>
      </c>
      <c r="I3301" s="12">
        <f>(PrincipalesVariables[[#This Row],[Dólar  mayorista]]-E3300)/E3300</f>
        <v>7.2553269169522549E-3</v>
      </c>
      <c r="J3301" s="12">
        <f>(PrincipalesVariables[[#This Row],[Reservas internacionales]]-F3300)/F3300</f>
        <v>2.7375080954516018E-2</v>
      </c>
    </row>
    <row r="3302" spans="1:10" ht="15.75" thickBot="1" x14ac:dyDescent="0.3">
      <c r="A3302" s="14">
        <v>45868</v>
      </c>
      <c r="B3302" s="15">
        <v>45868</v>
      </c>
      <c r="C3302" s="16">
        <v>37296150</v>
      </c>
      <c r="D3302" s="10">
        <f>PrincipalesVariables[[#This Row],[Base monetaria]]/1000000</f>
        <v>37.296149999999997</v>
      </c>
      <c r="E3302" s="10">
        <v>1294.17</v>
      </c>
      <c r="F3302" s="11">
        <v>40765</v>
      </c>
      <c r="H3302" s="12">
        <f>(PrincipalesVariables[[#This Row],[Base monetaria]]-C3301)/C3301</f>
        <v>-2.7453924459007774E-2</v>
      </c>
      <c r="I3302" s="12">
        <f>(PrincipalesVariables[[#This Row],[Dólar  mayorista]]-E3301)/E3301</f>
        <v>-1.928015609214372E-3</v>
      </c>
      <c r="J3302" s="12">
        <f>(PrincipalesVariables[[#This Row],[Reservas internacionales]]-F3301)/F3301</f>
        <v>-1.1637774275669779E-2</v>
      </c>
    </row>
    <row r="3303" spans="1:10" ht="15.75" thickBot="1" x14ac:dyDescent="0.3">
      <c r="A3303" s="14">
        <v>45869</v>
      </c>
      <c r="B3303" s="15">
        <v>45869</v>
      </c>
      <c r="C3303" s="16">
        <v>40113368</v>
      </c>
      <c r="D3303" s="10">
        <f>PrincipalesVariables[[#This Row],[Base monetaria]]/1000000</f>
        <v>40.113368000000001</v>
      </c>
      <c r="E3303" s="10">
        <v>1351.83</v>
      </c>
      <c r="F3303" s="11">
        <v>38866</v>
      </c>
      <c r="H3303" s="12">
        <f>(PrincipalesVariables[[#This Row],[Base monetaria]]-C3302)/C3302</f>
        <v>7.5536429363352517E-2</v>
      </c>
      <c r="I3303" s="12">
        <f>(PrincipalesVariables[[#This Row],[Dólar  mayorista]]-E3302)/E3302</f>
        <v>4.4553652147708456E-2</v>
      </c>
      <c r="J3303" s="12">
        <f>(PrincipalesVariables[[#This Row],[Reservas internacionales]]-F3302)/F3302</f>
        <v>-4.6584079479946035E-2</v>
      </c>
    </row>
    <row r="3304" spans="1:10" ht="15.75" thickBot="1" x14ac:dyDescent="0.3">
      <c r="A3304" s="14">
        <v>45870</v>
      </c>
      <c r="B3304" s="15">
        <v>45870</v>
      </c>
      <c r="C3304" s="16">
        <v>41407090</v>
      </c>
      <c r="D3304" s="10">
        <f>PrincipalesVariables[[#This Row],[Base monetaria]]/1000000</f>
        <v>41.407089999999997</v>
      </c>
      <c r="E3304" s="10">
        <v>1361.33</v>
      </c>
      <c r="F3304" s="11">
        <v>41034</v>
      </c>
      <c r="H3304" s="12">
        <f>(PrincipalesVariables[[#This Row],[Base monetaria]]-C3303)/C3303</f>
        <v>3.2251642395123743E-2</v>
      </c>
      <c r="I3304" s="12">
        <f>(PrincipalesVariables[[#This Row],[Dólar  mayorista]]-E3303)/E3303</f>
        <v>7.0275108556549278E-3</v>
      </c>
      <c r="J3304" s="12">
        <f>(PrincipalesVariables[[#This Row],[Reservas internacionales]]-F3303)/F3303</f>
        <v>5.5781402768486595E-2</v>
      </c>
    </row>
    <row r="3305" spans="1:10" ht="15.75" thickBot="1" x14ac:dyDescent="0.3">
      <c r="A3305" s="14">
        <v>45873</v>
      </c>
      <c r="B3305" s="15">
        <v>45873</v>
      </c>
      <c r="C3305" s="16">
        <v>42800555</v>
      </c>
      <c r="D3305" s="10">
        <f>PrincipalesVariables[[#This Row],[Base monetaria]]/1000000</f>
        <v>42.800555000000003</v>
      </c>
      <c r="E3305" s="10">
        <v>1361.83</v>
      </c>
      <c r="F3305" s="11">
        <v>43039</v>
      </c>
      <c r="H3305" s="12">
        <f>(PrincipalesVariables[[#This Row],[Base monetaria]]-C3304)/C3304</f>
        <v>3.365281163201761E-2</v>
      </c>
      <c r="I3305" s="12">
        <f>(PrincipalesVariables[[#This Row],[Dólar  mayorista]]-E3304)/E3304</f>
        <v>3.6728787288901296E-4</v>
      </c>
      <c r="J3305" s="12">
        <f>(PrincipalesVariables[[#This Row],[Reservas internacionales]]-F3304)/F3304</f>
        <v>4.8861919383925527E-2</v>
      </c>
    </row>
    <row r="3306" spans="1:10" ht="15.75" thickBot="1" x14ac:dyDescent="0.3">
      <c r="A3306" s="14">
        <v>45874</v>
      </c>
      <c r="B3306" s="15">
        <v>45874</v>
      </c>
      <c r="C3306" s="16">
        <v>42754510</v>
      </c>
      <c r="D3306" s="10">
        <f>PrincipalesVariables[[#This Row],[Base monetaria]]/1000000</f>
        <v>42.754510000000003</v>
      </c>
      <c r="E3306" s="10">
        <v>1351.17</v>
      </c>
      <c r="F3306" s="11">
        <v>42720</v>
      </c>
      <c r="H3306" s="12">
        <f>(PrincipalesVariables[[#This Row],[Base monetaria]]-C3305)/C3305</f>
        <v>-1.0758038067497022E-3</v>
      </c>
      <c r="I3306" s="12">
        <f>(PrincipalesVariables[[#This Row],[Dólar  mayorista]]-E3305)/E3305</f>
        <v>-7.8277024298185928E-3</v>
      </c>
      <c r="J3306" s="12">
        <f>(PrincipalesVariables[[#This Row],[Reservas internacionales]]-F3305)/F3305</f>
        <v>-7.4118822463347198E-3</v>
      </c>
    </row>
    <row r="3307" spans="1:10" ht="15.75" thickBot="1" x14ac:dyDescent="0.3">
      <c r="A3307" s="14">
        <v>45875</v>
      </c>
      <c r="B3307" s="15">
        <v>45875</v>
      </c>
      <c r="C3307" s="16">
        <v>42697634</v>
      </c>
      <c r="D3307" s="10">
        <f>PrincipalesVariables[[#This Row],[Base monetaria]]/1000000</f>
        <v>42.697634000000001</v>
      </c>
      <c r="E3307" s="10">
        <v>1333.67</v>
      </c>
      <c r="F3307" s="11">
        <v>42143</v>
      </c>
      <c r="H3307" s="12">
        <f>(PrincipalesVariables[[#This Row],[Base monetaria]]-C3306)/C3306</f>
        <v>-1.3302924065788616E-3</v>
      </c>
      <c r="I3307" s="12">
        <f>(PrincipalesVariables[[#This Row],[Dólar  mayorista]]-E3306)/E3306</f>
        <v>-1.2951738123256141E-2</v>
      </c>
      <c r="J3307" s="12">
        <f>(PrincipalesVariables[[#This Row],[Reservas internacionales]]-F3306)/F3306</f>
        <v>-1.3506554307116106E-2</v>
      </c>
    </row>
    <row r="3308" spans="1:10" ht="15.75" thickBot="1" x14ac:dyDescent="0.3">
      <c r="A3308" s="14">
        <v>45876</v>
      </c>
      <c r="B3308" s="15">
        <v>45876</v>
      </c>
      <c r="C3308" s="16">
        <v>42675620</v>
      </c>
      <c r="D3308" s="10">
        <f>PrincipalesVariables[[#This Row],[Base monetaria]]/1000000</f>
        <v>42.675620000000002</v>
      </c>
      <c r="E3308" s="10">
        <v>1331.08</v>
      </c>
      <c r="F3308" s="11">
        <v>41683</v>
      </c>
      <c r="H3308" s="12">
        <f>(PrincipalesVariables[[#This Row],[Base monetaria]]-C3307)/C3307</f>
        <v>-5.1557891943146081E-4</v>
      </c>
      <c r="I3308" s="12">
        <f>(PrincipalesVariables[[#This Row],[Dólar  mayorista]]-E3307)/E3307</f>
        <v>-1.9420096425653613E-3</v>
      </c>
      <c r="J3308" s="12">
        <f>(PrincipalesVariables[[#This Row],[Reservas internacionales]]-F3307)/F3307</f>
        <v>-1.0915217236551741E-2</v>
      </c>
    </row>
    <row r="3309" spans="1:10" ht="15.75" thickBot="1" x14ac:dyDescent="0.3">
      <c r="A3309" s="14">
        <v>45877</v>
      </c>
      <c r="B3309" s="15">
        <v>45877</v>
      </c>
      <c r="C3309" s="16">
        <v>42743195</v>
      </c>
      <c r="D3309" s="10">
        <f>PrincipalesVariables[[#This Row],[Base monetaria]]/1000000</f>
        <v>42.743195</v>
      </c>
      <c r="E3309" s="10">
        <v>1329.42</v>
      </c>
      <c r="F3309" s="11">
        <v>42116</v>
      </c>
      <c r="H3309" s="12">
        <f>(PrincipalesVariables[[#This Row],[Base monetaria]]-C3308)/C3308</f>
        <v>1.5834567839904845E-3</v>
      </c>
      <c r="I3309" s="12">
        <f>(PrincipalesVariables[[#This Row],[Dólar  mayorista]]-E3308)/E3308</f>
        <v>-1.2471076118639409E-3</v>
      </c>
      <c r="J3309" s="12">
        <f>(PrincipalesVariables[[#This Row],[Reservas internacionales]]-F3308)/F3308</f>
        <v>1.0387927932250558E-2</v>
      </c>
    </row>
    <row r="3310" spans="1:10" ht="15.75" thickBot="1" x14ac:dyDescent="0.3">
      <c r="A3310" s="14">
        <v>45880</v>
      </c>
      <c r="B3310" s="15">
        <v>45880</v>
      </c>
      <c r="C3310" s="16">
        <v>42702784</v>
      </c>
      <c r="D3310" s="10">
        <f>PrincipalesVariables[[#This Row],[Base monetaria]]/1000000</f>
        <v>42.702784000000001</v>
      </c>
      <c r="E3310" s="10">
        <v>1330.5</v>
      </c>
      <c r="F3310" s="11">
        <v>41991</v>
      </c>
      <c r="H3310" s="12">
        <f>(PrincipalesVariables[[#This Row],[Base monetaria]]-C3309)/C3309</f>
        <v>-9.4543704559287153E-4</v>
      </c>
      <c r="I3310" s="12">
        <f>(PrincipalesVariables[[#This Row],[Dólar  mayorista]]-E3309)/E3309</f>
        <v>8.1238434806150592E-4</v>
      </c>
      <c r="J3310" s="12">
        <f>(PrincipalesVariables[[#This Row],[Reservas internacionales]]-F3309)/F3309</f>
        <v>-2.9679931617437555E-3</v>
      </c>
    </row>
    <row r="3311" spans="1:10" ht="15.75" thickBot="1" x14ac:dyDescent="0.3">
      <c r="A3311" s="14">
        <v>45881</v>
      </c>
      <c r="B3311" s="15">
        <v>45881</v>
      </c>
      <c r="C3311" s="16">
        <v>42659621</v>
      </c>
      <c r="D3311" s="10">
        <f>PrincipalesVariables[[#This Row],[Base monetaria]]/1000000</f>
        <v>42.659621000000001</v>
      </c>
      <c r="E3311" s="10">
        <v>1321.5</v>
      </c>
      <c r="F3311" s="11">
        <v>41991</v>
      </c>
      <c r="H3311" s="12">
        <f>(PrincipalesVariables[[#This Row],[Base monetaria]]-C3310)/C3310</f>
        <v>-1.0107771896089961E-3</v>
      </c>
      <c r="I3311" s="12">
        <f>(PrincipalesVariables[[#This Row],[Dólar  mayorista]]-E3310)/E3310</f>
        <v>-6.7643742953776773E-3</v>
      </c>
      <c r="J3311" s="12">
        <f>(PrincipalesVariables[[#This Row],[Reservas internacionales]]-F3310)/F3310</f>
        <v>0</v>
      </c>
    </row>
    <row r="3312" spans="1:10" ht="15.75" thickBot="1" x14ac:dyDescent="0.3">
      <c r="A3312" s="14">
        <v>45882</v>
      </c>
      <c r="B3312" s="15">
        <v>45882</v>
      </c>
      <c r="C3312" s="16">
        <v>42643973</v>
      </c>
      <c r="D3312" s="10">
        <f>PrincipalesVariables[[#This Row],[Base monetaria]]/1000000</f>
        <v>42.643973000000003</v>
      </c>
      <c r="E3312" s="10">
        <v>1318</v>
      </c>
      <c r="F3312" s="11">
        <v>42052</v>
      </c>
      <c r="H3312" s="12">
        <f>(PrincipalesVariables[[#This Row],[Base monetaria]]-C3311)/C3311</f>
        <v>-3.668105724614853E-4</v>
      </c>
      <c r="I3312" s="12">
        <f>(PrincipalesVariables[[#This Row],[Dólar  mayorista]]-E3311)/E3311</f>
        <v>-2.6485054861899358E-3</v>
      </c>
      <c r="J3312" s="12">
        <f>(PrincipalesVariables[[#This Row],[Reservas internacionales]]-F3311)/F3311</f>
        <v>1.4526922435760044E-3</v>
      </c>
    </row>
    <row r="3313" spans="1:10" ht="15.75" thickBot="1" x14ac:dyDescent="0.3">
      <c r="A3313" s="14">
        <v>45883</v>
      </c>
      <c r="B3313" s="15">
        <v>45883</v>
      </c>
      <c r="C3313" s="16">
        <v>42615572</v>
      </c>
      <c r="D3313" s="10">
        <f>PrincipalesVariables[[#This Row],[Base monetaria]]/1000000</f>
        <v>42.615572</v>
      </c>
      <c r="E3313" s="10">
        <v>1308.33</v>
      </c>
      <c r="F3313" s="11">
        <v>41908</v>
      </c>
      <c r="H3313" s="12">
        <f>(PrincipalesVariables[[#This Row],[Base monetaria]]-C3312)/C3312</f>
        <v>-6.6600267287478113E-4</v>
      </c>
      <c r="I3313" s="12">
        <f>(PrincipalesVariables[[#This Row],[Dólar  mayorista]]-E3312)/E3312</f>
        <v>-7.3368740515933782E-3</v>
      </c>
      <c r="J3313" s="12">
        <f>(PrincipalesVariables[[#This Row],[Reservas internacionales]]-F3312)/F3312</f>
        <v>-3.4243317797013222E-3</v>
      </c>
    </row>
    <row r="3314" spans="1:10" ht="15.75" thickBot="1" x14ac:dyDescent="0.3">
      <c r="A3314" s="14">
        <v>45887</v>
      </c>
      <c r="B3314" s="15">
        <v>45887</v>
      </c>
      <c r="C3314" s="16">
        <v>48555085</v>
      </c>
      <c r="D3314" s="10">
        <f>PrincipalesVariables[[#This Row],[Base monetaria]]/1000000</f>
        <v>48.555084999999998</v>
      </c>
      <c r="E3314" s="10">
        <v>1298.83</v>
      </c>
      <c r="F3314" s="11">
        <v>41757</v>
      </c>
      <c r="H3314" s="12">
        <f>(PrincipalesVariables[[#This Row],[Base monetaria]]-C3313)/C3313</f>
        <v>0.13937424094647843</v>
      </c>
      <c r="I3314" s="12">
        <f>(PrincipalesVariables[[#This Row],[Dólar  mayorista]]-E3313)/E3313</f>
        <v>-7.2611649965987181E-3</v>
      </c>
      <c r="J3314" s="12">
        <f>(PrincipalesVariables[[#This Row],[Reservas internacionales]]-F3313)/F3313</f>
        <v>-3.6031306671757183E-3</v>
      </c>
    </row>
    <row r="3315" spans="1:10" ht="15.75" thickBot="1" x14ac:dyDescent="0.3">
      <c r="A3315" s="7">
        <v>45888</v>
      </c>
      <c r="B3315" s="8">
        <v>45888</v>
      </c>
      <c r="C3315" s="9">
        <v>44631142</v>
      </c>
      <c r="D3315" s="32">
        <f>PrincipalesVariables[[#This Row],[Base monetaria]]/1000000</f>
        <v>44.631141999999997</v>
      </c>
      <c r="E3315" s="10">
        <v>1292.33</v>
      </c>
      <c r="F3315" s="11">
        <v>41705</v>
      </c>
      <c r="H3315" s="12">
        <f>(PrincipalesVariables[[#This Row],[Base monetaria]]-C3314)/C3314</f>
        <v>-8.0814254572924751E-2</v>
      </c>
      <c r="I3315" s="12">
        <f>(PrincipalesVariables[[#This Row],[Dólar  mayorista]]-E3314)/E3314</f>
        <v>-5.0045040536482836E-3</v>
      </c>
      <c r="J3315" s="12">
        <f>(PrincipalesVariables[[#This Row],[Reservas internacionales]]-F3314)/F3314</f>
        <v>-1.2453001891898365E-3</v>
      </c>
    </row>
    <row r="3316" spans="1:10" ht="15.75" thickBot="1" x14ac:dyDescent="0.3">
      <c r="A3316" s="14">
        <v>45889</v>
      </c>
      <c r="B3316" s="15">
        <v>45889</v>
      </c>
      <c r="C3316" s="16">
        <v>42821346</v>
      </c>
      <c r="D3316" s="10">
        <f>PrincipalesVariables[[#This Row],[Base monetaria]]/1000000</f>
        <v>42.821345999999998</v>
      </c>
      <c r="E3316" s="10">
        <v>1298.5</v>
      </c>
      <c r="F3316" s="18">
        <v>41692</v>
      </c>
      <c r="H3316" s="12">
        <f>(PrincipalesVariables[[#This Row],[Base monetaria]]-C3315)/C3315</f>
        <v>-4.0550071517327521E-2</v>
      </c>
      <c r="I3316" s="12">
        <f>(PrincipalesVariables[[#This Row],[Dólar  mayorista]]-E3315)/E3315</f>
        <v>4.7743223480071449E-3</v>
      </c>
      <c r="J3316" s="12">
        <f>(PrincipalesVariables[[#This Row],[Reservas internacionales]]-F3315)/F3315</f>
        <v>-3.1171322383407267E-4</v>
      </c>
    </row>
    <row r="3317" spans="1:10" ht="15.75" thickBot="1" x14ac:dyDescent="0.3">
      <c r="D3317" s="13">
        <f>PrincipalesVariables[[#This Row],[Base monetaria]]/1000000</f>
        <v>0</v>
      </c>
      <c r="E3317" s="10">
        <v>1309.25</v>
      </c>
      <c r="F3317" s="22"/>
    </row>
    <row r="3318" spans="1:10" ht="15.75" thickBot="1" x14ac:dyDescent="0.3">
      <c r="D3318" s="13">
        <f>PrincipalesVariables[[#This Row],[Base monetaria]]/1000000</f>
        <v>0</v>
      </c>
      <c r="E3318" s="10">
        <v>1321.58</v>
      </c>
      <c r="F3318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429C-522B-43E1-933A-9BC99082A550}">
  <dimension ref="A1:R641"/>
  <sheetViews>
    <sheetView tabSelected="1" workbookViewId="0">
      <selection activeCell="O2" sqref="O2"/>
    </sheetView>
  </sheetViews>
  <sheetFormatPr baseColWidth="10" defaultRowHeight="15" x14ac:dyDescent="0.25"/>
  <cols>
    <col min="2" max="2" width="19.28515625" customWidth="1"/>
    <col min="3" max="3" width="29" customWidth="1"/>
    <col min="15" max="15" width="22.42578125" customWidth="1"/>
    <col min="16" max="16" width="29" customWidth="1"/>
  </cols>
  <sheetData>
    <row r="1" spans="1:16" ht="15.75" thickBot="1" x14ac:dyDescent="0.3">
      <c r="A1" s="29" t="s">
        <v>0</v>
      </c>
      <c r="B1" s="30" t="s">
        <v>3</v>
      </c>
      <c r="C1" s="31" t="s">
        <v>4</v>
      </c>
      <c r="N1" s="29" t="s">
        <v>0</v>
      </c>
      <c r="O1" s="33" t="s">
        <v>2</v>
      </c>
      <c r="P1" s="31" t="s">
        <v>4</v>
      </c>
    </row>
    <row r="2" spans="1:16" ht="16.5" thickTop="1" thickBot="1" x14ac:dyDescent="0.3">
      <c r="A2" s="23">
        <v>44928</v>
      </c>
      <c r="B2" s="10">
        <v>178.14</v>
      </c>
      <c r="C2" s="26">
        <v>44608</v>
      </c>
      <c r="N2" s="23">
        <v>44928</v>
      </c>
      <c r="O2" s="16">
        <v>5200397</v>
      </c>
      <c r="P2" s="26">
        <v>44608</v>
      </c>
    </row>
    <row r="3" spans="1:16" ht="15.75" thickBot="1" x14ac:dyDescent="0.3">
      <c r="A3" s="23">
        <v>44929</v>
      </c>
      <c r="B3" s="10">
        <v>178.43</v>
      </c>
      <c r="C3" s="26">
        <v>44613</v>
      </c>
      <c r="N3" s="23">
        <v>44929</v>
      </c>
      <c r="O3" s="16">
        <v>5219463</v>
      </c>
      <c r="P3" s="26">
        <v>44613</v>
      </c>
    </row>
    <row r="4" spans="1:16" ht="15.75" thickBot="1" x14ac:dyDescent="0.3">
      <c r="A4" s="23">
        <v>44930</v>
      </c>
      <c r="B4" s="10">
        <v>178.65</v>
      </c>
      <c r="C4" s="26">
        <v>44694</v>
      </c>
      <c r="N4" s="23">
        <v>44930</v>
      </c>
      <c r="O4" s="16">
        <v>5247080</v>
      </c>
      <c r="P4" s="26">
        <v>44694</v>
      </c>
    </row>
    <row r="5" spans="1:16" ht="15.75" thickBot="1" x14ac:dyDescent="0.3">
      <c r="A5" s="23">
        <v>44931</v>
      </c>
      <c r="B5" s="10">
        <v>178.94</v>
      </c>
      <c r="C5" s="26">
        <v>44838</v>
      </c>
      <c r="N5" s="23">
        <v>44931</v>
      </c>
      <c r="O5" s="16">
        <v>5234491</v>
      </c>
      <c r="P5" s="26">
        <v>44838</v>
      </c>
    </row>
    <row r="6" spans="1:16" ht="15.75" thickBot="1" x14ac:dyDescent="0.3">
      <c r="A6" s="23">
        <v>44932</v>
      </c>
      <c r="B6" s="10">
        <v>179.24</v>
      </c>
      <c r="C6" s="26">
        <v>44432</v>
      </c>
      <c r="N6" s="23">
        <v>44932</v>
      </c>
      <c r="O6" s="16">
        <v>5228618</v>
      </c>
      <c r="P6" s="26">
        <v>44432</v>
      </c>
    </row>
    <row r="7" spans="1:16" ht="15.75" thickBot="1" x14ac:dyDescent="0.3">
      <c r="A7" s="23">
        <v>44935</v>
      </c>
      <c r="B7" s="10">
        <v>180.14</v>
      </c>
      <c r="C7" s="26">
        <v>43371</v>
      </c>
      <c r="N7" s="23">
        <v>44935</v>
      </c>
      <c r="O7" s="16">
        <v>5366804</v>
      </c>
      <c r="P7" s="26">
        <v>43371</v>
      </c>
    </row>
    <row r="8" spans="1:16" ht="15.75" thickBot="1" x14ac:dyDescent="0.3">
      <c r="A8" s="23">
        <v>44936</v>
      </c>
      <c r="B8" s="10">
        <v>180.4</v>
      </c>
      <c r="C8" s="26">
        <v>43395</v>
      </c>
      <c r="N8" s="23">
        <v>44936</v>
      </c>
      <c r="O8" s="16">
        <v>5303877</v>
      </c>
      <c r="P8" s="26">
        <v>43395</v>
      </c>
    </row>
    <row r="9" spans="1:16" ht="15.75" thickBot="1" x14ac:dyDescent="0.3">
      <c r="A9" s="23">
        <v>44937</v>
      </c>
      <c r="B9" s="10">
        <v>180.69</v>
      </c>
      <c r="C9" s="26">
        <v>43406</v>
      </c>
      <c r="N9" s="23">
        <v>44937</v>
      </c>
      <c r="O9" s="16">
        <v>5348817</v>
      </c>
      <c r="P9" s="26">
        <v>43406</v>
      </c>
    </row>
    <row r="10" spans="1:16" ht="15.75" thickBot="1" x14ac:dyDescent="0.3">
      <c r="A10" s="23">
        <v>44938</v>
      </c>
      <c r="B10" s="10">
        <v>180.97</v>
      </c>
      <c r="C10" s="26">
        <v>43534</v>
      </c>
      <c r="N10" s="23">
        <v>44938</v>
      </c>
      <c r="O10" s="16">
        <v>5293072</v>
      </c>
      <c r="P10" s="26">
        <v>43534</v>
      </c>
    </row>
    <row r="11" spans="1:16" ht="15.75" thickBot="1" x14ac:dyDescent="0.3">
      <c r="A11" s="23">
        <v>44939</v>
      </c>
      <c r="B11" s="10">
        <v>181.28</v>
      </c>
      <c r="C11" s="26">
        <v>43115</v>
      </c>
      <c r="N11" s="23">
        <v>44939</v>
      </c>
      <c r="O11" s="16">
        <v>5319258</v>
      </c>
      <c r="P11" s="26">
        <v>43115</v>
      </c>
    </row>
    <row r="12" spans="1:16" ht="15.75" thickBot="1" x14ac:dyDescent="0.3">
      <c r="A12" s="23">
        <v>44942</v>
      </c>
      <c r="B12" s="10">
        <v>182.16</v>
      </c>
      <c r="C12" s="26">
        <v>42987</v>
      </c>
      <c r="N12" s="23">
        <v>44942</v>
      </c>
      <c r="O12" s="16">
        <v>5376426</v>
      </c>
      <c r="P12" s="26">
        <v>42987</v>
      </c>
    </row>
    <row r="13" spans="1:16" ht="15.75" thickBot="1" x14ac:dyDescent="0.3">
      <c r="A13" s="23">
        <v>44943</v>
      </c>
      <c r="B13" s="10">
        <v>182.49</v>
      </c>
      <c r="C13" s="26">
        <v>42890</v>
      </c>
      <c r="N13" s="23">
        <v>44943</v>
      </c>
      <c r="O13" s="16">
        <v>5331754</v>
      </c>
      <c r="P13" s="26">
        <v>42890</v>
      </c>
    </row>
    <row r="14" spans="1:16" ht="15.75" thickBot="1" x14ac:dyDescent="0.3">
      <c r="A14" s="23">
        <v>44944</v>
      </c>
      <c r="B14" s="10">
        <v>182.8</v>
      </c>
      <c r="C14" s="26">
        <v>42845</v>
      </c>
      <c r="N14" s="23">
        <v>44944</v>
      </c>
      <c r="O14" s="16">
        <v>5294243</v>
      </c>
      <c r="P14" s="26">
        <v>42845</v>
      </c>
    </row>
    <row r="15" spans="1:16" ht="15.75" thickBot="1" x14ac:dyDescent="0.3">
      <c r="A15" s="23">
        <v>44945</v>
      </c>
      <c r="B15" s="10">
        <v>183.13</v>
      </c>
      <c r="C15" s="26">
        <v>42816</v>
      </c>
      <c r="N15" s="23">
        <v>44945</v>
      </c>
      <c r="O15" s="16">
        <v>5302441</v>
      </c>
      <c r="P15" s="26">
        <v>42816</v>
      </c>
    </row>
    <row r="16" spans="1:16" ht="15.75" thickBot="1" x14ac:dyDescent="0.3">
      <c r="A16" s="23">
        <v>44946</v>
      </c>
      <c r="B16" s="10">
        <v>183.44</v>
      </c>
      <c r="C16" s="26">
        <v>42710</v>
      </c>
      <c r="N16" s="23">
        <v>44946</v>
      </c>
      <c r="O16" s="16">
        <v>5310855</v>
      </c>
      <c r="P16" s="26">
        <v>42710</v>
      </c>
    </row>
    <row r="17" spans="1:16" ht="15.75" thickBot="1" x14ac:dyDescent="0.3">
      <c r="A17" s="23">
        <v>44949</v>
      </c>
      <c r="B17" s="10">
        <v>184.37</v>
      </c>
      <c r="C17" s="26">
        <v>42659</v>
      </c>
      <c r="N17" s="23">
        <v>44949</v>
      </c>
      <c r="O17" s="16">
        <v>5364495</v>
      </c>
      <c r="P17" s="26">
        <v>42659</v>
      </c>
    </row>
    <row r="18" spans="1:16" ht="15.75" thickBot="1" x14ac:dyDescent="0.3">
      <c r="A18" s="23">
        <v>44950</v>
      </c>
      <c r="B18" s="10">
        <v>184.69</v>
      </c>
      <c r="C18" s="26">
        <v>42649</v>
      </c>
      <c r="N18" s="23">
        <v>44950</v>
      </c>
      <c r="O18" s="16">
        <v>5314385</v>
      </c>
      <c r="P18" s="26">
        <v>42649</v>
      </c>
    </row>
    <row r="19" spans="1:16" ht="15.75" thickBot="1" x14ac:dyDescent="0.3">
      <c r="A19" s="23">
        <v>44951</v>
      </c>
      <c r="B19" s="10">
        <v>185.01</v>
      </c>
      <c r="C19" s="26">
        <v>42481</v>
      </c>
      <c r="N19" s="23">
        <v>44951</v>
      </c>
      <c r="O19" s="16">
        <v>5245233</v>
      </c>
      <c r="P19" s="26">
        <v>42481</v>
      </c>
    </row>
    <row r="20" spans="1:16" ht="15.75" thickBot="1" x14ac:dyDescent="0.3">
      <c r="A20" s="23">
        <v>44952</v>
      </c>
      <c r="B20" s="10">
        <v>185.32</v>
      </c>
      <c r="C20" s="26">
        <v>42274</v>
      </c>
      <c r="N20" s="23">
        <v>44952</v>
      </c>
      <c r="O20" s="16">
        <v>5256841</v>
      </c>
      <c r="P20" s="26">
        <v>42274</v>
      </c>
    </row>
    <row r="21" spans="1:16" ht="15.75" thickBot="1" x14ac:dyDescent="0.3">
      <c r="A21" s="23">
        <v>44953</v>
      </c>
      <c r="B21" s="10">
        <v>185.63</v>
      </c>
      <c r="C21" s="26">
        <v>42265</v>
      </c>
      <c r="N21" s="23">
        <v>44953</v>
      </c>
      <c r="O21" s="16">
        <v>5334347</v>
      </c>
      <c r="P21" s="26">
        <v>42265</v>
      </c>
    </row>
    <row r="22" spans="1:16" ht="15.75" thickBot="1" x14ac:dyDescent="0.3">
      <c r="A22" s="23">
        <v>44956</v>
      </c>
      <c r="B22" s="10">
        <v>186.58</v>
      </c>
      <c r="C22" s="26">
        <v>41518</v>
      </c>
      <c r="N22" s="23">
        <v>44956</v>
      </c>
      <c r="O22" s="16">
        <v>5230196</v>
      </c>
      <c r="P22" s="26">
        <v>41518</v>
      </c>
    </row>
    <row r="23" spans="1:16" ht="15.75" thickBot="1" x14ac:dyDescent="0.3">
      <c r="A23" s="23">
        <v>44957</v>
      </c>
      <c r="B23" s="10">
        <v>186.88</v>
      </c>
      <c r="C23" s="26">
        <v>41417</v>
      </c>
      <c r="N23" s="23">
        <v>44957</v>
      </c>
      <c r="O23" s="16">
        <v>5316722</v>
      </c>
      <c r="P23" s="26">
        <v>41417</v>
      </c>
    </row>
    <row r="24" spans="1:16" ht="15.75" thickBot="1" x14ac:dyDescent="0.3">
      <c r="A24" s="23">
        <v>44958</v>
      </c>
      <c r="B24" s="10">
        <v>187.31</v>
      </c>
      <c r="C24" s="26">
        <v>41379</v>
      </c>
      <c r="N24" s="23">
        <v>44958</v>
      </c>
      <c r="O24" s="16">
        <v>5363106</v>
      </c>
      <c r="P24" s="26">
        <v>41379</v>
      </c>
    </row>
    <row r="25" spans="1:16" ht="15.75" thickBot="1" x14ac:dyDescent="0.3">
      <c r="A25" s="23">
        <v>44959</v>
      </c>
      <c r="B25" s="10">
        <v>187.61</v>
      </c>
      <c r="C25" s="26">
        <v>41314</v>
      </c>
      <c r="N25" s="23">
        <v>44959</v>
      </c>
      <c r="O25" s="16">
        <v>5180252</v>
      </c>
      <c r="P25" s="26">
        <v>41314</v>
      </c>
    </row>
    <row r="26" spans="1:16" ht="15.75" thickBot="1" x14ac:dyDescent="0.3">
      <c r="A26" s="23">
        <v>44960</v>
      </c>
      <c r="B26" s="10">
        <v>187.95</v>
      </c>
      <c r="C26" s="26">
        <v>41022</v>
      </c>
      <c r="N26" s="23">
        <v>44960</v>
      </c>
      <c r="O26" s="16">
        <v>5232136</v>
      </c>
      <c r="P26" s="26">
        <v>41022</v>
      </c>
    </row>
    <row r="27" spans="1:16" ht="15.75" thickBot="1" x14ac:dyDescent="0.3">
      <c r="A27" s="23">
        <v>44963</v>
      </c>
      <c r="B27" s="10">
        <v>189.1</v>
      </c>
      <c r="C27" s="26">
        <v>40288</v>
      </c>
      <c r="N27" s="23">
        <v>44963</v>
      </c>
      <c r="O27" s="16">
        <v>5224187</v>
      </c>
      <c r="P27" s="26">
        <v>40288</v>
      </c>
    </row>
    <row r="28" spans="1:16" ht="15.75" thickBot="1" x14ac:dyDescent="0.3">
      <c r="A28" s="23">
        <v>44964</v>
      </c>
      <c r="B28" s="10">
        <v>189.46</v>
      </c>
      <c r="C28" s="26">
        <v>40287</v>
      </c>
      <c r="N28" s="23">
        <v>44964</v>
      </c>
      <c r="O28" s="16">
        <v>5232434</v>
      </c>
      <c r="P28" s="26">
        <v>40287</v>
      </c>
    </row>
    <row r="29" spans="1:16" ht="15.75" thickBot="1" x14ac:dyDescent="0.3">
      <c r="A29" s="23">
        <v>44965</v>
      </c>
      <c r="B29" s="10">
        <v>189.86</v>
      </c>
      <c r="C29" s="26">
        <v>40169</v>
      </c>
      <c r="N29" s="23">
        <v>44965</v>
      </c>
      <c r="O29" s="16">
        <v>5201636</v>
      </c>
      <c r="P29" s="26">
        <v>40169</v>
      </c>
    </row>
    <row r="30" spans="1:16" ht="15.75" thickBot="1" x14ac:dyDescent="0.3">
      <c r="A30" s="23">
        <v>44966</v>
      </c>
      <c r="B30" s="10">
        <v>190.2</v>
      </c>
      <c r="C30" s="26">
        <v>40076</v>
      </c>
      <c r="N30" s="23">
        <v>44966</v>
      </c>
      <c r="O30" s="16">
        <v>5237613</v>
      </c>
      <c r="P30" s="26">
        <v>40076</v>
      </c>
    </row>
    <row r="31" spans="1:16" ht="15.75" thickBot="1" x14ac:dyDescent="0.3">
      <c r="A31" s="23">
        <v>44967</v>
      </c>
      <c r="B31" s="10">
        <v>190.53</v>
      </c>
      <c r="C31" s="26">
        <v>40012</v>
      </c>
      <c r="N31" s="23">
        <v>44967</v>
      </c>
      <c r="O31" s="16">
        <v>5247218</v>
      </c>
      <c r="P31" s="26">
        <v>40012</v>
      </c>
    </row>
    <row r="32" spans="1:16" ht="15.75" thickBot="1" x14ac:dyDescent="0.3">
      <c r="A32" s="23">
        <v>44970</v>
      </c>
      <c r="B32" s="10">
        <v>191.64</v>
      </c>
      <c r="C32" s="26">
        <v>40008</v>
      </c>
      <c r="N32" s="23">
        <v>44970</v>
      </c>
      <c r="O32" s="16">
        <v>5207984</v>
      </c>
      <c r="P32" s="26">
        <v>40008</v>
      </c>
    </row>
    <row r="33" spans="1:18" ht="15.75" thickBot="1" x14ac:dyDescent="0.3">
      <c r="A33" s="23">
        <v>44971</v>
      </c>
      <c r="B33" s="10">
        <v>192.02</v>
      </c>
      <c r="C33" s="26">
        <v>40009</v>
      </c>
      <c r="N33" s="23">
        <v>44971</v>
      </c>
      <c r="O33" s="16">
        <v>5205435</v>
      </c>
      <c r="P33" s="26">
        <v>40009</v>
      </c>
    </row>
    <row r="34" spans="1:18" ht="15.75" thickBot="1" x14ac:dyDescent="0.3">
      <c r="A34" s="23">
        <v>44972</v>
      </c>
      <c r="B34" s="10">
        <v>192.38</v>
      </c>
      <c r="C34" s="26">
        <v>39561</v>
      </c>
      <c r="N34" s="23">
        <v>44972</v>
      </c>
      <c r="O34" s="16">
        <v>5265604</v>
      </c>
      <c r="P34" s="26">
        <v>39561</v>
      </c>
    </row>
    <row r="35" spans="1:18" ht="15.75" thickBot="1" x14ac:dyDescent="0.3">
      <c r="A35" s="23">
        <v>44973</v>
      </c>
      <c r="B35" s="10">
        <v>192.78</v>
      </c>
      <c r="C35" s="26">
        <v>39514</v>
      </c>
      <c r="N35" s="23">
        <v>44973</v>
      </c>
      <c r="O35" s="16">
        <v>5320892</v>
      </c>
      <c r="P35" s="26">
        <v>39514</v>
      </c>
    </row>
    <row r="36" spans="1:18" ht="15.75" thickBot="1" x14ac:dyDescent="0.3">
      <c r="A36" s="23">
        <v>44974</v>
      </c>
      <c r="B36" s="10">
        <v>193.19</v>
      </c>
      <c r="C36" s="26">
        <v>39335</v>
      </c>
      <c r="N36" s="23">
        <v>44974</v>
      </c>
      <c r="O36" s="16">
        <v>5297653</v>
      </c>
      <c r="P36" s="26">
        <v>39335</v>
      </c>
    </row>
    <row r="37" spans="1:18" ht="15.75" thickBot="1" x14ac:dyDescent="0.3">
      <c r="A37" s="23">
        <v>44979</v>
      </c>
      <c r="B37" s="10">
        <v>194.98</v>
      </c>
      <c r="C37" s="26">
        <v>39261</v>
      </c>
      <c r="N37" s="23">
        <v>44979</v>
      </c>
      <c r="O37" s="16">
        <v>5275992</v>
      </c>
      <c r="P37" s="26">
        <v>39261</v>
      </c>
    </row>
    <row r="38" spans="1:18" ht="15.75" thickBot="1" x14ac:dyDescent="0.3">
      <c r="A38" s="23">
        <v>44980</v>
      </c>
      <c r="B38" s="10">
        <v>195.35</v>
      </c>
      <c r="C38" s="26">
        <v>39183</v>
      </c>
      <c r="N38" s="23">
        <v>44980</v>
      </c>
      <c r="O38" s="16">
        <v>5253090</v>
      </c>
      <c r="P38" s="26">
        <v>39183</v>
      </c>
    </row>
    <row r="39" spans="1:18" ht="15.75" thickBot="1" x14ac:dyDescent="0.3">
      <c r="A39" s="23">
        <v>44981</v>
      </c>
      <c r="B39" s="10">
        <v>195.74</v>
      </c>
      <c r="C39" s="26">
        <v>39006</v>
      </c>
      <c r="N39" s="23">
        <v>44981</v>
      </c>
      <c r="O39" s="16">
        <v>5180430</v>
      </c>
      <c r="P39" s="26">
        <v>39006</v>
      </c>
    </row>
    <row r="40" spans="1:18" ht="15.75" thickBot="1" x14ac:dyDescent="0.3">
      <c r="A40" s="23">
        <v>44984</v>
      </c>
      <c r="B40" s="10">
        <v>196.81</v>
      </c>
      <c r="C40" s="26">
        <v>39045</v>
      </c>
      <c r="N40" s="23">
        <v>44984</v>
      </c>
      <c r="O40" s="16">
        <v>5126074</v>
      </c>
      <c r="P40" s="26">
        <v>39045</v>
      </c>
    </row>
    <row r="41" spans="1:18" ht="15.75" thickBot="1" x14ac:dyDescent="0.3">
      <c r="A41" s="23">
        <v>44985</v>
      </c>
      <c r="B41" s="10">
        <v>197.15</v>
      </c>
      <c r="C41" s="26">
        <v>38709</v>
      </c>
      <c r="N41" s="23">
        <v>44985</v>
      </c>
      <c r="O41" s="16">
        <v>5219956</v>
      </c>
      <c r="P41" s="26">
        <v>38709</v>
      </c>
    </row>
    <row r="42" spans="1:18" ht="15.75" thickBot="1" x14ac:dyDescent="0.3">
      <c r="A42" s="23">
        <v>44986</v>
      </c>
      <c r="B42" s="10">
        <v>197.56</v>
      </c>
      <c r="C42" s="26">
        <v>38722</v>
      </c>
      <c r="N42" s="23">
        <v>44986</v>
      </c>
      <c r="O42" s="16">
        <v>5167327</v>
      </c>
      <c r="P42" s="26">
        <v>38722</v>
      </c>
      <c r="R42">
        <v>1000000</v>
      </c>
    </row>
    <row r="43" spans="1:18" ht="15.75" thickBot="1" x14ac:dyDescent="0.3">
      <c r="A43" s="23">
        <v>44987</v>
      </c>
      <c r="B43" s="10">
        <v>197.89</v>
      </c>
      <c r="C43" s="26">
        <v>38584</v>
      </c>
      <c r="N43" s="23">
        <v>44987</v>
      </c>
      <c r="O43" s="16">
        <v>5151063</v>
      </c>
      <c r="P43" s="26">
        <v>38584</v>
      </c>
    </row>
    <row r="44" spans="1:18" ht="15.75" thickBot="1" x14ac:dyDescent="0.3">
      <c r="A44" s="23">
        <v>44988</v>
      </c>
      <c r="B44" s="10">
        <v>198.26</v>
      </c>
      <c r="C44" s="26">
        <v>38598</v>
      </c>
      <c r="N44" s="23">
        <v>44988</v>
      </c>
      <c r="O44" s="16">
        <v>5168951</v>
      </c>
      <c r="P44" s="26">
        <v>38598</v>
      </c>
    </row>
    <row r="45" spans="1:18" ht="15.75" thickBot="1" x14ac:dyDescent="0.3">
      <c r="A45" s="23">
        <v>44991</v>
      </c>
      <c r="B45" s="10">
        <v>199.35</v>
      </c>
      <c r="C45" s="26">
        <v>38517</v>
      </c>
      <c r="N45" s="23">
        <v>44991</v>
      </c>
      <c r="O45" s="16">
        <v>5136551</v>
      </c>
      <c r="P45" s="26">
        <v>38517</v>
      </c>
    </row>
    <row r="46" spans="1:18" ht="15.75" thickBot="1" x14ac:dyDescent="0.3">
      <c r="A46" s="23">
        <v>44992</v>
      </c>
      <c r="B46" s="10">
        <v>199.67</v>
      </c>
      <c r="C46" s="26">
        <v>38323</v>
      </c>
      <c r="N46" s="23">
        <v>44992</v>
      </c>
      <c r="O46" s="16">
        <v>5172826</v>
      </c>
      <c r="P46" s="26">
        <v>38323</v>
      </c>
    </row>
    <row r="47" spans="1:18" ht="15.75" thickBot="1" x14ac:dyDescent="0.3">
      <c r="A47" s="23">
        <v>44993</v>
      </c>
      <c r="B47" s="10">
        <v>200.03</v>
      </c>
      <c r="C47" s="26">
        <v>38272</v>
      </c>
      <c r="N47" s="23">
        <v>44993</v>
      </c>
      <c r="O47" s="16">
        <v>5176588</v>
      </c>
      <c r="P47" s="26">
        <v>38272</v>
      </c>
    </row>
    <row r="48" spans="1:18" ht="15.75" thickBot="1" x14ac:dyDescent="0.3">
      <c r="A48" s="23">
        <v>44994</v>
      </c>
      <c r="B48" s="10">
        <v>200.36</v>
      </c>
      <c r="C48" s="26">
        <v>38180</v>
      </c>
      <c r="N48" s="23">
        <v>44994</v>
      </c>
      <c r="O48" s="16">
        <v>5206060</v>
      </c>
      <c r="P48" s="26">
        <v>38180</v>
      </c>
    </row>
    <row r="49" spans="1:16" ht="15.75" thickBot="1" x14ac:dyDescent="0.3">
      <c r="A49" s="23">
        <v>44995</v>
      </c>
      <c r="B49" s="10">
        <v>200.72</v>
      </c>
      <c r="C49" s="26">
        <v>38208</v>
      </c>
      <c r="N49" s="23">
        <v>44995</v>
      </c>
      <c r="O49" s="16">
        <v>5188813</v>
      </c>
      <c r="P49" s="26">
        <v>38208</v>
      </c>
    </row>
    <row r="50" spans="1:16" ht="15.75" thickBot="1" x14ac:dyDescent="0.3">
      <c r="A50" s="23">
        <v>44998</v>
      </c>
      <c r="B50" s="10">
        <v>201.8</v>
      </c>
      <c r="C50" s="26">
        <v>38331</v>
      </c>
      <c r="N50" s="23">
        <v>44998</v>
      </c>
      <c r="O50" s="16">
        <v>5161122</v>
      </c>
      <c r="P50" s="26">
        <v>38331</v>
      </c>
    </row>
    <row r="51" spans="1:16" ht="15.75" thickBot="1" x14ac:dyDescent="0.3">
      <c r="A51" s="23">
        <v>44999</v>
      </c>
      <c r="B51" s="10">
        <v>202.15</v>
      </c>
      <c r="C51" s="26">
        <v>38142</v>
      </c>
      <c r="N51" s="23">
        <v>44999</v>
      </c>
      <c r="O51" s="16">
        <v>5289357</v>
      </c>
      <c r="P51" s="26">
        <v>38142</v>
      </c>
    </row>
    <row r="52" spans="1:16" ht="15.75" thickBot="1" x14ac:dyDescent="0.3">
      <c r="A52" s="23">
        <v>45000</v>
      </c>
      <c r="B52" s="10">
        <v>202.52</v>
      </c>
      <c r="C52" s="26">
        <v>37783</v>
      </c>
      <c r="N52" s="23">
        <v>45000</v>
      </c>
      <c r="O52" s="16">
        <v>5225696</v>
      </c>
      <c r="P52" s="26">
        <v>37783</v>
      </c>
    </row>
    <row r="53" spans="1:16" ht="15.75" thickBot="1" x14ac:dyDescent="0.3">
      <c r="A53" s="23">
        <v>45001</v>
      </c>
      <c r="B53" s="10">
        <v>202.96</v>
      </c>
      <c r="C53" s="26">
        <v>37712</v>
      </c>
      <c r="N53" s="23">
        <v>45001</v>
      </c>
      <c r="O53" s="16">
        <v>5205042</v>
      </c>
      <c r="P53" s="26">
        <v>37712</v>
      </c>
    </row>
    <row r="54" spans="1:16" ht="15.75" thickBot="1" x14ac:dyDescent="0.3">
      <c r="A54" s="23">
        <v>45002</v>
      </c>
      <c r="B54" s="10">
        <v>203.34</v>
      </c>
      <c r="C54" s="26">
        <v>37672</v>
      </c>
      <c r="N54" s="23">
        <v>45002</v>
      </c>
      <c r="O54" s="16">
        <v>5147370</v>
      </c>
      <c r="P54" s="26">
        <v>37672</v>
      </c>
    </row>
    <row r="55" spans="1:16" ht="15.75" thickBot="1" x14ac:dyDescent="0.3">
      <c r="A55" s="23">
        <v>45005</v>
      </c>
      <c r="B55" s="10">
        <v>204.5</v>
      </c>
      <c r="C55" s="26">
        <v>38008</v>
      </c>
      <c r="N55" s="23">
        <v>45005</v>
      </c>
      <c r="O55" s="16">
        <v>5075939</v>
      </c>
      <c r="P55" s="26">
        <v>38008</v>
      </c>
    </row>
    <row r="56" spans="1:16" ht="15.75" thickBot="1" x14ac:dyDescent="0.3">
      <c r="A56" s="23">
        <v>45006</v>
      </c>
      <c r="B56" s="10">
        <v>204.96</v>
      </c>
      <c r="C56" s="26">
        <v>37837</v>
      </c>
      <c r="N56" s="23">
        <v>45006</v>
      </c>
      <c r="O56" s="16">
        <v>5078337</v>
      </c>
      <c r="P56" s="26">
        <v>37837</v>
      </c>
    </row>
    <row r="57" spans="1:16" ht="15.75" thickBot="1" x14ac:dyDescent="0.3">
      <c r="A57" s="23">
        <v>45007</v>
      </c>
      <c r="B57" s="10">
        <v>205.4</v>
      </c>
      <c r="C57" s="26">
        <v>37596</v>
      </c>
      <c r="N57" s="23">
        <v>45007</v>
      </c>
      <c r="O57" s="16">
        <v>5093378</v>
      </c>
      <c r="P57" s="26">
        <v>37596</v>
      </c>
    </row>
    <row r="58" spans="1:16" ht="15.75" thickBot="1" x14ac:dyDescent="0.3">
      <c r="A58" s="23">
        <v>45008</v>
      </c>
      <c r="B58" s="10">
        <v>205.79</v>
      </c>
      <c r="C58" s="26">
        <v>37606</v>
      </c>
      <c r="N58" s="23">
        <v>45008</v>
      </c>
      <c r="O58" s="16">
        <v>5107022</v>
      </c>
      <c r="P58" s="26">
        <v>37606</v>
      </c>
    </row>
    <row r="59" spans="1:16" ht="15.75" thickBot="1" x14ac:dyDescent="0.3">
      <c r="A59" s="23">
        <v>45012</v>
      </c>
      <c r="B59" s="10">
        <v>207.4</v>
      </c>
      <c r="C59" s="26">
        <v>37161</v>
      </c>
      <c r="N59" s="23">
        <v>45012</v>
      </c>
      <c r="O59" s="16">
        <v>5108708</v>
      </c>
      <c r="P59" s="26">
        <v>37161</v>
      </c>
    </row>
    <row r="60" spans="1:16" ht="15.75" thickBot="1" x14ac:dyDescent="0.3">
      <c r="A60" s="23">
        <v>45013</v>
      </c>
      <c r="B60" s="10">
        <v>207.84</v>
      </c>
      <c r="C60" s="26">
        <v>37076</v>
      </c>
      <c r="N60" s="23">
        <v>45013</v>
      </c>
      <c r="O60" s="16">
        <v>5133565</v>
      </c>
      <c r="P60" s="26">
        <v>37076</v>
      </c>
    </row>
    <row r="61" spans="1:16" ht="15.75" thickBot="1" x14ac:dyDescent="0.3">
      <c r="A61" s="23">
        <v>45014</v>
      </c>
      <c r="B61" s="10">
        <v>208.25</v>
      </c>
      <c r="C61" s="26">
        <v>36851</v>
      </c>
      <c r="N61" s="23">
        <v>45014</v>
      </c>
      <c r="O61" s="16">
        <v>5090128</v>
      </c>
      <c r="P61" s="26">
        <v>36851</v>
      </c>
    </row>
    <row r="62" spans="1:16" ht="15.75" thickBot="1" x14ac:dyDescent="0.3">
      <c r="A62" s="23">
        <v>45015</v>
      </c>
      <c r="B62" s="10">
        <v>208.6</v>
      </c>
      <c r="C62" s="26">
        <v>36509</v>
      </c>
      <c r="N62" s="23">
        <v>45015</v>
      </c>
      <c r="O62" s="16">
        <v>5214253</v>
      </c>
      <c r="P62" s="26">
        <v>36509</v>
      </c>
    </row>
    <row r="63" spans="1:16" ht="15.75" thickBot="1" x14ac:dyDescent="0.3">
      <c r="A63" s="23">
        <v>45016</v>
      </c>
      <c r="B63" s="10">
        <v>208.99</v>
      </c>
      <c r="C63" s="26">
        <v>39060</v>
      </c>
      <c r="N63" s="23">
        <v>45016</v>
      </c>
      <c r="O63" s="16">
        <v>5369482</v>
      </c>
      <c r="P63" s="26">
        <v>39060</v>
      </c>
    </row>
    <row r="64" spans="1:16" ht="15.75" thickBot="1" x14ac:dyDescent="0.3">
      <c r="A64" s="23">
        <v>45019</v>
      </c>
      <c r="B64" s="10">
        <v>210.33</v>
      </c>
      <c r="C64" s="26">
        <v>38809</v>
      </c>
      <c r="N64" s="23">
        <v>45019</v>
      </c>
      <c r="O64" s="16">
        <v>5287595</v>
      </c>
      <c r="P64" s="26">
        <v>38809</v>
      </c>
    </row>
    <row r="65" spans="1:16" ht="15.75" thickBot="1" x14ac:dyDescent="0.3">
      <c r="A65" s="23">
        <v>45020</v>
      </c>
      <c r="B65" s="10">
        <v>210.8</v>
      </c>
      <c r="C65" s="26">
        <v>38777</v>
      </c>
      <c r="N65" s="23">
        <v>45020</v>
      </c>
      <c r="O65" s="16">
        <v>5269464</v>
      </c>
      <c r="P65" s="26">
        <v>38777</v>
      </c>
    </row>
    <row r="66" spans="1:16" ht="15.75" thickBot="1" x14ac:dyDescent="0.3">
      <c r="A66" s="23">
        <v>45021</v>
      </c>
      <c r="B66" s="10">
        <v>211.24</v>
      </c>
      <c r="C66" s="26">
        <v>38662</v>
      </c>
      <c r="N66" s="23">
        <v>45021</v>
      </c>
      <c r="O66" s="16">
        <v>5435884</v>
      </c>
      <c r="P66" s="26">
        <v>38662</v>
      </c>
    </row>
    <row r="67" spans="1:16" ht="15.75" thickBot="1" x14ac:dyDescent="0.3">
      <c r="A67" s="23">
        <v>45026</v>
      </c>
      <c r="B67" s="10">
        <v>213.33</v>
      </c>
      <c r="C67" s="26">
        <v>37210</v>
      </c>
      <c r="N67" s="23">
        <v>45026</v>
      </c>
      <c r="O67" s="16">
        <v>5324060</v>
      </c>
      <c r="P67" s="26">
        <v>37210</v>
      </c>
    </row>
    <row r="68" spans="1:16" ht="15.75" thickBot="1" x14ac:dyDescent="0.3">
      <c r="A68" s="23">
        <v>45027</v>
      </c>
      <c r="B68" s="10">
        <v>213.8</v>
      </c>
      <c r="C68" s="26">
        <v>37218</v>
      </c>
      <c r="N68" s="23">
        <v>45027</v>
      </c>
      <c r="O68" s="16">
        <v>5286442</v>
      </c>
      <c r="P68" s="26">
        <v>37218</v>
      </c>
    </row>
    <row r="69" spans="1:16" ht="15.75" thickBot="1" x14ac:dyDescent="0.3">
      <c r="A69" s="23">
        <v>45028</v>
      </c>
      <c r="B69" s="10">
        <v>214.25</v>
      </c>
      <c r="C69" s="26">
        <v>37224</v>
      </c>
      <c r="N69" s="23">
        <v>45028</v>
      </c>
      <c r="O69" s="16">
        <v>5194005</v>
      </c>
      <c r="P69" s="26">
        <v>37224</v>
      </c>
    </row>
    <row r="70" spans="1:16" ht="15.75" thickBot="1" x14ac:dyDescent="0.3">
      <c r="A70" s="23">
        <v>45029</v>
      </c>
      <c r="B70" s="10">
        <v>214.67</v>
      </c>
      <c r="C70" s="26">
        <v>37538</v>
      </c>
      <c r="N70" s="23">
        <v>45029</v>
      </c>
      <c r="O70" s="16">
        <v>5187098</v>
      </c>
      <c r="P70" s="26">
        <v>37538</v>
      </c>
    </row>
    <row r="71" spans="1:16" ht="15.75" thickBot="1" x14ac:dyDescent="0.3">
      <c r="A71" s="23">
        <v>45030</v>
      </c>
      <c r="B71" s="10">
        <v>215.1</v>
      </c>
      <c r="C71" s="26">
        <v>36901</v>
      </c>
      <c r="N71" s="23">
        <v>45030</v>
      </c>
      <c r="O71" s="16">
        <v>5147953</v>
      </c>
      <c r="P71" s="26">
        <v>36901</v>
      </c>
    </row>
    <row r="72" spans="1:16" ht="15.75" thickBot="1" x14ac:dyDescent="0.3">
      <c r="A72" s="23">
        <v>45033</v>
      </c>
      <c r="B72" s="10">
        <v>216.36</v>
      </c>
      <c r="C72" s="26">
        <v>36731</v>
      </c>
      <c r="N72" s="23">
        <v>45033</v>
      </c>
      <c r="O72" s="16">
        <v>5172423</v>
      </c>
      <c r="P72" s="26">
        <v>36731</v>
      </c>
    </row>
    <row r="73" spans="1:16" ht="15.75" thickBot="1" x14ac:dyDescent="0.3">
      <c r="A73" s="23">
        <v>45034</v>
      </c>
      <c r="B73" s="10">
        <v>216.89</v>
      </c>
      <c r="C73" s="26">
        <v>36638</v>
      </c>
      <c r="N73" s="23">
        <v>45034</v>
      </c>
      <c r="O73" s="16">
        <v>5112787</v>
      </c>
      <c r="P73" s="26">
        <v>36638</v>
      </c>
    </row>
    <row r="74" spans="1:16" ht="15.75" thickBot="1" x14ac:dyDescent="0.3">
      <c r="A74" s="23">
        <v>45035</v>
      </c>
      <c r="B74" s="10">
        <v>217.47</v>
      </c>
      <c r="C74" s="26">
        <v>36365</v>
      </c>
      <c r="N74" s="23">
        <v>45035</v>
      </c>
      <c r="O74" s="16">
        <v>5094913</v>
      </c>
      <c r="P74" s="26">
        <v>36365</v>
      </c>
    </row>
    <row r="75" spans="1:16" ht="15.75" thickBot="1" x14ac:dyDescent="0.3">
      <c r="A75" s="23">
        <v>45036</v>
      </c>
      <c r="B75" s="10">
        <v>218.03</v>
      </c>
      <c r="C75" s="26">
        <v>36413</v>
      </c>
      <c r="N75" s="23">
        <v>45036</v>
      </c>
      <c r="O75" s="16">
        <v>5078406</v>
      </c>
      <c r="P75" s="26">
        <v>36413</v>
      </c>
    </row>
    <row r="76" spans="1:16" ht="15.75" thickBot="1" x14ac:dyDescent="0.3">
      <c r="A76" s="23">
        <v>45037</v>
      </c>
      <c r="B76" s="10">
        <v>218.51</v>
      </c>
      <c r="C76" s="26">
        <v>36503</v>
      </c>
      <c r="N76" s="23">
        <v>45037</v>
      </c>
      <c r="O76" s="16">
        <v>5117651</v>
      </c>
      <c r="P76" s="26">
        <v>36503</v>
      </c>
    </row>
    <row r="77" spans="1:16" ht="15.75" thickBot="1" x14ac:dyDescent="0.3">
      <c r="A77" s="23">
        <v>45040</v>
      </c>
      <c r="B77" s="10">
        <v>220.24</v>
      </c>
      <c r="C77" s="26">
        <v>36569</v>
      </c>
      <c r="N77" s="23">
        <v>45040</v>
      </c>
      <c r="O77" s="16">
        <v>5100610</v>
      </c>
      <c r="P77" s="26">
        <v>36569</v>
      </c>
    </row>
    <row r="78" spans="1:16" ht="15.75" thickBot="1" x14ac:dyDescent="0.3">
      <c r="A78" s="23">
        <v>45041</v>
      </c>
      <c r="B78" s="10">
        <v>220.87</v>
      </c>
      <c r="C78" s="26">
        <v>36478</v>
      </c>
      <c r="N78" s="23">
        <v>45041</v>
      </c>
      <c r="O78" s="16">
        <v>5109964</v>
      </c>
      <c r="P78" s="26">
        <v>36478</v>
      </c>
    </row>
    <row r="79" spans="1:16" ht="15.75" thickBot="1" x14ac:dyDescent="0.3">
      <c r="A79" s="23">
        <v>45042</v>
      </c>
      <c r="B79" s="10">
        <v>221.55</v>
      </c>
      <c r="C79" s="26">
        <v>36354</v>
      </c>
      <c r="N79" s="23">
        <v>45042</v>
      </c>
      <c r="O79" s="16">
        <v>5128720</v>
      </c>
      <c r="P79" s="26">
        <v>36354</v>
      </c>
    </row>
    <row r="80" spans="1:16" ht="15.75" thickBot="1" x14ac:dyDescent="0.3">
      <c r="A80" s="23">
        <v>45043</v>
      </c>
      <c r="B80" s="10">
        <v>222.02</v>
      </c>
      <c r="C80" s="26">
        <v>36104</v>
      </c>
      <c r="N80" s="23">
        <v>45043</v>
      </c>
      <c r="O80" s="16">
        <v>5199038</v>
      </c>
      <c r="P80" s="26">
        <v>36104</v>
      </c>
    </row>
    <row r="81" spans="1:16" ht="15.75" thickBot="1" x14ac:dyDescent="0.3">
      <c r="A81" s="23">
        <v>45044</v>
      </c>
      <c r="B81" s="10">
        <v>222.58</v>
      </c>
      <c r="C81" s="26">
        <v>35001</v>
      </c>
      <c r="N81" s="23">
        <v>45044</v>
      </c>
      <c r="O81" s="16">
        <v>5366598</v>
      </c>
      <c r="P81" s="26">
        <v>35001</v>
      </c>
    </row>
    <row r="82" spans="1:16" ht="15.75" thickBot="1" x14ac:dyDescent="0.3">
      <c r="A82" s="23">
        <v>45048</v>
      </c>
      <c r="B82" s="10">
        <v>224.63</v>
      </c>
      <c r="C82" s="26">
        <v>35080</v>
      </c>
      <c r="N82" s="23">
        <v>45048</v>
      </c>
      <c r="O82" s="16">
        <v>5416665</v>
      </c>
      <c r="P82" s="26">
        <v>35080</v>
      </c>
    </row>
    <row r="83" spans="1:16" ht="15.75" thickBot="1" x14ac:dyDescent="0.3">
      <c r="A83" s="23">
        <v>45049</v>
      </c>
      <c r="B83" s="10">
        <v>225.09</v>
      </c>
      <c r="C83" s="26">
        <v>34891</v>
      </c>
      <c r="N83" s="23">
        <v>45049</v>
      </c>
      <c r="O83" s="16">
        <v>5430562</v>
      </c>
      <c r="P83" s="26">
        <v>34891</v>
      </c>
    </row>
    <row r="84" spans="1:16" ht="15.75" thickBot="1" x14ac:dyDescent="0.3">
      <c r="A84" s="23">
        <v>45050</v>
      </c>
      <c r="B84" s="10">
        <v>225.66</v>
      </c>
      <c r="C84" s="26">
        <v>34130</v>
      </c>
      <c r="N84" s="23">
        <v>45050</v>
      </c>
      <c r="O84" s="16">
        <v>5478224</v>
      </c>
      <c r="P84" s="26">
        <v>34130</v>
      </c>
    </row>
    <row r="85" spans="1:16" ht="15.75" thickBot="1" x14ac:dyDescent="0.3">
      <c r="A85" s="23">
        <v>45051</v>
      </c>
      <c r="B85" s="10">
        <v>226.19</v>
      </c>
      <c r="C85" s="26">
        <v>34008</v>
      </c>
      <c r="N85" s="23">
        <v>45051</v>
      </c>
      <c r="O85" s="16">
        <v>5476394</v>
      </c>
      <c r="P85" s="26">
        <v>34008</v>
      </c>
    </row>
    <row r="86" spans="1:16" ht="15.75" thickBot="1" x14ac:dyDescent="0.3">
      <c r="A86" s="23">
        <v>45054</v>
      </c>
      <c r="B86" s="10">
        <v>227.58</v>
      </c>
      <c r="C86" s="26">
        <v>33944</v>
      </c>
      <c r="N86" s="23">
        <v>45054</v>
      </c>
      <c r="O86" s="16">
        <v>5440958</v>
      </c>
      <c r="P86" s="26">
        <v>33944</v>
      </c>
    </row>
    <row r="87" spans="1:16" ht="15.75" thickBot="1" x14ac:dyDescent="0.3">
      <c r="A87" s="23">
        <v>45055</v>
      </c>
      <c r="B87" s="10">
        <v>228.06</v>
      </c>
      <c r="C87" s="26">
        <v>33850</v>
      </c>
      <c r="N87" s="23">
        <v>45055</v>
      </c>
      <c r="O87" s="16">
        <v>5472937</v>
      </c>
      <c r="P87" s="26">
        <v>33850</v>
      </c>
    </row>
    <row r="88" spans="1:16" ht="15.75" thickBot="1" x14ac:dyDescent="0.3">
      <c r="A88" s="23">
        <v>45056</v>
      </c>
      <c r="B88" s="10">
        <v>228.51</v>
      </c>
      <c r="C88" s="26">
        <v>33723</v>
      </c>
      <c r="N88" s="23">
        <v>45056</v>
      </c>
      <c r="O88" s="16">
        <v>5421014</v>
      </c>
      <c r="P88" s="26">
        <v>33723</v>
      </c>
    </row>
    <row r="89" spans="1:16" ht="15.75" thickBot="1" x14ac:dyDescent="0.3">
      <c r="A89" s="23">
        <v>45057</v>
      </c>
      <c r="B89" s="10">
        <v>228.99</v>
      </c>
      <c r="C89" s="26">
        <v>33631</v>
      </c>
      <c r="N89" s="23">
        <v>45057</v>
      </c>
      <c r="O89" s="16">
        <v>5412781</v>
      </c>
      <c r="P89" s="26">
        <v>33631</v>
      </c>
    </row>
    <row r="90" spans="1:16" ht="15.75" thickBot="1" x14ac:dyDescent="0.3">
      <c r="A90" s="23">
        <v>45058</v>
      </c>
      <c r="B90" s="10">
        <v>229.33</v>
      </c>
      <c r="C90" s="26">
        <v>33588</v>
      </c>
      <c r="N90" s="23">
        <v>45058</v>
      </c>
      <c r="O90" s="16">
        <v>5333389</v>
      </c>
      <c r="P90" s="26">
        <v>33588</v>
      </c>
    </row>
    <row r="91" spans="1:16" ht="15.75" thickBot="1" x14ac:dyDescent="0.3">
      <c r="A91" s="23">
        <v>45061</v>
      </c>
      <c r="B91" s="10">
        <v>230.64</v>
      </c>
      <c r="C91" s="26">
        <v>33481</v>
      </c>
      <c r="N91" s="23">
        <v>45061</v>
      </c>
      <c r="O91" s="16">
        <v>5273469</v>
      </c>
      <c r="P91" s="26">
        <v>33481</v>
      </c>
    </row>
    <row r="92" spans="1:16" ht="15.75" thickBot="1" x14ac:dyDescent="0.3">
      <c r="A92" s="23">
        <v>45062</v>
      </c>
      <c r="B92" s="10">
        <v>231.18</v>
      </c>
      <c r="C92" s="26">
        <v>33350</v>
      </c>
      <c r="N92" s="23">
        <v>45062</v>
      </c>
      <c r="O92" s="16">
        <v>5263952</v>
      </c>
      <c r="P92" s="26">
        <v>33350</v>
      </c>
    </row>
    <row r="93" spans="1:16" ht="15.75" thickBot="1" x14ac:dyDescent="0.3">
      <c r="A93" s="23">
        <v>45063</v>
      </c>
      <c r="B93" s="10">
        <v>231.65</v>
      </c>
      <c r="C93" s="26">
        <v>33298</v>
      </c>
      <c r="N93" s="23">
        <v>45063</v>
      </c>
      <c r="O93" s="16">
        <v>5234152</v>
      </c>
      <c r="P93" s="26">
        <v>33298</v>
      </c>
    </row>
    <row r="94" spans="1:16" ht="15.75" thickBot="1" x14ac:dyDescent="0.3">
      <c r="A94" s="23">
        <v>45064</v>
      </c>
      <c r="B94" s="10">
        <v>232.24</v>
      </c>
      <c r="C94" s="26">
        <v>33132</v>
      </c>
      <c r="N94" s="23">
        <v>45064</v>
      </c>
      <c r="O94" s="16">
        <v>5285106</v>
      </c>
      <c r="P94" s="26">
        <v>33132</v>
      </c>
    </row>
    <row r="95" spans="1:16" ht="15.75" thickBot="1" x14ac:dyDescent="0.3">
      <c r="A95" s="23">
        <v>45065</v>
      </c>
      <c r="B95" s="10">
        <v>232.74</v>
      </c>
      <c r="C95" s="26">
        <v>33159</v>
      </c>
      <c r="N95" s="23">
        <v>45065</v>
      </c>
      <c r="O95" s="16">
        <v>5292371</v>
      </c>
      <c r="P95" s="26">
        <v>33159</v>
      </c>
    </row>
    <row r="96" spans="1:16" ht="15.75" thickBot="1" x14ac:dyDescent="0.3">
      <c r="A96" s="23">
        <v>45068</v>
      </c>
      <c r="B96" s="10">
        <v>234.41</v>
      </c>
      <c r="C96" s="26">
        <v>33062</v>
      </c>
      <c r="N96" s="23">
        <v>45068</v>
      </c>
      <c r="O96" s="16">
        <v>5330932</v>
      </c>
      <c r="P96" s="26">
        <v>33062</v>
      </c>
    </row>
    <row r="97" spans="1:16" ht="15.75" thickBot="1" x14ac:dyDescent="0.3">
      <c r="A97" s="23">
        <v>45069</v>
      </c>
      <c r="B97" s="10">
        <v>234.92</v>
      </c>
      <c r="C97" s="26">
        <v>32910</v>
      </c>
      <c r="N97" s="23">
        <v>45069</v>
      </c>
      <c r="O97" s="16">
        <v>5361625</v>
      </c>
      <c r="P97" s="26">
        <v>32910</v>
      </c>
    </row>
    <row r="98" spans="1:16" ht="15.75" thickBot="1" x14ac:dyDescent="0.3">
      <c r="A98" s="23">
        <v>45070</v>
      </c>
      <c r="B98" s="10">
        <v>235.63</v>
      </c>
      <c r="C98" s="26">
        <v>32966</v>
      </c>
      <c r="N98" s="23">
        <v>45070</v>
      </c>
      <c r="O98" s="16">
        <v>5430191</v>
      </c>
      <c r="P98" s="26">
        <v>32966</v>
      </c>
    </row>
    <row r="99" spans="1:16" ht="15.75" thickBot="1" x14ac:dyDescent="0.3">
      <c r="A99" s="23">
        <v>45075</v>
      </c>
      <c r="B99" s="10">
        <v>238.26</v>
      </c>
      <c r="C99" s="26">
        <v>32883</v>
      </c>
      <c r="N99" s="23">
        <v>45075</v>
      </c>
      <c r="O99" s="16">
        <v>5443888</v>
      </c>
      <c r="P99" s="26">
        <v>32883</v>
      </c>
    </row>
    <row r="100" spans="1:16" ht="15.75" thickBot="1" x14ac:dyDescent="0.3">
      <c r="A100" s="23">
        <v>45076</v>
      </c>
      <c r="B100" s="10">
        <v>238.79</v>
      </c>
      <c r="C100" s="26">
        <v>32813</v>
      </c>
      <c r="N100" s="23">
        <v>45076</v>
      </c>
      <c r="O100" s="16">
        <v>5509915</v>
      </c>
      <c r="P100" s="26">
        <v>32813</v>
      </c>
    </row>
    <row r="101" spans="1:16" ht="15.75" thickBot="1" x14ac:dyDescent="0.3">
      <c r="A101" s="23">
        <v>45077</v>
      </c>
      <c r="B101" s="10">
        <v>239.33</v>
      </c>
      <c r="C101" s="26">
        <v>33001</v>
      </c>
      <c r="N101" s="23">
        <v>45077</v>
      </c>
      <c r="O101" s="16">
        <v>5576415</v>
      </c>
      <c r="P101" s="26">
        <v>33001</v>
      </c>
    </row>
    <row r="102" spans="1:16" ht="15.75" thickBot="1" x14ac:dyDescent="0.3">
      <c r="A102" s="23">
        <v>45078</v>
      </c>
      <c r="B102" s="10">
        <v>240.07</v>
      </c>
      <c r="C102" s="26">
        <v>33067</v>
      </c>
      <c r="N102" s="23">
        <v>45078</v>
      </c>
      <c r="O102" s="16">
        <v>5573308</v>
      </c>
      <c r="P102" s="26">
        <v>33067</v>
      </c>
    </row>
    <row r="103" spans="1:16" ht="15.75" thickBot="1" x14ac:dyDescent="0.3">
      <c r="A103" s="23">
        <v>45079</v>
      </c>
      <c r="B103" s="10">
        <v>240.74</v>
      </c>
      <c r="C103" s="26">
        <v>32998</v>
      </c>
      <c r="N103" s="23">
        <v>45079</v>
      </c>
      <c r="O103" s="16">
        <v>5571820</v>
      </c>
      <c r="P103" s="26">
        <v>32998</v>
      </c>
    </row>
    <row r="104" spans="1:16" ht="15.75" thickBot="1" x14ac:dyDescent="0.3">
      <c r="A104" s="23">
        <v>45082</v>
      </c>
      <c r="B104" s="10">
        <v>242.55</v>
      </c>
      <c r="C104" s="26">
        <v>33011</v>
      </c>
      <c r="N104" s="23">
        <v>45082</v>
      </c>
      <c r="O104" s="16">
        <v>5427133</v>
      </c>
      <c r="P104" s="26">
        <v>33011</v>
      </c>
    </row>
    <row r="105" spans="1:16" ht="15.75" thickBot="1" x14ac:dyDescent="0.3">
      <c r="A105" s="23">
        <v>45083</v>
      </c>
      <c r="B105" s="10">
        <v>243.18</v>
      </c>
      <c r="C105" s="26">
        <v>32871</v>
      </c>
      <c r="N105" s="23">
        <v>45083</v>
      </c>
      <c r="O105" s="16">
        <v>5457906</v>
      </c>
      <c r="P105" s="26">
        <v>32871</v>
      </c>
    </row>
    <row r="106" spans="1:16" ht="15.75" thickBot="1" x14ac:dyDescent="0.3">
      <c r="A106" s="23">
        <v>45084</v>
      </c>
      <c r="B106" s="10">
        <v>243.81</v>
      </c>
      <c r="C106" s="26">
        <v>32725</v>
      </c>
      <c r="N106" s="23">
        <v>45084</v>
      </c>
      <c r="O106" s="16">
        <v>5477219</v>
      </c>
      <c r="P106" s="26">
        <v>32725</v>
      </c>
    </row>
    <row r="107" spans="1:16" ht="15.75" thickBot="1" x14ac:dyDescent="0.3">
      <c r="A107" s="23">
        <v>45085</v>
      </c>
      <c r="B107" s="10">
        <v>244.33</v>
      </c>
      <c r="C107" s="26">
        <v>32680</v>
      </c>
      <c r="N107" s="23">
        <v>45085</v>
      </c>
      <c r="O107" s="16">
        <v>5507425</v>
      </c>
      <c r="P107" s="26">
        <v>32680</v>
      </c>
    </row>
    <row r="108" spans="1:16" ht="15.75" thickBot="1" x14ac:dyDescent="0.3">
      <c r="A108" s="23">
        <v>45086</v>
      </c>
      <c r="B108" s="10">
        <v>244.97</v>
      </c>
      <c r="C108" s="26">
        <v>32488</v>
      </c>
      <c r="N108" s="23">
        <v>45086</v>
      </c>
      <c r="O108" s="16">
        <v>5571029</v>
      </c>
      <c r="P108" s="26">
        <v>32488</v>
      </c>
    </row>
    <row r="109" spans="1:16" ht="15.75" thickBot="1" x14ac:dyDescent="0.3">
      <c r="A109" s="23">
        <v>45089</v>
      </c>
      <c r="B109" s="10">
        <v>246.78</v>
      </c>
      <c r="C109" s="26">
        <v>32363</v>
      </c>
      <c r="N109" s="23">
        <v>45089</v>
      </c>
      <c r="O109" s="16">
        <v>5639626</v>
      </c>
      <c r="P109" s="26">
        <v>32363</v>
      </c>
    </row>
    <row r="110" spans="1:16" ht="15.75" thickBot="1" x14ac:dyDescent="0.3">
      <c r="A110" s="23">
        <v>45090</v>
      </c>
      <c r="B110" s="10">
        <v>247.29</v>
      </c>
      <c r="C110" s="26">
        <v>32366</v>
      </c>
      <c r="N110" s="23">
        <v>45090</v>
      </c>
      <c r="O110" s="16">
        <v>5632147</v>
      </c>
      <c r="P110" s="26">
        <v>32366</v>
      </c>
    </row>
    <row r="111" spans="1:16" ht="15.75" thickBot="1" x14ac:dyDescent="0.3">
      <c r="A111" s="23">
        <v>45091</v>
      </c>
      <c r="B111" s="10">
        <v>247.8</v>
      </c>
      <c r="C111" s="26">
        <v>32336</v>
      </c>
      <c r="N111" s="23">
        <v>45091</v>
      </c>
      <c r="O111" s="16">
        <v>5584365</v>
      </c>
      <c r="P111" s="26">
        <v>32336</v>
      </c>
    </row>
    <row r="112" spans="1:16" ht="15.75" thickBot="1" x14ac:dyDescent="0.3">
      <c r="A112" s="23">
        <v>45092</v>
      </c>
      <c r="B112" s="10">
        <v>248.58</v>
      </c>
      <c r="C112" s="26">
        <v>32141</v>
      </c>
      <c r="N112" s="23">
        <v>45092</v>
      </c>
      <c r="O112" s="16">
        <v>5597978</v>
      </c>
      <c r="P112" s="26">
        <v>32141</v>
      </c>
    </row>
    <row r="113" spans="1:16" ht="15.75" thickBot="1" x14ac:dyDescent="0.3">
      <c r="A113" s="23">
        <v>45093</v>
      </c>
      <c r="B113" s="10">
        <v>249.16</v>
      </c>
      <c r="C113" s="26">
        <v>31852</v>
      </c>
      <c r="N113" s="23">
        <v>45093</v>
      </c>
      <c r="O113" s="16">
        <v>5612396</v>
      </c>
      <c r="P113" s="26">
        <v>31852</v>
      </c>
    </row>
    <row r="114" spans="1:16" ht="15.75" thickBot="1" x14ac:dyDescent="0.3">
      <c r="A114" s="23">
        <v>45098</v>
      </c>
      <c r="B114" s="10">
        <v>252.01</v>
      </c>
      <c r="C114" s="26">
        <v>31616</v>
      </c>
      <c r="N114" s="23">
        <v>45098</v>
      </c>
      <c r="O114" s="16">
        <v>5519320</v>
      </c>
      <c r="P114" s="26">
        <v>31616</v>
      </c>
    </row>
    <row r="115" spans="1:16" ht="15.75" thickBot="1" x14ac:dyDescent="0.3">
      <c r="A115" s="23">
        <v>45099</v>
      </c>
      <c r="B115" s="10">
        <v>252.51</v>
      </c>
      <c r="C115" s="26">
        <v>31455</v>
      </c>
      <c r="N115" s="23">
        <v>45099</v>
      </c>
      <c r="O115" s="16">
        <v>5600476</v>
      </c>
      <c r="P115" s="26">
        <v>31455</v>
      </c>
    </row>
    <row r="116" spans="1:16" ht="15.75" thickBot="1" x14ac:dyDescent="0.3">
      <c r="A116" s="23">
        <v>45100</v>
      </c>
      <c r="B116" s="10">
        <v>252.99</v>
      </c>
      <c r="C116" s="26">
        <v>31279</v>
      </c>
      <c r="N116" s="23">
        <v>45100</v>
      </c>
      <c r="O116" s="16">
        <v>5688312</v>
      </c>
      <c r="P116" s="26">
        <v>31279</v>
      </c>
    </row>
    <row r="117" spans="1:16" ht="15.75" thickBot="1" x14ac:dyDescent="0.3">
      <c r="A117" s="23">
        <v>45103</v>
      </c>
      <c r="B117" s="10">
        <v>254.54</v>
      </c>
      <c r="C117" s="26">
        <v>31154</v>
      </c>
      <c r="N117" s="23">
        <v>45103</v>
      </c>
      <c r="O117" s="16">
        <v>5611926</v>
      </c>
      <c r="P117" s="26">
        <v>31154</v>
      </c>
    </row>
    <row r="118" spans="1:16" ht="15.75" thickBot="1" x14ac:dyDescent="0.3">
      <c r="A118" s="23">
        <v>45104</v>
      </c>
      <c r="B118" s="10">
        <v>255.17</v>
      </c>
      <c r="C118" s="26">
        <v>31026</v>
      </c>
      <c r="N118" s="23">
        <v>45104</v>
      </c>
      <c r="O118" s="16">
        <v>5661657</v>
      </c>
      <c r="P118" s="26">
        <v>31026</v>
      </c>
    </row>
    <row r="119" spans="1:16" ht="15.75" thickBot="1" x14ac:dyDescent="0.3">
      <c r="A119" s="23">
        <v>45105</v>
      </c>
      <c r="B119" s="10">
        <v>255.84</v>
      </c>
      <c r="C119" s="26">
        <v>30859</v>
      </c>
      <c r="N119" s="23">
        <v>45105</v>
      </c>
      <c r="O119" s="16">
        <v>5657050</v>
      </c>
      <c r="P119" s="26">
        <v>30859</v>
      </c>
    </row>
    <row r="120" spans="1:16" ht="15.75" thickBot="1" x14ac:dyDescent="0.3">
      <c r="A120" s="23">
        <v>45106</v>
      </c>
      <c r="B120" s="10">
        <v>256.24</v>
      </c>
      <c r="C120" s="26">
        <v>30785</v>
      </c>
      <c r="N120" s="23">
        <v>45106</v>
      </c>
      <c r="O120" s="16">
        <v>5726544</v>
      </c>
      <c r="P120" s="26">
        <v>30785</v>
      </c>
    </row>
    <row r="121" spans="1:16" ht="15.75" thickBot="1" x14ac:dyDescent="0.3">
      <c r="A121" s="23">
        <v>45107</v>
      </c>
      <c r="B121" s="10">
        <v>256.68</v>
      </c>
      <c r="C121" s="26">
        <v>27926</v>
      </c>
      <c r="N121" s="23">
        <v>45107</v>
      </c>
      <c r="O121" s="16">
        <v>5885739</v>
      </c>
      <c r="P121" s="26">
        <v>27926</v>
      </c>
    </row>
    <row r="122" spans="1:16" ht="15.75" thickBot="1" x14ac:dyDescent="0.3">
      <c r="A122" s="23">
        <v>45110</v>
      </c>
      <c r="B122" s="10">
        <v>257.98</v>
      </c>
      <c r="C122" s="26">
        <v>27898</v>
      </c>
      <c r="N122" s="23">
        <v>45110</v>
      </c>
      <c r="O122" s="16">
        <v>5933586</v>
      </c>
      <c r="P122" s="26">
        <v>27898</v>
      </c>
    </row>
    <row r="123" spans="1:16" ht="15.75" thickBot="1" x14ac:dyDescent="0.3">
      <c r="A123" s="23">
        <v>45111</v>
      </c>
      <c r="B123" s="10">
        <v>259.14999999999998</v>
      </c>
      <c r="C123" s="26">
        <v>27721</v>
      </c>
      <c r="N123" s="23">
        <v>45111</v>
      </c>
      <c r="O123" s="16">
        <v>5871066</v>
      </c>
      <c r="P123" s="26">
        <v>27721</v>
      </c>
    </row>
    <row r="124" spans="1:16" ht="15.75" thickBot="1" x14ac:dyDescent="0.3">
      <c r="A124" s="23">
        <v>45112</v>
      </c>
      <c r="B124" s="10">
        <v>259.8</v>
      </c>
      <c r="C124" s="26">
        <v>27529</v>
      </c>
      <c r="N124" s="23">
        <v>45112</v>
      </c>
      <c r="O124" s="16">
        <v>5840060</v>
      </c>
      <c r="P124" s="26">
        <v>27529</v>
      </c>
    </row>
    <row r="125" spans="1:16" ht="15.75" thickBot="1" x14ac:dyDescent="0.3">
      <c r="A125" s="23">
        <v>45113</v>
      </c>
      <c r="B125" s="10">
        <v>260.33</v>
      </c>
      <c r="C125" s="26">
        <v>27436</v>
      </c>
      <c r="N125" s="23">
        <v>45113</v>
      </c>
      <c r="O125" s="16">
        <v>6543435</v>
      </c>
      <c r="P125" s="26">
        <v>27436</v>
      </c>
    </row>
    <row r="126" spans="1:16" ht="15.75" thickBot="1" x14ac:dyDescent="0.3">
      <c r="A126" s="23">
        <v>45114</v>
      </c>
      <c r="B126" s="10">
        <v>260.98</v>
      </c>
      <c r="C126" s="26">
        <v>26616</v>
      </c>
      <c r="N126" s="23">
        <v>45114</v>
      </c>
      <c r="O126" s="16">
        <v>6669913</v>
      </c>
      <c r="P126" s="26">
        <v>26616</v>
      </c>
    </row>
    <row r="127" spans="1:16" ht="15.75" thickBot="1" x14ac:dyDescent="0.3">
      <c r="A127" s="23">
        <v>45117</v>
      </c>
      <c r="B127" s="10">
        <v>262.64999999999998</v>
      </c>
      <c r="C127" s="26">
        <v>26550</v>
      </c>
      <c r="N127" s="23">
        <v>45117</v>
      </c>
      <c r="O127" s="16">
        <v>5944772</v>
      </c>
      <c r="P127" s="26">
        <v>26550</v>
      </c>
    </row>
    <row r="128" spans="1:16" ht="15.75" thickBot="1" x14ac:dyDescent="0.3">
      <c r="A128" s="23">
        <v>45118</v>
      </c>
      <c r="B128" s="10">
        <v>263.32</v>
      </c>
      <c r="C128" s="26">
        <v>26416</v>
      </c>
      <c r="N128" s="23">
        <v>45118</v>
      </c>
      <c r="O128" s="16">
        <v>6022067</v>
      </c>
      <c r="P128" s="26">
        <v>26416</v>
      </c>
    </row>
    <row r="129" spans="1:16" ht="15.75" thickBot="1" x14ac:dyDescent="0.3">
      <c r="A129" s="23">
        <v>45119</v>
      </c>
      <c r="B129" s="10">
        <v>263.93</v>
      </c>
      <c r="C129" s="26">
        <v>26335</v>
      </c>
      <c r="N129" s="23">
        <v>45119</v>
      </c>
      <c r="O129" s="16">
        <v>5953935</v>
      </c>
      <c r="P129" s="26">
        <v>26335</v>
      </c>
    </row>
    <row r="130" spans="1:16" ht="15.75" thickBot="1" x14ac:dyDescent="0.3">
      <c r="A130" s="23">
        <v>45120</v>
      </c>
      <c r="B130" s="10">
        <v>264.52</v>
      </c>
      <c r="C130" s="26">
        <v>26189</v>
      </c>
      <c r="N130" s="23">
        <v>45120</v>
      </c>
      <c r="O130" s="16">
        <v>5971175</v>
      </c>
      <c r="P130" s="26">
        <v>26189</v>
      </c>
    </row>
    <row r="131" spans="1:16" ht="15.75" thickBot="1" x14ac:dyDescent="0.3">
      <c r="A131" s="23">
        <v>45121</v>
      </c>
      <c r="B131" s="10">
        <v>265.14</v>
      </c>
      <c r="C131" s="26">
        <v>26036</v>
      </c>
      <c r="N131" s="23">
        <v>45121</v>
      </c>
      <c r="O131" s="16">
        <v>6017758</v>
      </c>
      <c r="P131" s="26">
        <v>26036</v>
      </c>
    </row>
    <row r="132" spans="1:16" ht="15.75" thickBot="1" x14ac:dyDescent="0.3">
      <c r="A132" s="23">
        <v>45124</v>
      </c>
      <c r="B132" s="10">
        <v>266.79000000000002</v>
      </c>
      <c r="C132" s="26">
        <v>25849</v>
      </c>
      <c r="N132" s="23">
        <v>45124</v>
      </c>
      <c r="O132" s="16">
        <v>5961842</v>
      </c>
      <c r="P132" s="26">
        <v>25849</v>
      </c>
    </row>
    <row r="133" spans="1:16" ht="15.75" thickBot="1" x14ac:dyDescent="0.3">
      <c r="A133" s="23">
        <v>45125</v>
      </c>
      <c r="B133" s="10">
        <v>267.58</v>
      </c>
      <c r="C133" s="26">
        <v>25765</v>
      </c>
      <c r="N133" s="23">
        <v>45125</v>
      </c>
      <c r="O133" s="16">
        <v>6027675</v>
      </c>
      <c r="P133" s="26">
        <v>25765</v>
      </c>
    </row>
    <row r="134" spans="1:16" ht="15.75" thickBot="1" x14ac:dyDescent="0.3">
      <c r="A134" s="23">
        <v>45126</v>
      </c>
      <c r="B134" s="10">
        <v>268.23</v>
      </c>
      <c r="C134" s="26">
        <v>25501</v>
      </c>
      <c r="N134" s="23">
        <v>45126</v>
      </c>
      <c r="O134" s="16">
        <v>6038763</v>
      </c>
      <c r="P134" s="26">
        <v>25501</v>
      </c>
    </row>
    <row r="135" spans="1:16" ht="15.75" thickBot="1" x14ac:dyDescent="0.3">
      <c r="A135" s="23">
        <v>45127</v>
      </c>
      <c r="B135" s="10">
        <v>268.77999999999997</v>
      </c>
      <c r="C135" s="26">
        <v>25441</v>
      </c>
      <c r="N135" s="23">
        <v>45127</v>
      </c>
      <c r="O135" s="16">
        <v>6088018</v>
      </c>
      <c r="P135" s="26">
        <v>25441</v>
      </c>
    </row>
    <row r="136" spans="1:16" ht="15.75" thickBot="1" x14ac:dyDescent="0.3">
      <c r="A136" s="23">
        <v>45128</v>
      </c>
      <c r="B136" s="10">
        <v>269.42</v>
      </c>
      <c r="C136" s="26">
        <v>25210</v>
      </c>
      <c r="N136" s="23">
        <v>45128</v>
      </c>
      <c r="O136" s="16">
        <v>6124899</v>
      </c>
      <c r="P136" s="26">
        <v>25210</v>
      </c>
    </row>
    <row r="137" spans="1:16" ht="15.75" thickBot="1" x14ac:dyDescent="0.3">
      <c r="A137" s="23">
        <v>45131</v>
      </c>
      <c r="B137" s="10">
        <v>271.19</v>
      </c>
      <c r="C137" s="26">
        <v>25280</v>
      </c>
      <c r="N137" s="23">
        <v>45131</v>
      </c>
      <c r="O137" s="16">
        <v>6069888</v>
      </c>
      <c r="P137" s="26">
        <v>25280</v>
      </c>
    </row>
    <row r="138" spans="1:16" ht="15.75" thickBot="1" x14ac:dyDescent="0.3">
      <c r="A138" s="23">
        <v>45132</v>
      </c>
      <c r="B138" s="10">
        <v>271.67</v>
      </c>
      <c r="C138" s="26">
        <v>25350</v>
      </c>
      <c r="N138" s="23">
        <v>45132</v>
      </c>
      <c r="O138" s="16">
        <v>6165989</v>
      </c>
      <c r="P138" s="26">
        <v>25350</v>
      </c>
    </row>
    <row r="139" spans="1:16" ht="15.75" thickBot="1" x14ac:dyDescent="0.3">
      <c r="A139" s="23">
        <v>45133</v>
      </c>
      <c r="B139" s="10">
        <v>272.39999999999998</v>
      </c>
      <c r="C139" s="26">
        <v>25258</v>
      </c>
      <c r="N139" s="23">
        <v>45133</v>
      </c>
      <c r="O139" s="16">
        <v>6157752</v>
      </c>
      <c r="P139" s="26">
        <v>25258</v>
      </c>
    </row>
    <row r="140" spans="1:16" ht="15.75" thickBot="1" x14ac:dyDescent="0.3">
      <c r="A140" s="23">
        <v>45134</v>
      </c>
      <c r="B140" s="10">
        <v>273</v>
      </c>
      <c r="C140" s="26">
        <v>25349</v>
      </c>
      <c r="N140" s="23">
        <v>45134</v>
      </c>
      <c r="O140" s="16">
        <v>6219895</v>
      </c>
      <c r="P140" s="26">
        <v>25349</v>
      </c>
    </row>
    <row r="141" spans="1:16" ht="15.75" thickBot="1" x14ac:dyDescent="0.3">
      <c r="A141" s="23">
        <v>45135</v>
      </c>
      <c r="B141" s="10">
        <v>273.63</v>
      </c>
      <c r="C141" s="26">
        <v>25651</v>
      </c>
      <c r="N141" s="23">
        <v>45135</v>
      </c>
      <c r="O141" s="16">
        <v>6194866</v>
      </c>
      <c r="P141" s="26">
        <v>25651</v>
      </c>
    </row>
    <row r="142" spans="1:16" ht="15.75" thickBot="1" x14ac:dyDescent="0.3">
      <c r="A142" s="23">
        <v>45138</v>
      </c>
      <c r="B142" s="10">
        <v>275.27999999999997</v>
      </c>
      <c r="C142" s="26">
        <v>24092</v>
      </c>
      <c r="N142" s="23">
        <v>45138</v>
      </c>
      <c r="O142" s="16">
        <v>6392700</v>
      </c>
      <c r="P142" s="26">
        <v>24092</v>
      </c>
    </row>
    <row r="143" spans="1:16" ht="15.75" thickBot="1" x14ac:dyDescent="0.3">
      <c r="A143" s="23">
        <v>45139</v>
      </c>
      <c r="B143" s="10">
        <v>276.14</v>
      </c>
      <c r="C143" s="26">
        <v>24042</v>
      </c>
      <c r="N143" s="23">
        <v>45139</v>
      </c>
      <c r="O143" s="16">
        <v>6378680</v>
      </c>
      <c r="P143" s="26">
        <v>24042</v>
      </c>
    </row>
    <row r="144" spans="1:16" ht="15.75" thickBot="1" x14ac:dyDescent="0.3">
      <c r="A144" s="23">
        <v>45140</v>
      </c>
      <c r="B144" s="10">
        <v>277.33999999999997</v>
      </c>
      <c r="C144" s="26">
        <v>24020</v>
      </c>
      <c r="N144" s="23">
        <v>45140</v>
      </c>
      <c r="O144" s="16">
        <v>6318897</v>
      </c>
      <c r="P144" s="26">
        <v>24020</v>
      </c>
    </row>
    <row r="145" spans="1:16" ht="15.75" thickBot="1" x14ac:dyDescent="0.3">
      <c r="A145" s="23">
        <v>45141</v>
      </c>
      <c r="B145" s="10">
        <v>278.27999999999997</v>
      </c>
      <c r="C145" s="26">
        <v>24146</v>
      </c>
      <c r="N145" s="23">
        <v>45141</v>
      </c>
      <c r="O145" s="16">
        <v>6348605</v>
      </c>
      <c r="P145" s="26">
        <v>24146</v>
      </c>
    </row>
    <row r="146" spans="1:16" ht="15.75" thickBot="1" x14ac:dyDescent="0.3">
      <c r="A146" s="23">
        <v>45142</v>
      </c>
      <c r="B146" s="10">
        <v>279.32</v>
      </c>
      <c r="C146" s="26">
        <v>24372</v>
      </c>
      <c r="N146" s="23">
        <v>45142</v>
      </c>
      <c r="O146" s="16">
        <v>6399888</v>
      </c>
      <c r="P146" s="26">
        <v>24372</v>
      </c>
    </row>
    <row r="147" spans="1:16" ht="15.75" thickBot="1" x14ac:dyDescent="0.3">
      <c r="A147" s="23">
        <v>45145</v>
      </c>
      <c r="B147" s="10">
        <v>283.14999999999998</v>
      </c>
      <c r="C147" s="26">
        <v>24268</v>
      </c>
      <c r="N147" s="23">
        <v>45145</v>
      </c>
      <c r="O147" s="16">
        <v>6399595</v>
      </c>
      <c r="P147" s="26">
        <v>24268</v>
      </c>
    </row>
    <row r="148" spans="1:16" ht="15.75" thickBot="1" x14ac:dyDescent="0.3">
      <c r="A148" s="23">
        <v>45146</v>
      </c>
      <c r="B148" s="10">
        <v>284.19</v>
      </c>
      <c r="C148" s="26">
        <v>24129</v>
      </c>
      <c r="N148" s="23">
        <v>45146</v>
      </c>
      <c r="O148" s="16">
        <v>6417720</v>
      </c>
      <c r="P148" s="26">
        <v>24129</v>
      </c>
    </row>
    <row r="149" spans="1:16" ht="15.75" thickBot="1" x14ac:dyDescent="0.3">
      <c r="A149" s="23">
        <v>45147</v>
      </c>
      <c r="B149" s="10">
        <v>285.18</v>
      </c>
      <c r="C149" s="26">
        <v>23891</v>
      </c>
      <c r="N149" s="23">
        <v>45147</v>
      </c>
      <c r="O149" s="16">
        <v>6387922</v>
      </c>
      <c r="P149" s="26">
        <v>23891</v>
      </c>
    </row>
    <row r="150" spans="1:16" ht="15.75" thickBot="1" x14ac:dyDescent="0.3">
      <c r="A150" s="23">
        <v>45148</v>
      </c>
      <c r="B150" s="10">
        <v>286.19</v>
      </c>
      <c r="C150" s="26">
        <v>23828</v>
      </c>
      <c r="N150" s="23">
        <v>45148</v>
      </c>
      <c r="O150" s="16">
        <v>6479257</v>
      </c>
      <c r="P150" s="26">
        <v>23828</v>
      </c>
    </row>
    <row r="151" spans="1:16" ht="15.75" thickBot="1" x14ac:dyDescent="0.3">
      <c r="A151" s="23">
        <v>45149</v>
      </c>
      <c r="B151" s="10">
        <v>287.29000000000002</v>
      </c>
      <c r="C151" s="26">
        <v>23671</v>
      </c>
      <c r="N151" s="23">
        <v>45149</v>
      </c>
      <c r="O151" s="16">
        <v>6604400</v>
      </c>
      <c r="P151" s="26">
        <v>23671</v>
      </c>
    </row>
    <row r="152" spans="1:16" ht="15.75" thickBot="1" x14ac:dyDescent="0.3">
      <c r="A152" s="23">
        <v>45152</v>
      </c>
      <c r="B152" s="10">
        <v>349.98</v>
      </c>
      <c r="C152" s="26">
        <v>23762</v>
      </c>
      <c r="N152" s="23">
        <v>45152</v>
      </c>
      <c r="O152" s="16">
        <v>6486063</v>
      </c>
      <c r="P152" s="26">
        <v>23762</v>
      </c>
    </row>
    <row r="153" spans="1:16" ht="15.75" thickBot="1" x14ac:dyDescent="0.3">
      <c r="A153" s="23">
        <v>45153</v>
      </c>
      <c r="B153" s="10">
        <v>350.01</v>
      </c>
      <c r="C153" s="26">
        <v>23667</v>
      </c>
      <c r="N153" s="23">
        <v>45153</v>
      </c>
      <c r="O153" s="16">
        <v>6520598</v>
      </c>
      <c r="P153" s="26">
        <v>23667</v>
      </c>
    </row>
    <row r="154" spans="1:16" ht="15.75" thickBot="1" x14ac:dyDescent="0.3">
      <c r="A154" s="23">
        <v>45154</v>
      </c>
      <c r="B154" s="10">
        <v>350</v>
      </c>
      <c r="C154" s="26">
        <v>23612</v>
      </c>
      <c r="N154" s="23">
        <v>45154</v>
      </c>
      <c r="O154" s="16">
        <v>6415632</v>
      </c>
      <c r="P154" s="26">
        <v>23612</v>
      </c>
    </row>
    <row r="155" spans="1:16" ht="15.75" thickBot="1" x14ac:dyDescent="0.3">
      <c r="A155" s="23">
        <v>45155</v>
      </c>
      <c r="B155" s="10">
        <v>349.98</v>
      </c>
      <c r="C155" s="26">
        <v>23721</v>
      </c>
      <c r="N155" s="23">
        <v>45155</v>
      </c>
      <c r="O155" s="16">
        <v>6454926</v>
      </c>
      <c r="P155" s="26">
        <v>23721</v>
      </c>
    </row>
    <row r="156" spans="1:16" ht="15.75" thickBot="1" x14ac:dyDescent="0.3">
      <c r="A156" s="23">
        <v>45156</v>
      </c>
      <c r="B156" s="10">
        <v>350.02</v>
      </c>
      <c r="C156" s="26">
        <v>23637</v>
      </c>
      <c r="N156" s="23">
        <v>45156</v>
      </c>
      <c r="O156" s="16">
        <v>6462822</v>
      </c>
      <c r="P156" s="26">
        <v>23637</v>
      </c>
    </row>
    <row r="157" spans="1:16" ht="15.75" thickBot="1" x14ac:dyDescent="0.3">
      <c r="A157" s="23">
        <v>45160</v>
      </c>
      <c r="B157" s="10">
        <v>350.01</v>
      </c>
      <c r="C157" s="26">
        <v>23639</v>
      </c>
      <c r="N157" s="23">
        <v>45160</v>
      </c>
      <c r="O157" s="16">
        <v>6354553</v>
      </c>
      <c r="P157" s="26">
        <v>23639</v>
      </c>
    </row>
    <row r="158" spans="1:16" ht="15.75" thickBot="1" x14ac:dyDescent="0.3">
      <c r="A158" s="23">
        <v>45161</v>
      </c>
      <c r="B158" s="10">
        <v>349.98</v>
      </c>
      <c r="C158" s="26">
        <v>29004</v>
      </c>
      <c r="N158" s="23">
        <v>45161</v>
      </c>
      <c r="O158" s="16">
        <v>6380909</v>
      </c>
      <c r="P158" s="26">
        <v>29004</v>
      </c>
    </row>
    <row r="159" spans="1:16" ht="15.75" thickBot="1" x14ac:dyDescent="0.3">
      <c r="A159" s="23">
        <v>45162</v>
      </c>
      <c r="B159" s="10">
        <v>349.98</v>
      </c>
      <c r="C159" s="26">
        <v>28995</v>
      </c>
      <c r="N159" s="23">
        <v>45162</v>
      </c>
      <c r="O159" s="16">
        <v>6385199</v>
      </c>
      <c r="P159" s="26">
        <v>28995</v>
      </c>
    </row>
    <row r="160" spans="1:16" ht="15.75" thickBot="1" x14ac:dyDescent="0.3">
      <c r="A160" s="23">
        <v>45163</v>
      </c>
      <c r="B160" s="10">
        <v>349.98</v>
      </c>
      <c r="C160" s="26">
        <v>27955</v>
      </c>
      <c r="N160" s="23">
        <v>45163</v>
      </c>
      <c r="O160" s="16">
        <v>6486371</v>
      </c>
      <c r="P160" s="26">
        <v>27955</v>
      </c>
    </row>
    <row r="161" spans="1:16" ht="15.75" thickBot="1" x14ac:dyDescent="0.3">
      <c r="A161" s="23">
        <v>45166</v>
      </c>
      <c r="B161" s="10">
        <v>349.99</v>
      </c>
      <c r="C161" s="26">
        <v>28011</v>
      </c>
      <c r="N161" s="23">
        <v>45166</v>
      </c>
      <c r="O161" s="16">
        <v>6166524</v>
      </c>
      <c r="P161" s="26">
        <v>28011</v>
      </c>
    </row>
    <row r="162" spans="1:16" ht="15.75" thickBot="1" x14ac:dyDescent="0.3">
      <c r="A162" s="23">
        <v>45167</v>
      </c>
      <c r="B162" s="10">
        <v>349.98</v>
      </c>
      <c r="C162" s="26">
        <v>28035</v>
      </c>
      <c r="N162" s="23">
        <v>45167</v>
      </c>
      <c r="O162" s="16">
        <v>6114587</v>
      </c>
      <c r="P162" s="26">
        <v>28035</v>
      </c>
    </row>
    <row r="163" spans="1:16" ht="15.75" thickBot="1" x14ac:dyDescent="0.3">
      <c r="A163" s="23">
        <v>45168</v>
      </c>
      <c r="B163" s="10">
        <v>349.98</v>
      </c>
      <c r="C163" s="26">
        <v>27942</v>
      </c>
      <c r="N163" s="23">
        <v>45168</v>
      </c>
      <c r="O163" s="16">
        <v>6149040</v>
      </c>
      <c r="P163" s="26">
        <v>27942</v>
      </c>
    </row>
    <row r="164" spans="1:16" ht="15.75" thickBot="1" x14ac:dyDescent="0.3">
      <c r="A164" s="23">
        <v>45169</v>
      </c>
      <c r="B164" s="10">
        <v>350.02</v>
      </c>
      <c r="C164" s="26">
        <v>27818</v>
      </c>
      <c r="N164" s="23">
        <v>45169</v>
      </c>
      <c r="O164" s="16">
        <v>6621931</v>
      </c>
      <c r="P164" s="26">
        <v>27818</v>
      </c>
    </row>
    <row r="165" spans="1:16" ht="15.75" thickBot="1" x14ac:dyDescent="0.3">
      <c r="A165" s="23">
        <v>45170</v>
      </c>
      <c r="B165" s="10">
        <v>350</v>
      </c>
      <c r="C165" s="26">
        <v>27824</v>
      </c>
      <c r="N165" s="23">
        <v>45170</v>
      </c>
      <c r="O165" s="16">
        <v>6620575</v>
      </c>
      <c r="P165" s="26">
        <v>27824</v>
      </c>
    </row>
    <row r="166" spans="1:16" ht="15.75" thickBot="1" x14ac:dyDescent="0.3">
      <c r="A166" s="23">
        <v>45173</v>
      </c>
      <c r="B166" s="10">
        <v>350.03</v>
      </c>
      <c r="C166" s="26">
        <v>27775</v>
      </c>
      <c r="N166" s="23">
        <v>45173</v>
      </c>
      <c r="O166" s="16">
        <v>6526190</v>
      </c>
      <c r="P166" s="26">
        <v>27775</v>
      </c>
    </row>
    <row r="167" spans="1:16" ht="15.75" thickBot="1" x14ac:dyDescent="0.3">
      <c r="A167" s="23">
        <v>45174</v>
      </c>
      <c r="B167" s="10">
        <v>349.99</v>
      </c>
      <c r="C167" s="26">
        <v>27679</v>
      </c>
      <c r="N167" s="23">
        <v>45174</v>
      </c>
      <c r="O167" s="16">
        <v>6576075</v>
      </c>
      <c r="P167" s="26">
        <v>27679</v>
      </c>
    </row>
    <row r="168" spans="1:16" ht="15.75" thickBot="1" x14ac:dyDescent="0.3">
      <c r="A168" s="23">
        <v>45175</v>
      </c>
      <c r="B168" s="10">
        <v>350</v>
      </c>
      <c r="C168" s="26">
        <v>27630</v>
      </c>
      <c r="N168" s="23">
        <v>45175</v>
      </c>
      <c r="O168" s="16">
        <v>6520411</v>
      </c>
      <c r="P168" s="26">
        <v>27630</v>
      </c>
    </row>
    <row r="169" spans="1:16" ht="15.75" thickBot="1" x14ac:dyDescent="0.3">
      <c r="A169" s="23">
        <v>45176</v>
      </c>
      <c r="B169" s="10">
        <v>349.99</v>
      </c>
      <c r="C169" s="26">
        <v>27651</v>
      </c>
      <c r="N169" s="23">
        <v>45176</v>
      </c>
      <c r="O169" s="16">
        <v>6620942</v>
      </c>
      <c r="P169" s="26">
        <v>27651</v>
      </c>
    </row>
    <row r="170" spans="1:16" ht="15.75" thickBot="1" x14ac:dyDescent="0.3">
      <c r="A170" s="23">
        <v>45177</v>
      </c>
      <c r="B170" s="10">
        <v>349.98</v>
      </c>
      <c r="C170" s="26">
        <v>27686</v>
      </c>
      <c r="N170" s="23">
        <v>45177</v>
      </c>
      <c r="O170" s="16">
        <v>6552429</v>
      </c>
      <c r="P170" s="26">
        <v>27686</v>
      </c>
    </row>
    <row r="171" spans="1:16" ht="15.75" thickBot="1" x14ac:dyDescent="0.3">
      <c r="A171" s="23">
        <v>45180</v>
      </c>
      <c r="B171" s="10">
        <v>349.98</v>
      </c>
      <c r="C171" s="26">
        <v>27737</v>
      </c>
      <c r="N171" s="23">
        <v>45180</v>
      </c>
      <c r="O171" s="16">
        <v>6558387</v>
      </c>
      <c r="P171" s="26">
        <v>27737</v>
      </c>
    </row>
    <row r="172" spans="1:16" ht="15.75" thickBot="1" x14ac:dyDescent="0.3">
      <c r="A172" s="23">
        <v>45181</v>
      </c>
      <c r="B172" s="10">
        <v>349.98</v>
      </c>
      <c r="C172" s="26">
        <v>27767</v>
      </c>
      <c r="N172" s="23">
        <v>45181</v>
      </c>
      <c r="O172" s="16">
        <v>6607494</v>
      </c>
      <c r="P172" s="26">
        <v>27767</v>
      </c>
    </row>
    <row r="173" spans="1:16" ht="15.75" thickBot="1" x14ac:dyDescent="0.3">
      <c r="A173" s="23">
        <v>45182</v>
      </c>
      <c r="B173" s="10">
        <v>349.98</v>
      </c>
      <c r="C173" s="26">
        <v>27786</v>
      </c>
      <c r="N173" s="23">
        <v>45182</v>
      </c>
      <c r="O173" s="16">
        <v>6590251</v>
      </c>
      <c r="P173" s="26">
        <v>27786</v>
      </c>
    </row>
    <row r="174" spans="1:16" ht="15.75" thickBot="1" x14ac:dyDescent="0.3">
      <c r="A174" s="23">
        <v>45183</v>
      </c>
      <c r="B174" s="10">
        <v>349.98</v>
      </c>
      <c r="C174" s="26">
        <v>27784</v>
      </c>
      <c r="N174" s="23">
        <v>45183</v>
      </c>
      <c r="O174" s="16">
        <v>6603088</v>
      </c>
      <c r="P174" s="26">
        <v>27784</v>
      </c>
    </row>
    <row r="175" spans="1:16" ht="15.75" thickBot="1" x14ac:dyDescent="0.3">
      <c r="A175" s="23">
        <v>45184</v>
      </c>
      <c r="B175" s="10">
        <v>349.99</v>
      </c>
      <c r="C175" s="26">
        <v>27530</v>
      </c>
      <c r="N175" s="23">
        <v>45184</v>
      </c>
      <c r="O175" s="16">
        <v>6413531</v>
      </c>
      <c r="P175" s="26">
        <v>27530</v>
      </c>
    </row>
    <row r="176" spans="1:16" ht="15.75" thickBot="1" x14ac:dyDescent="0.3">
      <c r="A176" s="23">
        <v>45187</v>
      </c>
      <c r="B176" s="10">
        <v>349.99</v>
      </c>
      <c r="C176" s="26">
        <v>27470</v>
      </c>
      <c r="N176" s="23">
        <v>45187</v>
      </c>
      <c r="O176" s="16">
        <v>6339071</v>
      </c>
      <c r="P176" s="26">
        <v>27470</v>
      </c>
    </row>
    <row r="177" spans="1:16" ht="15.75" thickBot="1" x14ac:dyDescent="0.3">
      <c r="A177" s="23">
        <v>45188</v>
      </c>
      <c r="B177" s="10">
        <v>349.98</v>
      </c>
      <c r="C177" s="26">
        <v>27438</v>
      </c>
      <c r="N177" s="23">
        <v>45188</v>
      </c>
      <c r="O177" s="16">
        <v>6385255</v>
      </c>
      <c r="P177" s="26">
        <v>27438</v>
      </c>
    </row>
    <row r="178" spans="1:16" ht="15.75" thickBot="1" x14ac:dyDescent="0.3">
      <c r="A178" s="23">
        <v>45189</v>
      </c>
      <c r="B178" s="10">
        <v>350</v>
      </c>
      <c r="C178" s="26">
        <v>27425</v>
      </c>
      <c r="N178" s="23">
        <v>45189</v>
      </c>
      <c r="O178" s="16">
        <v>6412263</v>
      </c>
      <c r="P178" s="26">
        <v>27425</v>
      </c>
    </row>
    <row r="179" spans="1:16" ht="15.75" thickBot="1" x14ac:dyDescent="0.3">
      <c r="A179" s="23">
        <v>45190</v>
      </c>
      <c r="B179" s="10">
        <v>349.98</v>
      </c>
      <c r="C179" s="26">
        <v>27342</v>
      </c>
      <c r="N179" s="23">
        <v>45190</v>
      </c>
      <c r="O179" s="16">
        <v>6467536</v>
      </c>
      <c r="P179" s="26">
        <v>27342</v>
      </c>
    </row>
    <row r="180" spans="1:16" ht="15.75" thickBot="1" x14ac:dyDescent="0.3">
      <c r="A180" s="23">
        <v>45191</v>
      </c>
      <c r="B180" s="10">
        <v>350.03</v>
      </c>
      <c r="C180" s="26">
        <v>27254</v>
      </c>
      <c r="N180" s="23">
        <v>45191</v>
      </c>
      <c r="O180" s="16">
        <v>6464331</v>
      </c>
      <c r="P180" s="26">
        <v>27254</v>
      </c>
    </row>
    <row r="181" spans="1:16" ht="15.75" thickBot="1" x14ac:dyDescent="0.3">
      <c r="A181" s="23">
        <v>45194</v>
      </c>
      <c r="B181" s="10">
        <v>350.01</v>
      </c>
      <c r="C181" s="26">
        <v>27204</v>
      </c>
      <c r="N181" s="23">
        <v>45194</v>
      </c>
      <c r="O181" s="16">
        <v>6455976</v>
      </c>
      <c r="P181" s="26">
        <v>27204</v>
      </c>
    </row>
    <row r="182" spans="1:16" ht="15.75" thickBot="1" x14ac:dyDescent="0.3">
      <c r="A182" s="23">
        <v>45195</v>
      </c>
      <c r="B182" s="10">
        <v>350.03</v>
      </c>
      <c r="C182" s="26">
        <v>27152</v>
      </c>
      <c r="N182" s="23">
        <v>45195</v>
      </c>
      <c r="O182" s="16">
        <v>6501352</v>
      </c>
      <c r="P182" s="26">
        <v>27152</v>
      </c>
    </row>
    <row r="183" spans="1:16" ht="15.75" thickBot="1" x14ac:dyDescent="0.3">
      <c r="A183" s="23">
        <v>45196</v>
      </c>
      <c r="B183" s="10">
        <v>350.03</v>
      </c>
      <c r="C183" s="26">
        <v>27057</v>
      </c>
      <c r="N183" s="23">
        <v>45196</v>
      </c>
      <c r="O183" s="16">
        <v>6524287</v>
      </c>
      <c r="P183" s="26">
        <v>27057</v>
      </c>
    </row>
    <row r="184" spans="1:16" ht="15.75" thickBot="1" x14ac:dyDescent="0.3">
      <c r="A184" s="23">
        <v>45197</v>
      </c>
      <c r="B184" s="10">
        <v>350.03</v>
      </c>
      <c r="C184" s="26">
        <v>27068</v>
      </c>
      <c r="N184" s="23">
        <v>45197</v>
      </c>
      <c r="O184" s="16">
        <v>6492372</v>
      </c>
      <c r="P184" s="26">
        <v>27068</v>
      </c>
    </row>
    <row r="185" spans="1:16" ht="15.75" thickBot="1" x14ac:dyDescent="0.3">
      <c r="A185" s="23">
        <v>45198</v>
      </c>
      <c r="B185" s="10">
        <v>350.01</v>
      </c>
      <c r="C185" s="26">
        <v>26925</v>
      </c>
      <c r="N185" s="23">
        <v>45198</v>
      </c>
      <c r="O185" s="16">
        <v>6828209</v>
      </c>
      <c r="P185" s="26">
        <v>26925</v>
      </c>
    </row>
    <row r="186" spans="1:16" ht="15.75" thickBot="1" x14ac:dyDescent="0.3">
      <c r="A186" s="23">
        <v>45201</v>
      </c>
      <c r="B186" s="10">
        <v>350.03</v>
      </c>
      <c r="C186" s="26">
        <v>26634</v>
      </c>
      <c r="N186" s="23">
        <v>45201</v>
      </c>
      <c r="O186" s="16">
        <v>6856611</v>
      </c>
      <c r="P186" s="26">
        <v>26634</v>
      </c>
    </row>
    <row r="187" spans="1:16" ht="15.75" thickBot="1" x14ac:dyDescent="0.3">
      <c r="A187" s="23">
        <v>45202</v>
      </c>
      <c r="B187" s="10">
        <v>350.03</v>
      </c>
      <c r="C187" s="26">
        <v>26558</v>
      </c>
      <c r="N187" s="23">
        <v>45202</v>
      </c>
      <c r="O187" s="16">
        <v>6962279</v>
      </c>
      <c r="P187" s="26">
        <v>26558</v>
      </c>
    </row>
    <row r="188" spans="1:16" ht="15.75" thickBot="1" x14ac:dyDescent="0.3">
      <c r="A188" s="23">
        <v>45203</v>
      </c>
      <c r="B188" s="10">
        <v>350.03</v>
      </c>
      <c r="C188" s="26">
        <v>26470</v>
      </c>
      <c r="N188" s="23">
        <v>45203</v>
      </c>
      <c r="O188" s="16">
        <v>6977096</v>
      </c>
      <c r="P188" s="26">
        <v>26470</v>
      </c>
    </row>
    <row r="189" spans="1:16" ht="15.75" thickBot="1" x14ac:dyDescent="0.3">
      <c r="A189" s="23">
        <v>45204</v>
      </c>
      <c r="B189" s="10">
        <v>350.03</v>
      </c>
      <c r="C189" s="26">
        <v>26382</v>
      </c>
      <c r="N189" s="23">
        <v>45204</v>
      </c>
      <c r="O189" s="16">
        <v>7025338</v>
      </c>
      <c r="P189" s="26">
        <v>26382</v>
      </c>
    </row>
    <row r="190" spans="1:16" ht="15.75" thickBot="1" x14ac:dyDescent="0.3">
      <c r="A190" s="23">
        <v>45205</v>
      </c>
      <c r="B190" s="10">
        <v>350.03</v>
      </c>
      <c r="C190" s="26">
        <v>26262</v>
      </c>
      <c r="N190" s="23">
        <v>45205</v>
      </c>
      <c r="O190" s="16">
        <v>7137672</v>
      </c>
      <c r="P190" s="26">
        <v>26262</v>
      </c>
    </row>
    <row r="191" spans="1:16" ht="15.75" thickBot="1" x14ac:dyDescent="0.3">
      <c r="A191" s="23">
        <v>45208</v>
      </c>
      <c r="B191" s="10">
        <v>350.03</v>
      </c>
      <c r="C191" s="26">
        <v>26269</v>
      </c>
      <c r="N191" s="23">
        <v>45208</v>
      </c>
      <c r="O191" s="16">
        <v>7087185</v>
      </c>
      <c r="P191" s="26">
        <v>26269</v>
      </c>
    </row>
    <row r="192" spans="1:16" ht="15.75" thickBot="1" x14ac:dyDescent="0.3">
      <c r="A192" s="23">
        <v>45209</v>
      </c>
      <c r="B192" s="10">
        <v>350.03</v>
      </c>
      <c r="C192" s="26">
        <v>26059</v>
      </c>
      <c r="N192" s="23">
        <v>45209</v>
      </c>
      <c r="O192" s="16">
        <v>7259682</v>
      </c>
      <c r="P192" s="26">
        <v>26059</v>
      </c>
    </row>
    <row r="193" spans="1:16" ht="15.75" thickBot="1" x14ac:dyDescent="0.3">
      <c r="A193" s="23">
        <v>45210</v>
      </c>
      <c r="B193" s="10">
        <v>350.03</v>
      </c>
      <c r="C193" s="26">
        <v>25772</v>
      </c>
      <c r="N193" s="23">
        <v>45210</v>
      </c>
      <c r="O193" s="16">
        <v>7307589</v>
      </c>
      <c r="P193" s="26">
        <v>25772</v>
      </c>
    </row>
    <row r="194" spans="1:16" ht="15.75" thickBot="1" x14ac:dyDescent="0.3">
      <c r="A194" s="23">
        <v>45211</v>
      </c>
      <c r="B194" s="10">
        <v>350.03</v>
      </c>
      <c r="C194" s="26">
        <v>25225</v>
      </c>
      <c r="N194" s="23">
        <v>45211</v>
      </c>
      <c r="O194" s="16">
        <v>7621633</v>
      </c>
      <c r="P194" s="26">
        <v>25225</v>
      </c>
    </row>
    <row r="195" spans="1:16" ht="15.75" thickBot="1" x14ac:dyDescent="0.3">
      <c r="A195" s="23">
        <v>45216</v>
      </c>
      <c r="B195" s="10">
        <v>350.02</v>
      </c>
      <c r="C195" s="26">
        <v>24995</v>
      </c>
      <c r="N195" s="23">
        <v>45216</v>
      </c>
      <c r="O195" s="16">
        <v>7319190</v>
      </c>
      <c r="P195" s="26">
        <v>24995</v>
      </c>
    </row>
    <row r="196" spans="1:16" ht="15.75" thickBot="1" x14ac:dyDescent="0.3">
      <c r="A196" s="23">
        <v>45217</v>
      </c>
      <c r="B196" s="10">
        <v>350.03</v>
      </c>
      <c r="C196" s="26">
        <v>24789</v>
      </c>
      <c r="N196" s="23">
        <v>45217</v>
      </c>
      <c r="O196" s="16">
        <v>7194750</v>
      </c>
      <c r="P196" s="26">
        <v>24789</v>
      </c>
    </row>
    <row r="197" spans="1:16" ht="15.75" thickBot="1" x14ac:dyDescent="0.3">
      <c r="A197" s="23">
        <v>45218</v>
      </c>
      <c r="B197" s="10">
        <v>350.03</v>
      </c>
      <c r="C197" s="26">
        <v>24793</v>
      </c>
      <c r="N197" s="23">
        <v>45218</v>
      </c>
      <c r="O197" s="16">
        <v>7350314</v>
      </c>
      <c r="P197" s="26">
        <v>24793</v>
      </c>
    </row>
    <row r="198" spans="1:16" ht="15.75" thickBot="1" x14ac:dyDescent="0.3">
      <c r="A198" s="23">
        <v>45219</v>
      </c>
      <c r="B198" s="10">
        <v>350.03</v>
      </c>
      <c r="C198" s="26">
        <v>24543</v>
      </c>
      <c r="N198" s="23">
        <v>45219</v>
      </c>
      <c r="O198" s="16">
        <v>7339111</v>
      </c>
      <c r="P198" s="26">
        <v>24543</v>
      </c>
    </row>
    <row r="199" spans="1:16" ht="15.75" thickBot="1" x14ac:dyDescent="0.3">
      <c r="A199" s="23">
        <v>45222</v>
      </c>
      <c r="B199" s="10">
        <v>350</v>
      </c>
      <c r="C199" s="26">
        <v>24553</v>
      </c>
      <c r="N199" s="23">
        <v>45222</v>
      </c>
      <c r="O199" s="16">
        <v>7054442</v>
      </c>
      <c r="P199" s="26">
        <v>24553</v>
      </c>
    </row>
    <row r="200" spans="1:16" ht="15.75" thickBot="1" x14ac:dyDescent="0.3">
      <c r="A200" s="23">
        <v>45223</v>
      </c>
      <c r="B200" s="10">
        <v>350.03</v>
      </c>
      <c r="C200" s="26">
        <v>24556</v>
      </c>
      <c r="N200" s="23">
        <v>45223</v>
      </c>
      <c r="O200" s="16">
        <v>7063024</v>
      </c>
      <c r="P200" s="26">
        <v>24556</v>
      </c>
    </row>
    <row r="201" spans="1:16" ht="15.75" thickBot="1" x14ac:dyDescent="0.3">
      <c r="A201" s="23">
        <v>45224</v>
      </c>
      <c r="B201" s="10">
        <v>350.02</v>
      </c>
      <c r="C201" s="26">
        <v>24499</v>
      </c>
      <c r="N201" s="23">
        <v>45224</v>
      </c>
      <c r="O201" s="16">
        <v>7022578</v>
      </c>
      <c r="P201" s="26">
        <v>24499</v>
      </c>
    </row>
    <row r="202" spans="1:16" ht="15.75" thickBot="1" x14ac:dyDescent="0.3">
      <c r="A202" s="23">
        <v>45225</v>
      </c>
      <c r="B202" s="10">
        <v>350.01</v>
      </c>
      <c r="C202" s="26">
        <v>24553</v>
      </c>
      <c r="N202" s="23">
        <v>45225</v>
      </c>
      <c r="O202" s="16">
        <v>7047138</v>
      </c>
      <c r="P202" s="26">
        <v>24553</v>
      </c>
    </row>
    <row r="203" spans="1:16" ht="15.75" thickBot="1" x14ac:dyDescent="0.3">
      <c r="A203" s="23">
        <v>45226</v>
      </c>
      <c r="B203" s="10">
        <v>350.01</v>
      </c>
      <c r="C203" s="26">
        <v>24561</v>
      </c>
      <c r="N203" s="23">
        <v>45226</v>
      </c>
      <c r="O203" s="16">
        <v>7058426</v>
      </c>
      <c r="P203" s="26">
        <v>24561</v>
      </c>
    </row>
    <row r="204" spans="1:16" ht="15.75" thickBot="1" x14ac:dyDescent="0.3">
      <c r="A204" s="23">
        <v>45229</v>
      </c>
      <c r="B204" s="10">
        <v>350.03</v>
      </c>
      <c r="C204" s="26">
        <v>24614</v>
      </c>
      <c r="N204" s="23">
        <v>45229</v>
      </c>
      <c r="O204" s="16">
        <v>6971778</v>
      </c>
      <c r="P204" s="26">
        <v>24614</v>
      </c>
    </row>
    <row r="205" spans="1:16" ht="15.75" thickBot="1" x14ac:dyDescent="0.3">
      <c r="A205" s="23">
        <v>45230</v>
      </c>
      <c r="B205" s="10">
        <v>350.01</v>
      </c>
      <c r="C205" s="26">
        <v>22559</v>
      </c>
      <c r="N205" s="23">
        <v>45230</v>
      </c>
      <c r="O205" s="16">
        <v>7237385</v>
      </c>
      <c r="P205" s="26">
        <v>22559</v>
      </c>
    </row>
    <row r="206" spans="1:16" ht="15.75" thickBot="1" x14ac:dyDescent="0.3">
      <c r="A206" s="23">
        <v>45231</v>
      </c>
      <c r="B206" s="10">
        <v>349.99</v>
      </c>
      <c r="C206" s="26">
        <v>21876</v>
      </c>
      <c r="N206" s="23">
        <v>45231</v>
      </c>
      <c r="O206" s="16">
        <v>7450748</v>
      </c>
      <c r="P206" s="26">
        <v>21876</v>
      </c>
    </row>
    <row r="207" spans="1:16" ht="15.75" thickBot="1" x14ac:dyDescent="0.3">
      <c r="A207" s="23">
        <v>45232</v>
      </c>
      <c r="B207" s="10">
        <v>350.03</v>
      </c>
      <c r="C207" s="26">
        <v>21878</v>
      </c>
      <c r="N207" s="23">
        <v>45232</v>
      </c>
      <c r="O207" s="16">
        <v>7554488</v>
      </c>
      <c r="P207" s="26">
        <v>21878</v>
      </c>
    </row>
    <row r="208" spans="1:16" ht="15.75" thickBot="1" x14ac:dyDescent="0.3">
      <c r="A208" s="23">
        <v>45233</v>
      </c>
      <c r="B208" s="10">
        <v>350.03</v>
      </c>
      <c r="C208" s="26">
        <v>21883</v>
      </c>
      <c r="N208" s="23">
        <v>45233</v>
      </c>
      <c r="O208" s="16">
        <v>7694018</v>
      </c>
      <c r="P208" s="26">
        <v>21883</v>
      </c>
    </row>
    <row r="209" spans="1:16" ht="15.75" thickBot="1" x14ac:dyDescent="0.3">
      <c r="A209" s="23">
        <v>45237</v>
      </c>
      <c r="B209" s="10">
        <v>350.03</v>
      </c>
      <c r="C209" s="26">
        <v>20928</v>
      </c>
      <c r="N209" s="23">
        <v>45237</v>
      </c>
      <c r="O209" s="16">
        <v>7688193</v>
      </c>
      <c r="P209" s="26">
        <v>20928</v>
      </c>
    </row>
    <row r="210" spans="1:16" ht="15.75" thickBot="1" x14ac:dyDescent="0.3">
      <c r="A210" s="23">
        <v>45238</v>
      </c>
      <c r="B210" s="10">
        <v>350.03</v>
      </c>
      <c r="C210" s="26">
        <v>20938</v>
      </c>
      <c r="N210" s="23">
        <v>45238</v>
      </c>
      <c r="O210" s="16">
        <v>7672613</v>
      </c>
      <c r="P210" s="26">
        <v>20938</v>
      </c>
    </row>
    <row r="211" spans="1:16" ht="15.75" thickBot="1" x14ac:dyDescent="0.3">
      <c r="A211" s="23">
        <v>45239</v>
      </c>
      <c r="B211" s="10">
        <v>350.03</v>
      </c>
      <c r="C211" s="26">
        <v>20950</v>
      </c>
      <c r="N211" s="23">
        <v>45239</v>
      </c>
      <c r="O211" s="16">
        <v>7669483</v>
      </c>
      <c r="P211" s="26">
        <v>20950</v>
      </c>
    </row>
    <row r="212" spans="1:16" ht="15.75" thickBot="1" x14ac:dyDescent="0.3">
      <c r="A212" s="23">
        <v>45240</v>
      </c>
      <c r="B212" s="10">
        <v>350</v>
      </c>
      <c r="C212" s="26">
        <v>20905</v>
      </c>
      <c r="N212" s="23">
        <v>45240</v>
      </c>
      <c r="O212" s="16">
        <v>7719679</v>
      </c>
      <c r="P212" s="26">
        <v>20905</v>
      </c>
    </row>
    <row r="213" spans="1:16" ht="15.75" thickBot="1" x14ac:dyDescent="0.3">
      <c r="A213" s="23">
        <v>45243</v>
      </c>
      <c r="B213" s="10">
        <v>350.03</v>
      </c>
      <c r="C213" s="26">
        <v>20977</v>
      </c>
      <c r="N213" s="23">
        <v>45243</v>
      </c>
      <c r="O213" s="16">
        <v>7637519</v>
      </c>
      <c r="P213" s="26">
        <v>20977</v>
      </c>
    </row>
    <row r="214" spans="1:16" ht="15.75" thickBot="1" x14ac:dyDescent="0.3">
      <c r="A214" s="23">
        <v>45244</v>
      </c>
      <c r="B214" s="10">
        <v>350.03</v>
      </c>
      <c r="C214" s="26">
        <v>21167</v>
      </c>
      <c r="N214" s="23">
        <v>45244</v>
      </c>
      <c r="O214" s="16">
        <v>7692162</v>
      </c>
      <c r="P214" s="26">
        <v>21167</v>
      </c>
    </row>
    <row r="215" spans="1:16" ht="15.75" thickBot="1" x14ac:dyDescent="0.3">
      <c r="A215" s="23">
        <v>45245</v>
      </c>
      <c r="B215" s="10">
        <v>353.01</v>
      </c>
      <c r="C215" s="26">
        <v>21102</v>
      </c>
      <c r="N215" s="23">
        <v>45245</v>
      </c>
      <c r="O215" s="16">
        <v>7732874</v>
      </c>
      <c r="P215" s="26">
        <v>21102</v>
      </c>
    </row>
    <row r="216" spans="1:16" ht="15.75" thickBot="1" x14ac:dyDescent="0.3">
      <c r="A216" s="23">
        <v>45246</v>
      </c>
      <c r="B216" s="10">
        <v>353.48</v>
      </c>
      <c r="C216" s="26">
        <v>21403</v>
      </c>
      <c r="N216" s="23">
        <v>45246</v>
      </c>
      <c r="O216" s="16">
        <v>7758988</v>
      </c>
      <c r="P216" s="26">
        <v>21403</v>
      </c>
    </row>
    <row r="217" spans="1:16" ht="15.75" thickBot="1" x14ac:dyDescent="0.3">
      <c r="A217" s="23">
        <v>45247</v>
      </c>
      <c r="B217" s="10">
        <v>354.01</v>
      </c>
      <c r="C217" s="26">
        <v>21505</v>
      </c>
      <c r="N217" s="23">
        <v>45247</v>
      </c>
      <c r="O217" s="16">
        <v>7834198</v>
      </c>
      <c r="P217" s="26">
        <v>21505</v>
      </c>
    </row>
    <row r="218" spans="1:16" ht="15.75" thickBot="1" x14ac:dyDescent="0.3">
      <c r="A218" s="23">
        <v>45251</v>
      </c>
      <c r="B218" s="10">
        <v>356.03</v>
      </c>
      <c r="C218" s="26">
        <v>21631</v>
      </c>
      <c r="N218" s="23">
        <v>45251</v>
      </c>
      <c r="O218" s="16">
        <v>7696992</v>
      </c>
      <c r="P218" s="26">
        <v>21631</v>
      </c>
    </row>
    <row r="219" spans="1:16" ht="15.75" thickBot="1" x14ac:dyDescent="0.3">
      <c r="A219" s="23">
        <v>45252</v>
      </c>
      <c r="B219" s="10">
        <v>356.51</v>
      </c>
      <c r="C219" s="26">
        <v>21539</v>
      </c>
      <c r="N219" s="23">
        <v>45252</v>
      </c>
      <c r="O219" s="16">
        <v>7675811</v>
      </c>
      <c r="P219" s="26">
        <v>21539</v>
      </c>
    </row>
    <row r="220" spans="1:16" ht="15.75" thickBot="1" x14ac:dyDescent="0.3">
      <c r="A220" s="23">
        <v>45253</v>
      </c>
      <c r="B220" s="10">
        <v>357.01</v>
      </c>
      <c r="C220" s="26">
        <v>21554</v>
      </c>
      <c r="N220" s="23">
        <v>45253</v>
      </c>
      <c r="O220" s="16">
        <v>7755607</v>
      </c>
      <c r="P220" s="26">
        <v>21554</v>
      </c>
    </row>
    <row r="221" spans="1:16" ht="15.75" thickBot="1" x14ac:dyDescent="0.3">
      <c r="A221" s="23">
        <v>45254</v>
      </c>
      <c r="B221" s="10">
        <v>357.53</v>
      </c>
      <c r="C221" s="26">
        <v>21551</v>
      </c>
      <c r="N221" s="23">
        <v>45254</v>
      </c>
      <c r="O221" s="16">
        <v>7885973</v>
      </c>
      <c r="P221" s="26">
        <v>21551</v>
      </c>
    </row>
    <row r="222" spans="1:16" ht="15.75" thickBot="1" x14ac:dyDescent="0.3">
      <c r="A222" s="23">
        <v>45257</v>
      </c>
      <c r="B222" s="10">
        <v>359.03</v>
      </c>
      <c r="C222" s="26">
        <v>21538</v>
      </c>
      <c r="N222" s="23">
        <v>45257</v>
      </c>
      <c r="O222" s="16">
        <v>7990982</v>
      </c>
      <c r="P222" s="26">
        <v>21538</v>
      </c>
    </row>
    <row r="223" spans="1:16" ht="15.75" thickBot="1" x14ac:dyDescent="0.3">
      <c r="A223" s="23">
        <v>45258</v>
      </c>
      <c r="B223" s="10">
        <v>359.53</v>
      </c>
      <c r="C223" s="26">
        <v>21535</v>
      </c>
      <c r="N223" s="23">
        <v>45258</v>
      </c>
      <c r="O223" s="16">
        <v>8141499</v>
      </c>
      <c r="P223" s="26">
        <v>21535</v>
      </c>
    </row>
    <row r="224" spans="1:16" ht="15.75" thickBot="1" x14ac:dyDescent="0.3">
      <c r="A224" s="23">
        <v>45259</v>
      </c>
      <c r="B224" s="10">
        <v>360.01</v>
      </c>
      <c r="C224" s="26">
        <v>21603</v>
      </c>
      <c r="N224" s="23">
        <v>45259</v>
      </c>
      <c r="O224" s="16">
        <v>7906039</v>
      </c>
      <c r="P224" s="26">
        <v>21603</v>
      </c>
    </row>
    <row r="225" spans="1:16" ht="15.75" thickBot="1" x14ac:dyDescent="0.3">
      <c r="A225" s="23">
        <v>45260</v>
      </c>
      <c r="B225" s="10">
        <v>360.53</v>
      </c>
      <c r="C225" s="26">
        <v>21513</v>
      </c>
      <c r="N225" s="23">
        <v>45260</v>
      </c>
      <c r="O225" s="16">
        <v>8973530</v>
      </c>
      <c r="P225" s="26">
        <v>21513</v>
      </c>
    </row>
    <row r="226" spans="1:16" ht="15.75" thickBot="1" x14ac:dyDescent="0.3">
      <c r="A226" s="23">
        <v>45261</v>
      </c>
      <c r="B226" s="10">
        <v>361.03</v>
      </c>
      <c r="C226" s="26">
        <v>21428</v>
      </c>
      <c r="N226" s="23">
        <v>45261</v>
      </c>
      <c r="O226" s="16">
        <v>8510332</v>
      </c>
      <c r="P226" s="26">
        <v>21428</v>
      </c>
    </row>
    <row r="227" spans="1:16" ht="15.75" thickBot="1" x14ac:dyDescent="0.3">
      <c r="A227" s="23">
        <v>45264</v>
      </c>
      <c r="B227" s="10">
        <v>362.53</v>
      </c>
      <c r="C227" s="26">
        <v>21329</v>
      </c>
      <c r="N227" s="23">
        <v>45264</v>
      </c>
      <c r="O227" s="16">
        <v>8457920</v>
      </c>
      <c r="P227" s="26">
        <v>21329</v>
      </c>
    </row>
    <row r="228" spans="1:16" ht="15.75" thickBot="1" x14ac:dyDescent="0.3">
      <c r="A228" s="23">
        <v>45265</v>
      </c>
      <c r="B228" s="10">
        <v>363.03</v>
      </c>
      <c r="C228" s="26">
        <v>21345</v>
      </c>
      <c r="N228" s="23">
        <v>45265</v>
      </c>
      <c r="O228" s="16">
        <v>8913664</v>
      </c>
      <c r="P228" s="26">
        <v>21345</v>
      </c>
    </row>
    <row r="229" spans="1:16" ht="15.75" thickBot="1" x14ac:dyDescent="0.3">
      <c r="A229" s="23">
        <v>45266</v>
      </c>
      <c r="B229" s="10">
        <v>363.55</v>
      </c>
      <c r="C229" s="26">
        <v>21168</v>
      </c>
      <c r="N229" s="23">
        <v>45266</v>
      </c>
      <c r="O229" s="16">
        <v>8944454</v>
      </c>
      <c r="P229" s="26">
        <v>21168</v>
      </c>
    </row>
    <row r="230" spans="1:16" ht="15.75" thickBot="1" x14ac:dyDescent="0.3">
      <c r="A230" s="23">
        <v>45267</v>
      </c>
      <c r="B230" s="10">
        <v>364.41</v>
      </c>
      <c r="C230" s="26">
        <v>21209</v>
      </c>
      <c r="N230" s="23">
        <v>45267</v>
      </c>
      <c r="O230" s="16">
        <v>10124959</v>
      </c>
      <c r="P230" s="26">
        <v>21209</v>
      </c>
    </row>
    <row r="231" spans="1:16" ht="15.75" thickBot="1" x14ac:dyDescent="0.3">
      <c r="A231" s="23">
        <v>45271</v>
      </c>
      <c r="B231" s="10">
        <v>366</v>
      </c>
      <c r="C231" s="26">
        <v>21017</v>
      </c>
      <c r="N231" s="23">
        <v>45271</v>
      </c>
      <c r="O231" s="16">
        <v>9770222</v>
      </c>
      <c r="P231" s="26">
        <v>21017</v>
      </c>
    </row>
    <row r="232" spans="1:16" ht="15.75" thickBot="1" x14ac:dyDescent="0.3">
      <c r="A232" s="23">
        <v>45272</v>
      </c>
      <c r="B232" s="10">
        <v>366.5</v>
      </c>
      <c r="C232" s="26">
        <v>20920</v>
      </c>
      <c r="N232" s="23">
        <v>45272</v>
      </c>
      <c r="O232" s="16">
        <v>9927997</v>
      </c>
      <c r="P232" s="26">
        <v>20920</v>
      </c>
    </row>
    <row r="233" spans="1:16" ht="15.75" thickBot="1" x14ac:dyDescent="0.3">
      <c r="A233" s="23">
        <v>45273</v>
      </c>
      <c r="B233" s="10">
        <v>799.98</v>
      </c>
      <c r="C233" s="26">
        <v>21133</v>
      </c>
      <c r="N233" s="23">
        <v>45273</v>
      </c>
      <c r="O233" s="16">
        <v>8854100</v>
      </c>
      <c r="P233" s="26">
        <v>21133</v>
      </c>
    </row>
    <row r="234" spans="1:16" ht="15.75" thickBot="1" x14ac:dyDescent="0.3">
      <c r="A234" s="23">
        <v>45274</v>
      </c>
      <c r="B234" s="10">
        <v>800.53</v>
      </c>
      <c r="C234" s="26">
        <v>21499</v>
      </c>
      <c r="N234" s="23">
        <v>45274</v>
      </c>
      <c r="O234" s="16">
        <v>8839974</v>
      </c>
      <c r="P234" s="26">
        <v>21499</v>
      </c>
    </row>
    <row r="235" spans="1:16" ht="15.75" thickBot="1" x14ac:dyDescent="0.3">
      <c r="A235" s="23">
        <v>45275</v>
      </c>
      <c r="B235" s="10">
        <v>801.08</v>
      </c>
      <c r="C235" s="26">
        <v>21451</v>
      </c>
      <c r="N235" s="23">
        <v>45275</v>
      </c>
      <c r="O235" s="16">
        <v>9032404</v>
      </c>
      <c r="P235" s="26">
        <v>21451</v>
      </c>
    </row>
    <row r="236" spans="1:16" ht="15.75" thickBot="1" x14ac:dyDescent="0.3">
      <c r="A236" s="23">
        <v>45278</v>
      </c>
      <c r="B236" s="10">
        <v>802.63</v>
      </c>
      <c r="C236" s="26">
        <v>21477</v>
      </c>
      <c r="N236" s="23">
        <v>45278</v>
      </c>
      <c r="O236" s="16">
        <v>8901432</v>
      </c>
      <c r="P236" s="26">
        <v>21477</v>
      </c>
    </row>
    <row r="237" spans="1:16" ht="15.75" thickBot="1" x14ac:dyDescent="0.3">
      <c r="A237" s="23">
        <v>45279</v>
      </c>
      <c r="B237" s="10">
        <v>803.18</v>
      </c>
      <c r="C237" s="26">
        <v>22663</v>
      </c>
      <c r="N237" s="23">
        <v>45279</v>
      </c>
      <c r="O237" s="16">
        <v>8953095</v>
      </c>
      <c r="P237" s="26">
        <v>22663</v>
      </c>
    </row>
    <row r="238" spans="1:16" ht="15.75" thickBot="1" x14ac:dyDescent="0.3">
      <c r="A238" s="23">
        <v>45280</v>
      </c>
      <c r="B238" s="10">
        <v>803.73</v>
      </c>
      <c r="C238" s="26">
        <v>22758</v>
      </c>
      <c r="N238" s="23">
        <v>45280</v>
      </c>
      <c r="O238" s="16">
        <v>9044980</v>
      </c>
      <c r="P238" s="26">
        <v>22758</v>
      </c>
    </row>
    <row r="239" spans="1:16" ht="15.75" thickBot="1" x14ac:dyDescent="0.3">
      <c r="A239" s="23">
        <v>45281</v>
      </c>
      <c r="B239" s="10">
        <v>804.23</v>
      </c>
      <c r="C239" s="26">
        <v>22209</v>
      </c>
      <c r="N239" s="23">
        <v>45281</v>
      </c>
      <c r="O239" s="16">
        <v>9167600</v>
      </c>
      <c r="P239" s="26">
        <v>22209</v>
      </c>
    </row>
    <row r="240" spans="1:16" ht="15.75" thickBot="1" x14ac:dyDescent="0.3">
      <c r="A240" s="23">
        <v>45282</v>
      </c>
      <c r="B240" s="10">
        <v>804.78</v>
      </c>
      <c r="C240" s="26">
        <v>22581</v>
      </c>
      <c r="N240" s="23">
        <v>45282</v>
      </c>
      <c r="O240" s="16">
        <v>9030905</v>
      </c>
      <c r="P240" s="26">
        <v>22581</v>
      </c>
    </row>
    <row r="241" spans="1:16" ht="15.75" thickBot="1" x14ac:dyDescent="0.3">
      <c r="A241" s="23">
        <v>45286</v>
      </c>
      <c r="B241" s="10">
        <v>806.88</v>
      </c>
      <c r="C241" s="26">
        <v>22571</v>
      </c>
      <c r="N241" s="23">
        <v>45286</v>
      </c>
      <c r="O241" s="16">
        <v>9213444</v>
      </c>
      <c r="P241" s="26">
        <v>22571</v>
      </c>
    </row>
    <row r="242" spans="1:16" ht="15.75" thickBot="1" x14ac:dyDescent="0.3">
      <c r="A242" s="23">
        <v>45287</v>
      </c>
      <c r="B242" s="10">
        <v>807.43</v>
      </c>
      <c r="C242" s="26">
        <v>22763</v>
      </c>
      <c r="N242" s="23">
        <v>45287</v>
      </c>
      <c r="O242" s="16">
        <v>9226815</v>
      </c>
      <c r="P242" s="26">
        <v>22763</v>
      </c>
    </row>
    <row r="243" spans="1:16" ht="15.75" thickBot="1" x14ac:dyDescent="0.3">
      <c r="A243" s="23">
        <v>45288</v>
      </c>
      <c r="B243" s="10">
        <v>807.98</v>
      </c>
      <c r="C243" s="26">
        <v>23125</v>
      </c>
      <c r="N243" s="23">
        <v>45288</v>
      </c>
      <c r="O243" s="16">
        <v>9205744</v>
      </c>
      <c r="P243" s="26">
        <v>23125</v>
      </c>
    </row>
    <row r="244" spans="1:16" ht="15.75" thickBot="1" x14ac:dyDescent="0.3">
      <c r="A244" s="23">
        <v>45289</v>
      </c>
      <c r="B244" s="10">
        <v>808.48</v>
      </c>
      <c r="C244" s="26">
        <v>23073</v>
      </c>
      <c r="N244" s="23">
        <v>45289</v>
      </c>
      <c r="O244" s="16">
        <v>9607992</v>
      </c>
      <c r="P244" s="26">
        <v>23073</v>
      </c>
    </row>
    <row r="245" spans="1:16" ht="15.75" thickBot="1" x14ac:dyDescent="0.3">
      <c r="A245" s="23">
        <v>45293</v>
      </c>
      <c r="B245" s="10">
        <v>810.65</v>
      </c>
      <c r="C245" s="26">
        <v>23470</v>
      </c>
      <c r="N245" s="23">
        <v>45293</v>
      </c>
      <c r="O245" s="16">
        <v>9698733</v>
      </c>
      <c r="P245" s="26">
        <v>23470</v>
      </c>
    </row>
    <row r="246" spans="1:16" ht="15.75" thickBot="1" x14ac:dyDescent="0.3">
      <c r="A246" s="23">
        <v>45294</v>
      </c>
      <c r="B246" s="10">
        <v>811.15</v>
      </c>
      <c r="C246" s="26">
        <v>23677</v>
      </c>
      <c r="N246" s="23">
        <v>45294</v>
      </c>
      <c r="O246" s="16">
        <v>9676236</v>
      </c>
      <c r="P246" s="26">
        <v>23677</v>
      </c>
    </row>
    <row r="247" spans="1:16" ht="15.75" thickBot="1" x14ac:dyDescent="0.3">
      <c r="A247" s="23">
        <v>45295</v>
      </c>
      <c r="B247" s="10">
        <v>811.75</v>
      </c>
      <c r="C247" s="26">
        <v>23835</v>
      </c>
      <c r="N247" s="23">
        <v>45295</v>
      </c>
      <c r="O247" s="16">
        <v>9692584</v>
      </c>
      <c r="P247" s="26">
        <v>23835</v>
      </c>
    </row>
    <row r="248" spans="1:16" ht="15.75" thickBot="1" x14ac:dyDescent="0.3">
      <c r="A248" s="23">
        <v>45296</v>
      </c>
      <c r="B248" s="10">
        <v>812.25</v>
      </c>
      <c r="C248" s="26">
        <v>24119</v>
      </c>
      <c r="N248" s="23">
        <v>45296</v>
      </c>
      <c r="O248" s="16">
        <v>9832701</v>
      </c>
      <c r="P248" s="26">
        <v>24119</v>
      </c>
    </row>
    <row r="249" spans="1:16" ht="15.75" thickBot="1" x14ac:dyDescent="0.3">
      <c r="A249" s="23">
        <v>45299</v>
      </c>
      <c r="B249" s="10">
        <v>813.85</v>
      </c>
      <c r="C249" s="26">
        <v>23233</v>
      </c>
      <c r="N249" s="23">
        <v>45299</v>
      </c>
      <c r="O249" s="16">
        <v>10005620</v>
      </c>
      <c r="P249" s="26">
        <v>23233</v>
      </c>
    </row>
    <row r="250" spans="1:16" ht="15.75" thickBot="1" x14ac:dyDescent="0.3">
      <c r="A250" s="23">
        <v>45300</v>
      </c>
      <c r="B250" s="10">
        <v>814.35</v>
      </c>
      <c r="C250" s="26">
        <v>23286</v>
      </c>
      <c r="N250" s="23">
        <v>45300</v>
      </c>
      <c r="O250" s="16">
        <v>10286320</v>
      </c>
      <c r="P250" s="26">
        <v>23286</v>
      </c>
    </row>
    <row r="251" spans="1:16" ht="15.75" thickBot="1" x14ac:dyDescent="0.3">
      <c r="A251" s="23">
        <v>45301</v>
      </c>
      <c r="B251" s="10">
        <v>814.95</v>
      </c>
      <c r="C251" s="26">
        <v>23411</v>
      </c>
      <c r="N251" s="23">
        <v>45301</v>
      </c>
      <c r="O251" s="16">
        <v>10274059</v>
      </c>
      <c r="P251" s="26">
        <v>23411</v>
      </c>
    </row>
    <row r="252" spans="1:16" ht="15.75" thickBot="1" x14ac:dyDescent="0.3">
      <c r="A252" s="23">
        <v>45302</v>
      </c>
      <c r="B252" s="10">
        <v>815.45</v>
      </c>
      <c r="C252" s="26">
        <v>23571</v>
      </c>
      <c r="N252" s="23">
        <v>45302</v>
      </c>
      <c r="O252" s="16">
        <v>10266635</v>
      </c>
      <c r="P252" s="26">
        <v>23571</v>
      </c>
    </row>
    <row r="253" spans="1:16" ht="15.75" thickBot="1" x14ac:dyDescent="0.3">
      <c r="A253" s="23">
        <v>45303</v>
      </c>
      <c r="B253" s="10">
        <v>816.05</v>
      </c>
      <c r="C253" s="26">
        <v>23980</v>
      </c>
      <c r="N253" s="23">
        <v>45303</v>
      </c>
      <c r="O253" s="16">
        <v>10261901</v>
      </c>
      <c r="P253" s="26">
        <v>23980</v>
      </c>
    </row>
    <row r="254" spans="1:16" ht="15.75" thickBot="1" x14ac:dyDescent="0.3">
      <c r="A254" s="23">
        <v>45306</v>
      </c>
      <c r="B254" s="10">
        <v>817.65</v>
      </c>
      <c r="C254" s="26">
        <v>24001</v>
      </c>
      <c r="N254" s="23">
        <v>45306</v>
      </c>
      <c r="O254" s="16">
        <v>10357211</v>
      </c>
      <c r="P254" s="26">
        <v>24001</v>
      </c>
    </row>
    <row r="255" spans="1:16" ht="15.75" thickBot="1" x14ac:dyDescent="0.3">
      <c r="A255" s="23">
        <v>45307</v>
      </c>
      <c r="B255" s="10">
        <v>818.15</v>
      </c>
      <c r="C255" s="26">
        <v>23972</v>
      </c>
      <c r="N255" s="23">
        <v>45307</v>
      </c>
      <c r="O255" s="16">
        <v>10371251</v>
      </c>
      <c r="P255" s="26">
        <v>23972</v>
      </c>
    </row>
    <row r="256" spans="1:16" ht="15.75" thickBot="1" x14ac:dyDescent="0.3">
      <c r="A256" s="23">
        <v>45308</v>
      </c>
      <c r="B256" s="10">
        <v>818.65</v>
      </c>
      <c r="C256" s="26">
        <v>24167</v>
      </c>
      <c r="N256" s="23">
        <v>45308</v>
      </c>
      <c r="O256" s="16">
        <v>10829100</v>
      </c>
      <c r="P256" s="26">
        <v>24167</v>
      </c>
    </row>
    <row r="257" spans="1:16" ht="15.75" thickBot="1" x14ac:dyDescent="0.3">
      <c r="A257" s="23">
        <v>45309</v>
      </c>
      <c r="B257" s="10">
        <v>819.25</v>
      </c>
      <c r="C257" s="26">
        <v>24300</v>
      </c>
      <c r="N257" s="23">
        <v>45309</v>
      </c>
      <c r="O257" s="16">
        <v>10209034</v>
      </c>
      <c r="P257" s="26">
        <v>24300</v>
      </c>
    </row>
    <row r="258" spans="1:16" ht="15.75" thickBot="1" x14ac:dyDescent="0.3">
      <c r="A258" s="23">
        <v>45310</v>
      </c>
      <c r="B258" s="10">
        <v>819.75</v>
      </c>
      <c r="C258" s="26">
        <v>24427</v>
      </c>
      <c r="N258" s="23">
        <v>45310</v>
      </c>
      <c r="O258" s="16">
        <v>10253476</v>
      </c>
      <c r="P258" s="26">
        <v>24427</v>
      </c>
    </row>
    <row r="259" spans="1:16" ht="15.75" thickBot="1" x14ac:dyDescent="0.3">
      <c r="A259" s="23">
        <v>45313</v>
      </c>
      <c r="B259" s="10">
        <v>821.45</v>
      </c>
      <c r="C259" s="26">
        <v>24488</v>
      </c>
      <c r="N259" s="23">
        <v>45313</v>
      </c>
      <c r="O259" s="16">
        <v>10144159</v>
      </c>
      <c r="P259" s="26">
        <v>24488</v>
      </c>
    </row>
    <row r="260" spans="1:16" ht="15.75" thickBot="1" x14ac:dyDescent="0.3">
      <c r="A260" s="23">
        <v>45314</v>
      </c>
      <c r="B260" s="10">
        <v>821.95</v>
      </c>
      <c r="C260" s="26">
        <v>24675</v>
      </c>
      <c r="N260" s="23">
        <v>45314</v>
      </c>
      <c r="O260" s="16">
        <v>10363492</v>
      </c>
      <c r="P260" s="26">
        <v>24675</v>
      </c>
    </row>
    <row r="261" spans="1:16" ht="15.75" thickBot="1" x14ac:dyDescent="0.3">
      <c r="A261" s="23">
        <v>45315</v>
      </c>
      <c r="B261" s="10">
        <v>822.45</v>
      </c>
      <c r="C261" s="26">
        <v>24848</v>
      </c>
      <c r="N261" s="23">
        <v>45315</v>
      </c>
      <c r="O261" s="16">
        <v>10351652</v>
      </c>
      <c r="P261" s="26">
        <v>24848</v>
      </c>
    </row>
    <row r="262" spans="1:16" ht="15.75" thickBot="1" x14ac:dyDescent="0.3">
      <c r="A262" s="23">
        <v>45316</v>
      </c>
      <c r="B262" s="10">
        <v>823.05</v>
      </c>
      <c r="C262" s="26">
        <v>24859</v>
      </c>
      <c r="N262" s="23">
        <v>45316</v>
      </c>
      <c r="O262" s="16">
        <v>10325641</v>
      </c>
      <c r="P262" s="26">
        <v>24859</v>
      </c>
    </row>
    <row r="263" spans="1:16" ht="15.75" thickBot="1" x14ac:dyDescent="0.3">
      <c r="A263" s="23">
        <v>45317</v>
      </c>
      <c r="B263" s="10">
        <v>823.55</v>
      </c>
      <c r="C263" s="26">
        <v>25007</v>
      </c>
      <c r="N263" s="23">
        <v>45317</v>
      </c>
      <c r="O263" s="16">
        <v>10649618</v>
      </c>
      <c r="P263" s="26">
        <v>25007</v>
      </c>
    </row>
    <row r="264" spans="1:16" ht="15.75" thickBot="1" x14ac:dyDescent="0.3">
      <c r="A264" s="23">
        <v>45320</v>
      </c>
      <c r="B264" s="10">
        <v>825.25</v>
      </c>
      <c r="C264" s="26">
        <v>25158</v>
      </c>
      <c r="N264" s="23">
        <v>45320</v>
      </c>
      <c r="O264" s="16">
        <v>10406173</v>
      </c>
      <c r="P264" s="26">
        <v>25158</v>
      </c>
    </row>
    <row r="265" spans="1:16" ht="15.75" thickBot="1" x14ac:dyDescent="0.3">
      <c r="A265" s="23">
        <v>45321</v>
      </c>
      <c r="B265" s="10">
        <v>825.75</v>
      </c>
      <c r="C265" s="26">
        <v>25105</v>
      </c>
      <c r="N265" s="23">
        <v>45321</v>
      </c>
      <c r="O265" s="16">
        <v>10326024</v>
      </c>
      <c r="P265" s="26">
        <v>25105</v>
      </c>
    </row>
    <row r="266" spans="1:16" ht="15.75" thickBot="1" x14ac:dyDescent="0.3">
      <c r="A266" s="23">
        <v>45322</v>
      </c>
      <c r="B266" s="10">
        <v>826.25</v>
      </c>
      <c r="C266" s="26">
        <v>27642</v>
      </c>
      <c r="N266" s="23">
        <v>45322</v>
      </c>
      <c r="O266" s="16">
        <v>10923532</v>
      </c>
      <c r="P266" s="26">
        <v>27642</v>
      </c>
    </row>
    <row r="267" spans="1:16" ht="15.75" thickBot="1" x14ac:dyDescent="0.3">
      <c r="A267" s="23">
        <v>45323</v>
      </c>
      <c r="B267" s="10">
        <v>826.85</v>
      </c>
      <c r="C267" s="26">
        <v>27072</v>
      </c>
      <c r="N267" s="23">
        <v>45323</v>
      </c>
      <c r="O267" s="16">
        <v>10430278</v>
      </c>
      <c r="P267" s="26">
        <v>27072</v>
      </c>
    </row>
    <row r="268" spans="1:16" ht="15.75" thickBot="1" x14ac:dyDescent="0.3">
      <c r="A268" s="23">
        <v>45324</v>
      </c>
      <c r="B268" s="10">
        <v>827.35</v>
      </c>
      <c r="C268" s="26">
        <v>27016</v>
      </c>
      <c r="N268" s="23">
        <v>45324</v>
      </c>
      <c r="O268" s="16">
        <v>10613776</v>
      </c>
      <c r="P268" s="26">
        <v>27016</v>
      </c>
    </row>
    <row r="269" spans="1:16" ht="15.75" thickBot="1" x14ac:dyDescent="0.3">
      <c r="A269" s="23">
        <v>45327</v>
      </c>
      <c r="B269" s="10">
        <v>829.05</v>
      </c>
      <c r="C269" s="26">
        <v>26991</v>
      </c>
      <c r="N269" s="23">
        <v>45327</v>
      </c>
      <c r="O269" s="16">
        <v>10442517</v>
      </c>
      <c r="P269" s="26">
        <v>26991</v>
      </c>
    </row>
    <row r="270" spans="1:16" ht="15.75" thickBot="1" x14ac:dyDescent="0.3">
      <c r="A270" s="23">
        <v>45328</v>
      </c>
      <c r="B270" s="10">
        <v>829.55</v>
      </c>
      <c r="C270" s="26">
        <v>26414</v>
      </c>
      <c r="N270" s="23">
        <v>45328</v>
      </c>
      <c r="O270" s="16">
        <v>10394760</v>
      </c>
      <c r="P270" s="26">
        <v>26414</v>
      </c>
    </row>
    <row r="271" spans="1:16" ht="15.75" thickBot="1" x14ac:dyDescent="0.3">
      <c r="A271" s="23">
        <v>45329</v>
      </c>
      <c r="B271" s="10">
        <v>830.15</v>
      </c>
      <c r="C271" s="26">
        <v>26483</v>
      </c>
      <c r="N271" s="23">
        <v>45329</v>
      </c>
      <c r="O271" s="16">
        <v>10430577</v>
      </c>
      <c r="P271" s="26">
        <v>26483</v>
      </c>
    </row>
    <row r="272" spans="1:16" ht="15.75" thickBot="1" x14ac:dyDescent="0.3">
      <c r="A272" s="23">
        <v>45330</v>
      </c>
      <c r="B272" s="10">
        <v>830.65</v>
      </c>
      <c r="C272" s="26">
        <v>26377</v>
      </c>
      <c r="N272" s="23">
        <v>45330</v>
      </c>
      <c r="O272" s="16">
        <v>10488814</v>
      </c>
      <c r="P272" s="26">
        <v>26377</v>
      </c>
    </row>
    <row r="273" spans="1:16" ht="15.75" thickBot="1" x14ac:dyDescent="0.3">
      <c r="A273" s="23">
        <v>45331</v>
      </c>
      <c r="B273" s="10">
        <v>831.25</v>
      </c>
      <c r="C273" s="26">
        <v>26502</v>
      </c>
      <c r="N273" s="23">
        <v>45331</v>
      </c>
      <c r="O273" s="16">
        <v>10633243</v>
      </c>
      <c r="P273" s="26">
        <v>26502</v>
      </c>
    </row>
    <row r="274" spans="1:16" ht="15.75" thickBot="1" x14ac:dyDescent="0.3">
      <c r="A274" s="23">
        <v>45336</v>
      </c>
      <c r="B274" s="10">
        <v>833.95</v>
      </c>
      <c r="C274" s="26">
        <v>26603</v>
      </c>
      <c r="N274" s="23">
        <v>45336</v>
      </c>
      <c r="O274" s="16">
        <v>10493206</v>
      </c>
      <c r="P274" s="26">
        <v>26603</v>
      </c>
    </row>
    <row r="275" spans="1:16" ht="15.75" thickBot="1" x14ac:dyDescent="0.3">
      <c r="A275" s="23">
        <v>45337</v>
      </c>
      <c r="B275" s="10">
        <v>834.57</v>
      </c>
      <c r="C275" s="26">
        <v>26641</v>
      </c>
      <c r="N275" s="23">
        <v>45337</v>
      </c>
      <c r="O275" s="16">
        <v>10391159</v>
      </c>
      <c r="P275" s="26">
        <v>26641</v>
      </c>
    </row>
    <row r="276" spans="1:16" ht="15.75" thickBot="1" x14ac:dyDescent="0.3">
      <c r="A276" s="23">
        <v>45338</v>
      </c>
      <c r="B276" s="10">
        <v>835.05</v>
      </c>
      <c r="C276" s="26">
        <v>26860</v>
      </c>
      <c r="N276" s="23">
        <v>45338</v>
      </c>
      <c r="O276" s="16">
        <v>10397490</v>
      </c>
      <c r="P276" s="26">
        <v>26860</v>
      </c>
    </row>
    <row r="277" spans="1:16" ht="15.75" thickBot="1" x14ac:dyDescent="0.3">
      <c r="A277" s="23">
        <v>45341</v>
      </c>
      <c r="B277" s="10">
        <v>836.75</v>
      </c>
      <c r="C277" s="26">
        <v>26859</v>
      </c>
      <c r="N277" s="23">
        <v>45341</v>
      </c>
      <c r="O277" s="16">
        <v>11111551</v>
      </c>
      <c r="P277" s="26">
        <v>26859</v>
      </c>
    </row>
    <row r="278" spans="1:16" ht="15.75" thickBot="1" x14ac:dyDescent="0.3">
      <c r="A278" s="23">
        <v>45342</v>
      </c>
      <c r="B278" s="10">
        <v>837.25</v>
      </c>
      <c r="C278" s="26">
        <v>27104</v>
      </c>
      <c r="N278" s="23">
        <v>45342</v>
      </c>
      <c r="O278" s="16">
        <v>10381534</v>
      </c>
      <c r="P278" s="26">
        <v>27104</v>
      </c>
    </row>
    <row r="279" spans="1:16" ht="15.75" thickBot="1" x14ac:dyDescent="0.3">
      <c r="A279" s="23">
        <v>45343</v>
      </c>
      <c r="B279" s="10">
        <v>837.85</v>
      </c>
      <c r="C279" s="26">
        <v>27140</v>
      </c>
      <c r="N279" s="23">
        <v>45343</v>
      </c>
      <c r="O279" s="16">
        <v>10339788</v>
      </c>
      <c r="P279" s="26">
        <v>27140</v>
      </c>
    </row>
    <row r="280" spans="1:16" ht="15.75" thickBot="1" x14ac:dyDescent="0.3">
      <c r="A280" s="23">
        <v>45344</v>
      </c>
      <c r="B280" s="10">
        <v>838.35</v>
      </c>
      <c r="C280" s="26">
        <v>27347</v>
      </c>
      <c r="N280" s="23">
        <v>45344</v>
      </c>
      <c r="O280" s="16">
        <v>10345424</v>
      </c>
      <c r="P280" s="26">
        <v>27347</v>
      </c>
    </row>
    <row r="281" spans="1:16" ht="15.75" thickBot="1" x14ac:dyDescent="0.3">
      <c r="A281" s="23">
        <v>45345</v>
      </c>
      <c r="B281" s="10">
        <v>838.95</v>
      </c>
      <c r="C281" s="26">
        <v>27485</v>
      </c>
      <c r="N281" s="23">
        <v>45345</v>
      </c>
      <c r="O281" s="16">
        <v>10346909</v>
      </c>
      <c r="P281" s="26">
        <v>27485</v>
      </c>
    </row>
    <row r="282" spans="1:16" ht="15.75" thickBot="1" x14ac:dyDescent="0.3">
      <c r="A282" s="23">
        <v>45348</v>
      </c>
      <c r="B282" s="10">
        <v>840.65</v>
      </c>
      <c r="C282" s="26">
        <v>27490</v>
      </c>
      <c r="N282" s="23">
        <v>45348</v>
      </c>
      <c r="O282" s="16">
        <v>10544290</v>
      </c>
      <c r="P282" s="26">
        <v>27490</v>
      </c>
    </row>
    <row r="283" spans="1:16" ht="15.75" thickBot="1" x14ac:dyDescent="0.3">
      <c r="A283" s="23">
        <v>45349</v>
      </c>
      <c r="B283" s="10">
        <v>841.15</v>
      </c>
      <c r="C283" s="26">
        <v>27558</v>
      </c>
      <c r="N283" s="23">
        <v>45349</v>
      </c>
      <c r="O283" s="16">
        <v>10298380</v>
      </c>
      <c r="P283" s="26">
        <v>27558</v>
      </c>
    </row>
    <row r="284" spans="1:16" ht="15.75" thickBot="1" x14ac:dyDescent="0.3">
      <c r="A284" s="23">
        <v>45350</v>
      </c>
      <c r="B284" s="10">
        <v>841.75</v>
      </c>
      <c r="C284" s="26">
        <v>27597</v>
      </c>
      <c r="N284" s="23">
        <v>45350</v>
      </c>
      <c r="O284" s="16">
        <v>10401212</v>
      </c>
      <c r="P284" s="26">
        <v>27597</v>
      </c>
    </row>
    <row r="285" spans="1:16" ht="15.75" thickBot="1" x14ac:dyDescent="0.3">
      <c r="A285" s="23">
        <v>45351</v>
      </c>
      <c r="B285" s="10">
        <v>842.25</v>
      </c>
      <c r="C285" s="26">
        <v>26690</v>
      </c>
      <c r="N285" s="23">
        <v>45351</v>
      </c>
      <c r="O285" s="16">
        <v>10541474</v>
      </c>
      <c r="P285" s="26">
        <v>26690</v>
      </c>
    </row>
    <row r="286" spans="1:16" ht="15.75" thickBot="1" x14ac:dyDescent="0.3">
      <c r="A286" s="23">
        <v>45352</v>
      </c>
      <c r="B286" s="10">
        <v>842.75</v>
      </c>
      <c r="C286" s="26">
        <v>27334</v>
      </c>
      <c r="N286" s="23">
        <v>45352</v>
      </c>
      <c r="O286" s="16">
        <v>10792565</v>
      </c>
      <c r="P286" s="26">
        <v>27334</v>
      </c>
    </row>
    <row r="287" spans="1:16" ht="15.75" thickBot="1" x14ac:dyDescent="0.3">
      <c r="A287" s="23">
        <v>45355</v>
      </c>
      <c r="B287" s="10">
        <v>844.25</v>
      </c>
      <c r="C287" s="26">
        <v>27641</v>
      </c>
      <c r="N287" s="23">
        <v>45355</v>
      </c>
      <c r="O287" s="16">
        <v>10767977</v>
      </c>
      <c r="P287" s="26">
        <v>27641</v>
      </c>
    </row>
    <row r="288" spans="1:16" ht="15.75" thickBot="1" x14ac:dyDescent="0.3">
      <c r="A288" s="23">
        <v>45356</v>
      </c>
      <c r="B288" s="10">
        <v>845.25</v>
      </c>
      <c r="C288" s="26">
        <v>27755</v>
      </c>
      <c r="N288" s="23">
        <v>45356</v>
      </c>
      <c r="O288" s="16">
        <v>10643741</v>
      </c>
      <c r="P288" s="26">
        <v>27755</v>
      </c>
    </row>
    <row r="289" spans="1:16" ht="15.75" thickBot="1" x14ac:dyDescent="0.3">
      <c r="A289" s="23">
        <v>45357</v>
      </c>
      <c r="B289" s="10">
        <v>845.75</v>
      </c>
      <c r="C289" s="26">
        <v>27854</v>
      </c>
      <c r="N289" s="23">
        <v>45357</v>
      </c>
      <c r="O289" s="16">
        <v>10597459</v>
      </c>
      <c r="P289" s="26">
        <v>27854</v>
      </c>
    </row>
    <row r="290" spans="1:16" ht="15.75" thickBot="1" x14ac:dyDescent="0.3">
      <c r="A290" s="23">
        <v>45358</v>
      </c>
      <c r="B290" s="10">
        <v>846.25</v>
      </c>
      <c r="C290" s="26">
        <v>28049</v>
      </c>
      <c r="N290" s="23">
        <v>45358</v>
      </c>
      <c r="O290" s="16">
        <v>10768972</v>
      </c>
      <c r="P290" s="26">
        <v>28049</v>
      </c>
    </row>
    <row r="291" spans="1:16" ht="15.75" thickBot="1" x14ac:dyDescent="0.3">
      <c r="A291" s="23">
        <v>45359</v>
      </c>
      <c r="B291" s="10">
        <v>846.75</v>
      </c>
      <c r="C291" s="26">
        <v>28221</v>
      </c>
      <c r="N291" s="23">
        <v>45359</v>
      </c>
      <c r="O291" s="16">
        <v>10830171</v>
      </c>
      <c r="P291" s="26">
        <v>28221</v>
      </c>
    </row>
    <row r="292" spans="1:16" ht="15.75" thickBot="1" x14ac:dyDescent="0.3">
      <c r="A292" s="23">
        <v>45362</v>
      </c>
      <c r="B292" s="10">
        <v>848.25</v>
      </c>
      <c r="C292" s="26">
        <v>28296</v>
      </c>
      <c r="N292" s="23">
        <v>45362</v>
      </c>
      <c r="O292" s="16">
        <v>10823785</v>
      </c>
      <c r="P292" s="26">
        <v>28296</v>
      </c>
    </row>
    <row r="293" spans="1:16" ht="15.75" thickBot="1" x14ac:dyDescent="0.3">
      <c r="A293" s="23">
        <v>45363</v>
      </c>
      <c r="B293" s="10">
        <v>848.75</v>
      </c>
      <c r="C293" s="26">
        <v>28272</v>
      </c>
      <c r="N293" s="23">
        <v>45363</v>
      </c>
      <c r="O293" s="16">
        <v>10795498</v>
      </c>
      <c r="P293" s="26">
        <v>28272</v>
      </c>
    </row>
    <row r="294" spans="1:16" ht="15.75" thickBot="1" x14ac:dyDescent="0.3">
      <c r="A294" s="23">
        <v>45364</v>
      </c>
      <c r="B294" s="10">
        <v>849.75</v>
      </c>
      <c r="C294" s="26">
        <v>28488</v>
      </c>
      <c r="N294" s="23">
        <v>45364</v>
      </c>
      <c r="O294" s="16">
        <v>10801122</v>
      </c>
      <c r="P294" s="26">
        <v>28488</v>
      </c>
    </row>
    <row r="295" spans="1:16" ht="15.75" thickBot="1" x14ac:dyDescent="0.3">
      <c r="A295" s="23">
        <v>45365</v>
      </c>
      <c r="B295" s="10">
        <v>850.25</v>
      </c>
      <c r="C295" s="26">
        <v>28489</v>
      </c>
      <c r="N295" s="23">
        <v>45365</v>
      </c>
      <c r="O295" s="16">
        <v>10479341</v>
      </c>
      <c r="P295" s="26">
        <v>28489</v>
      </c>
    </row>
    <row r="296" spans="1:16" ht="15.75" thickBot="1" x14ac:dyDescent="0.3">
      <c r="A296" s="23">
        <v>45366</v>
      </c>
      <c r="B296" s="10">
        <v>850.75</v>
      </c>
      <c r="C296" s="26">
        <v>28209</v>
      </c>
      <c r="N296" s="23">
        <v>45366</v>
      </c>
      <c r="O296" s="16">
        <v>10505532</v>
      </c>
      <c r="P296" s="26">
        <v>28209</v>
      </c>
    </row>
    <row r="297" spans="1:16" ht="15.75" thickBot="1" x14ac:dyDescent="0.3">
      <c r="A297" s="23">
        <v>45369</v>
      </c>
      <c r="B297" s="10">
        <v>852.25</v>
      </c>
      <c r="C297" s="26">
        <v>28176</v>
      </c>
      <c r="N297" s="23">
        <v>45369</v>
      </c>
      <c r="O297" s="16">
        <v>10556634</v>
      </c>
      <c r="P297" s="26">
        <v>28176</v>
      </c>
    </row>
    <row r="298" spans="1:16" ht="15.75" thickBot="1" x14ac:dyDescent="0.3">
      <c r="A298" s="23">
        <v>45370</v>
      </c>
      <c r="B298" s="10">
        <v>852.75</v>
      </c>
      <c r="C298" s="26">
        <v>27979</v>
      </c>
      <c r="N298" s="23">
        <v>45370</v>
      </c>
      <c r="O298" s="16">
        <v>10590711</v>
      </c>
      <c r="P298" s="26">
        <v>27979</v>
      </c>
    </row>
    <row r="299" spans="1:16" ht="15.75" thickBot="1" x14ac:dyDescent="0.3">
      <c r="A299" s="23">
        <v>45371</v>
      </c>
      <c r="B299" s="10">
        <v>853.25</v>
      </c>
      <c r="C299" s="26">
        <v>28041</v>
      </c>
      <c r="N299" s="23">
        <v>45371</v>
      </c>
      <c r="O299" s="16">
        <v>11249647</v>
      </c>
      <c r="P299" s="26">
        <v>28041</v>
      </c>
    </row>
    <row r="300" spans="1:16" ht="15.75" thickBot="1" x14ac:dyDescent="0.3">
      <c r="A300" s="23">
        <v>45372</v>
      </c>
      <c r="B300" s="10">
        <v>854.25</v>
      </c>
      <c r="C300" s="26">
        <v>28107</v>
      </c>
      <c r="N300" s="23">
        <v>45372</v>
      </c>
      <c r="O300" s="16">
        <v>10826223</v>
      </c>
      <c r="P300" s="26">
        <v>28107</v>
      </c>
    </row>
    <row r="301" spans="1:16" ht="15.75" thickBot="1" x14ac:dyDescent="0.3">
      <c r="A301" s="23">
        <v>45373</v>
      </c>
      <c r="B301" s="10">
        <v>854.75</v>
      </c>
      <c r="C301" s="26">
        <v>28025</v>
      </c>
      <c r="N301" s="23">
        <v>45373</v>
      </c>
      <c r="O301" s="16">
        <v>11319773</v>
      </c>
      <c r="P301" s="26">
        <v>28025</v>
      </c>
    </row>
    <row r="302" spans="1:16" ht="15.75" thickBot="1" x14ac:dyDescent="0.3">
      <c r="A302" s="23">
        <v>45376</v>
      </c>
      <c r="B302" s="10">
        <v>856.25</v>
      </c>
      <c r="C302" s="26">
        <v>28266</v>
      </c>
      <c r="N302" s="23">
        <v>45376</v>
      </c>
      <c r="O302" s="16">
        <v>11191441</v>
      </c>
      <c r="P302" s="26">
        <v>28266</v>
      </c>
    </row>
    <row r="303" spans="1:16" ht="15.75" thickBot="1" x14ac:dyDescent="0.3">
      <c r="A303" s="23">
        <v>45377</v>
      </c>
      <c r="B303" s="10">
        <v>856.75</v>
      </c>
      <c r="C303" s="26">
        <v>27644</v>
      </c>
      <c r="N303" s="23">
        <v>45377</v>
      </c>
      <c r="O303" s="16">
        <v>11232990</v>
      </c>
      <c r="P303" s="26">
        <v>27644</v>
      </c>
    </row>
    <row r="304" spans="1:16" ht="15.75" thickBot="1" x14ac:dyDescent="0.3">
      <c r="A304" s="23">
        <v>45378</v>
      </c>
      <c r="B304" s="10">
        <v>857.42</v>
      </c>
      <c r="C304" s="26">
        <v>27127</v>
      </c>
      <c r="N304" s="23">
        <v>45378</v>
      </c>
      <c r="O304" s="16">
        <v>12463695</v>
      </c>
      <c r="P304" s="26">
        <v>27127</v>
      </c>
    </row>
    <row r="305" spans="1:16" ht="15.75" thickBot="1" x14ac:dyDescent="0.3">
      <c r="A305" s="23">
        <v>45385</v>
      </c>
      <c r="B305" s="10">
        <v>861.25</v>
      </c>
      <c r="C305" s="26">
        <v>27882</v>
      </c>
      <c r="N305" s="23">
        <v>45385</v>
      </c>
      <c r="O305" s="16">
        <v>11604677</v>
      </c>
      <c r="P305" s="26">
        <v>27882</v>
      </c>
    </row>
    <row r="306" spans="1:16" ht="15.75" thickBot="1" x14ac:dyDescent="0.3">
      <c r="A306" s="23">
        <v>45386</v>
      </c>
      <c r="B306" s="10">
        <v>861.75</v>
      </c>
      <c r="C306" s="26">
        <v>28400</v>
      </c>
      <c r="N306" s="23">
        <v>45386</v>
      </c>
      <c r="O306" s="16">
        <v>11600629</v>
      </c>
      <c r="P306" s="26">
        <v>28400</v>
      </c>
    </row>
    <row r="307" spans="1:16" ht="15.75" thickBot="1" x14ac:dyDescent="0.3">
      <c r="A307" s="23">
        <v>45387</v>
      </c>
      <c r="B307" s="10">
        <v>862.75</v>
      </c>
      <c r="C307" s="26">
        <v>28765</v>
      </c>
      <c r="N307" s="23">
        <v>45387</v>
      </c>
      <c r="O307" s="16">
        <v>11744788</v>
      </c>
      <c r="P307" s="26">
        <v>28765</v>
      </c>
    </row>
    <row r="308" spans="1:16" ht="15.75" thickBot="1" x14ac:dyDescent="0.3">
      <c r="A308" s="23">
        <v>45390</v>
      </c>
      <c r="B308" s="10">
        <v>864.25</v>
      </c>
      <c r="C308" s="26">
        <v>28904</v>
      </c>
      <c r="N308" s="23">
        <v>45390</v>
      </c>
      <c r="O308" s="16">
        <v>11627333</v>
      </c>
      <c r="P308" s="26">
        <v>28904</v>
      </c>
    </row>
    <row r="309" spans="1:16" ht="15.75" thickBot="1" x14ac:dyDescent="0.3">
      <c r="A309" s="23">
        <v>45391</v>
      </c>
      <c r="B309" s="10">
        <v>864.75</v>
      </c>
      <c r="C309" s="26">
        <v>29043</v>
      </c>
      <c r="N309" s="23">
        <v>45391</v>
      </c>
      <c r="O309" s="16">
        <v>11668345</v>
      </c>
      <c r="P309" s="26">
        <v>29043</v>
      </c>
    </row>
    <row r="310" spans="1:16" ht="15.75" thickBot="1" x14ac:dyDescent="0.3">
      <c r="A310" s="23">
        <v>45392</v>
      </c>
      <c r="B310" s="10">
        <v>865.25</v>
      </c>
      <c r="C310" s="26">
        <v>29047</v>
      </c>
      <c r="N310" s="23">
        <v>45392</v>
      </c>
      <c r="O310" s="16">
        <v>11645675</v>
      </c>
      <c r="P310" s="26">
        <v>29047</v>
      </c>
    </row>
    <row r="311" spans="1:16" ht="15.75" thickBot="1" x14ac:dyDescent="0.3">
      <c r="A311" s="23">
        <v>45393</v>
      </c>
      <c r="B311" s="10">
        <v>865.75</v>
      </c>
      <c r="C311" s="26">
        <v>29181</v>
      </c>
      <c r="N311" s="23">
        <v>45393</v>
      </c>
      <c r="O311" s="16">
        <v>11820859</v>
      </c>
      <c r="P311" s="26">
        <v>29181</v>
      </c>
    </row>
    <row r="312" spans="1:16" ht="15.75" thickBot="1" x14ac:dyDescent="0.3">
      <c r="A312" s="23">
        <v>45394</v>
      </c>
      <c r="B312" s="10">
        <v>866.75</v>
      </c>
      <c r="C312" s="26">
        <v>29321</v>
      </c>
      <c r="N312" s="23">
        <v>45394</v>
      </c>
      <c r="O312" s="16">
        <v>12224079</v>
      </c>
      <c r="P312" s="26">
        <v>29321</v>
      </c>
    </row>
    <row r="313" spans="1:16" ht="15.75" thickBot="1" x14ac:dyDescent="0.3">
      <c r="A313" s="23">
        <v>45397</v>
      </c>
      <c r="B313" s="10">
        <v>868.25</v>
      </c>
      <c r="C313" s="26">
        <v>29240</v>
      </c>
      <c r="N313" s="23">
        <v>45397</v>
      </c>
      <c r="O313" s="16">
        <v>12377194</v>
      </c>
      <c r="P313" s="26">
        <v>29240</v>
      </c>
    </row>
    <row r="314" spans="1:16" ht="15.75" thickBot="1" x14ac:dyDescent="0.3">
      <c r="A314" s="23">
        <v>45398</v>
      </c>
      <c r="B314" s="10">
        <v>868.75</v>
      </c>
      <c r="C314" s="26">
        <v>29360</v>
      </c>
      <c r="N314" s="23">
        <v>45398</v>
      </c>
      <c r="O314" s="16">
        <v>12674554</v>
      </c>
      <c r="P314" s="26">
        <v>29360</v>
      </c>
    </row>
    <row r="315" spans="1:16" ht="15.75" thickBot="1" x14ac:dyDescent="0.3">
      <c r="A315" s="23">
        <v>45399</v>
      </c>
      <c r="B315" s="10">
        <v>869.25</v>
      </c>
      <c r="C315" s="26">
        <v>29471</v>
      </c>
      <c r="N315" s="23">
        <v>45399</v>
      </c>
      <c r="O315" s="16">
        <v>12639839</v>
      </c>
      <c r="P315" s="26">
        <v>29471</v>
      </c>
    </row>
    <row r="316" spans="1:16" ht="15.75" thickBot="1" x14ac:dyDescent="0.3">
      <c r="A316" s="23">
        <v>45400</v>
      </c>
      <c r="B316" s="10">
        <v>869.75</v>
      </c>
      <c r="C316" s="26">
        <v>29717</v>
      </c>
      <c r="N316" s="23">
        <v>45400</v>
      </c>
      <c r="O316" s="16">
        <v>12681030</v>
      </c>
      <c r="P316" s="26">
        <v>29717</v>
      </c>
    </row>
    <row r="317" spans="1:16" ht="15.75" thickBot="1" x14ac:dyDescent="0.3">
      <c r="A317" s="23">
        <v>45401</v>
      </c>
      <c r="B317" s="10">
        <v>870.75</v>
      </c>
      <c r="C317" s="26">
        <v>29850</v>
      </c>
      <c r="N317" s="23">
        <v>45401</v>
      </c>
      <c r="O317" s="16">
        <v>13156723</v>
      </c>
      <c r="P317" s="26">
        <v>29850</v>
      </c>
    </row>
    <row r="318" spans="1:16" ht="15.75" thickBot="1" x14ac:dyDescent="0.3">
      <c r="A318" s="23">
        <v>45404</v>
      </c>
      <c r="B318" s="10">
        <v>872.25</v>
      </c>
      <c r="C318" s="26">
        <v>29907</v>
      </c>
      <c r="N318" s="23">
        <v>45404</v>
      </c>
      <c r="O318" s="16">
        <v>13180870</v>
      </c>
      <c r="P318" s="26">
        <v>29907</v>
      </c>
    </row>
    <row r="319" spans="1:16" ht="15.75" thickBot="1" x14ac:dyDescent="0.3">
      <c r="A319" s="23">
        <v>45405</v>
      </c>
      <c r="B319" s="10">
        <v>872.75</v>
      </c>
      <c r="C319" s="26">
        <v>29899</v>
      </c>
      <c r="N319" s="23">
        <v>45405</v>
      </c>
      <c r="O319" s="16">
        <v>13306320</v>
      </c>
      <c r="P319" s="26">
        <v>29899</v>
      </c>
    </row>
    <row r="320" spans="1:16" ht="15.75" thickBot="1" x14ac:dyDescent="0.3">
      <c r="A320" s="23">
        <v>45406</v>
      </c>
      <c r="B320" s="10">
        <v>873.25</v>
      </c>
      <c r="C320" s="26">
        <v>30023</v>
      </c>
      <c r="N320" s="23">
        <v>45406</v>
      </c>
      <c r="O320" s="16">
        <v>13344121</v>
      </c>
      <c r="P320" s="26">
        <v>30023</v>
      </c>
    </row>
    <row r="321" spans="1:16" ht="15.75" thickBot="1" x14ac:dyDescent="0.3">
      <c r="A321" s="23">
        <v>45407</v>
      </c>
      <c r="B321" s="10">
        <v>873.75</v>
      </c>
      <c r="C321" s="26">
        <v>30096</v>
      </c>
      <c r="N321" s="23">
        <v>45407</v>
      </c>
      <c r="O321" s="16">
        <v>13540291</v>
      </c>
      <c r="P321" s="26">
        <v>30096</v>
      </c>
    </row>
    <row r="322" spans="1:16" ht="15.75" thickBot="1" x14ac:dyDescent="0.3">
      <c r="A322" s="23">
        <v>45408</v>
      </c>
      <c r="B322" s="10">
        <v>874.75</v>
      </c>
      <c r="C322" s="26">
        <v>30141</v>
      </c>
      <c r="N322" s="23">
        <v>45408</v>
      </c>
      <c r="O322" s="16">
        <v>13672428</v>
      </c>
      <c r="P322" s="26">
        <v>30141</v>
      </c>
    </row>
    <row r="323" spans="1:16" ht="15.75" thickBot="1" x14ac:dyDescent="0.3">
      <c r="A323" s="23">
        <v>45411</v>
      </c>
      <c r="B323" s="10">
        <v>876.42</v>
      </c>
      <c r="C323" s="26">
        <v>29869</v>
      </c>
      <c r="N323" s="23">
        <v>45411</v>
      </c>
      <c r="O323" s="16">
        <v>14034425</v>
      </c>
      <c r="P323" s="26">
        <v>29869</v>
      </c>
    </row>
    <row r="324" spans="1:16" ht="15.75" thickBot="1" x14ac:dyDescent="0.3">
      <c r="A324" s="23">
        <v>45412</v>
      </c>
      <c r="B324" s="10">
        <v>876.75</v>
      </c>
      <c r="C324" s="26">
        <v>27578</v>
      </c>
      <c r="N324" s="23">
        <v>45412</v>
      </c>
      <c r="O324" s="16">
        <v>14969070</v>
      </c>
      <c r="P324" s="26">
        <v>27578</v>
      </c>
    </row>
    <row r="325" spans="1:16" ht="15.75" thickBot="1" x14ac:dyDescent="0.3">
      <c r="A325" s="23">
        <v>45414</v>
      </c>
      <c r="B325" s="10">
        <v>878.25</v>
      </c>
      <c r="C325" s="26">
        <v>28200</v>
      </c>
      <c r="N325" s="23">
        <v>45414</v>
      </c>
      <c r="O325" s="16">
        <v>13245377</v>
      </c>
      <c r="P325" s="26">
        <v>28200</v>
      </c>
    </row>
    <row r="326" spans="1:16" ht="15.75" thickBot="1" x14ac:dyDescent="0.3">
      <c r="A326" s="23">
        <v>45415</v>
      </c>
      <c r="B326" s="10">
        <v>878.75</v>
      </c>
      <c r="C326" s="26">
        <v>28381</v>
      </c>
      <c r="N326" s="23">
        <v>45415</v>
      </c>
      <c r="O326" s="16">
        <v>13375995</v>
      </c>
      <c r="P326" s="26">
        <v>28381</v>
      </c>
    </row>
    <row r="327" spans="1:16" ht="15.75" thickBot="1" x14ac:dyDescent="0.3">
      <c r="A327" s="23">
        <v>45418</v>
      </c>
      <c r="B327" s="10">
        <v>880.25</v>
      </c>
      <c r="C327" s="26">
        <v>27688</v>
      </c>
      <c r="N327" s="23">
        <v>45418</v>
      </c>
      <c r="O327" s="16">
        <v>13533488</v>
      </c>
      <c r="P327" s="26">
        <v>27688</v>
      </c>
    </row>
    <row r="328" spans="1:16" ht="15.75" thickBot="1" x14ac:dyDescent="0.3">
      <c r="A328" s="23">
        <v>45419</v>
      </c>
      <c r="B328" s="10">
        <v>880.75</v>
      </c>
      <c r="C328" s="26">
        <v>27791</v>
      </c>
      <c r="N328" s="23">
        <v>45419</v>
      </c>
      <c r="O328" s="16">
        <v>13474015</v>
      </c>
      <c r="P328" s="26">
        <v>27791</v>
      </c>
    </row>
    <row r="329" spans="1:16" ht="15.75" thickBot="1" x14ac:dyDescent="0.3">
      <c r="A329" s="23">
        <v>45420</v>
      </c>
      <c r="B329" s="10">
        <v>881.75</v>
      </c>
      <c r="C329" s="26">
        <v>27967</v>
      </c>
      <c r="N329" s="23">
        <v>45420</v>
      </c>
      <c r="O329" s="16">
        <v>13946583</v>
      </c>
      <c r="P329" s="26">
        <v>27967</v>
      </c>
    </row>
    <row r="330" spans="1:16" ht="15.75" thickBot="1" x14ac:dyDescent="0.3">
      <c r="A330" s="23">
        <v>45421</v>
      </c>
      <c r="B330" s="10">
        <v>882.25</v>
      </c>
      <c r="C330" s="26">
        <v>28037</v>
      </c>
      <c r="N330" s="23">
        <v>45421</v>
      </c>
      <c r="O330" s="16">
        <v>13888653</v>
      </c>
      <c r="P330" s="26">
        <v>28037</v>
      </c>
    </row>
    <row r="331" spans="1:16" ht="15.75" thickBot="1" x14ac:dyDescent="0.3">
      <c r="A331" s="23">
        <v>45422</v>
      </c>
      <c r="B331" s="10">
        <v>882.75</v>
      </c>
      <c r="C331" s="26">
        <v>28361</v>
      </c>
      <c r="N331" s="23">
        <v>45422</v>
      </c>
      <c r="O331" s="16">
        <v>13971064</v>
      </c>
      <c r="P331" s="26">
        <v>28361</v>
      </c>
    </row>
    <row r="332" spans="1:16" ht="15.75" thickBot="1" x14ac:dyDescent="0.3">
      <c r="A332" s="23">
        <v>45425</v>
      </c>
      <c r="B332" s="10">
        <v>884.25</v>
      </c>
      <c r="C332" s="26">
        <v>28325</v>
      </c>
      <c r="N332" s="23">
        <v>45425</v>
      </c>
      <c r="O332" s="16">
        <v>14005521</v>
      </c>
      <c r="P332" s="26">
        <v>28325</v>
      </c>
    </row>
    <row r="333" spans="1:16" ht="15.75" thickBot="1" x14ac:dyDescent="0.3">
      <c r="A333" s="23">
        <v>45426</v>
      </c>
      <c r="B333" s="10">
        <v>885.25</v>
      </c>
      <c r="C333" s="26">
        <v>28368</v>
      </c>
      <c r="N333" s="23">
        <v>45426</v>
      </c>
      <c r="O333" s="16">
        <v>14125646</v>
      </c>
      <c r="P333" s="26">
        <v>28368</v>
      </c>
    </row>
    <row r="334" spans="1:16" ht="15.75" thickBot="1" x14ac:dyDescent="0.3">
      <c r="A334" s="23">
        <v>45427</v>
      </c>
      <c r="B334" s="10">
        <v>885.75</v>
      </c>
      <c r="C334" s="26">
        <v>28271</v>
      </c>
      <c r="N334" s="23">
        <v>45427</v>
      </c>
      <c r="O334" s="16">
        <v>15938665</v>
      </c>
      <c r="P334" s="26">
        <v>28271</v>
      </c>
    </row>
    <row r="335" spans="1:16" ht="15.75" thickBot="1" x14ac:dyDescent="0.3">
      <c r="A335" s="23">
        <v>45428</v>
      </c>
      <c r="B335" s="10">
        <v>886.25</v>
      </c>
      <c r="C335" s="26">
        <v>28576</v>
      </c>
      <c r="N335" s="23">
        <v>45428</v>
      </c>
      <c r="O335" s="16">
        <v>15817730</v>
      </c>
      <c r="P335" s="26">
        <v>28576</v>
      </c>
    </row>
    <row r="336" spans="1:16" ht="15.75" thickBot="1" x14ac:dyDescent="0.3">
      <c r="A336" s="23">
        <v>45429</v>
      </c>
      <c r="B336" s="10">
        <v>886.75</v>
      </c>
      <c r="C336" s="26">
        <v>28801</v>
      </c>
      <c r="N336" s="23">
        <v>45429</v>
      </c>
      <c r="O336" s="16">
        <v>15826106</v>
      </c>
      <c r="P336" s="26">
        <v>28801</v>
      </c>
    </row>
    <row r="337" spans="1:16" ht="15.75" thickBot="1" x14ac:dyDescent="0.3">
      <c r="A337" s="23">
        <v>45432</v>
      </c>
      <c r="B337" s="10">
        <v>888.75</v>
      </c>
      <c r="C337" s="26">
        <v>28899</v>
      </c>
      <c r="N337" s="23">
        <v>45432</v>
      </c>
      <c r="O337" s="16">
        <v>18070534</v>
      </c>
      <c r="P337" s="26">
        <v>28899</v>
      </c>
    </row>
    <row r="338" spans="1:16" ht="15.75" thickBot="1" x14ac:dyDescent="0.3">
      <c r="A338" s="23">
        <v>45433</v>
      </c>
      <c r="B338" s="10">
        <v>889.25</v>
      </c>
      <c r="C338" s="26">
        <v>29062</v>
      </c>
      <c r="N338" s="23">
        <v>45433</v>
      </c>
      <c r="O338" s="16">
        <v>15122360</v>
      </c>
      <c r="P338" s="26">
        <v>29062</v>
      </c>
    </row>
    <row r="339" spans="1:16" ht="15.75" thickBot="1" x14ac:dyDescent="0.3">
      <c r="A339" s="23">
        <v>45434</v>
      </c>
      <c r="B339" s="10">
        <v>889.75</v>
      </c>
      <c r="C339" s="26">
        <v>29081</v>
      </c>
      <c r="N339" s="23">
        <v>45434</v>
      </c>
      <c r="O339" s="16">
        <v>14565256</v>
      </c>
      <c r="P339" s="26">
        <v>29081</v>
      </c>
    </row>
    <row r="340" spans="1:16" ht="15.75" thickBot="1" x14ac:dyDescent="0.3">
      <c r="A340" s="23">
        <v>45435</v>
      </c>
      <c r="B340" s="10">
        <v>890.25</v>
      </c>
      <c r="C340" s="26">
        <v>29005</v>
      </c>
      <c r="N340" s="23">
        <v>45435</v>
      </c>
      <c r="O340" s="16">
        <v>14674456</v>
      </c>
      <c r="P340" s="26">
        <v>29005</v>
      </c>
    </row>
    <row r="341" spans="1:16" ht="15.75" thickBot="1" x14ac:dyDescent="0.3">
      <c r="A341" s="23">
        <v>45436</v>
      </c>
      <c r="B341" s="10">
        <v>890.75</v>
      </c>
      <c r="C341" s="26">
        <v>29116</v>
      </c>
      <c r="N341" s="23">
        <v>45436</v>
      </c>
      <c r="O341" s="16">
        <v>14959700</v>
      </c>
      <c r="P341" s="26">
        <v>29116</v>
      </c>
    </row>
    <row r="342" spans="1:16" ht="15.75" thickBot="1" x14ac:dyDescent="0.3">
      <c r="A342" s="23">
        <v>45439</v>
      </c>
      <c r="B342" s="10">
        <v>892.75</v>
      </c>
      <c r="C342" s="26">
        <v>29157</v>
      </c>
      <c r="N342" s="23">
        <v>45439</v>
      </c>
      <c r="O342" s="16">
        <v>15234098</v>
      </c>
      <c r="P342" s="26">
        <v>29157</v>
      </c>
    </row>
    <row r="343" spans="1:16" ht="15.75" thickBot="1" x14ac:dyDescent="0.3">
      <c r="A343" s="23">
        <v>45440</v>
      </c>
      <c r="B343" s="10">
        <v>893.25</v>
      </c>
      <c r="C343" s="26">
        <v>29186</v>
      </c>
      <c r="N343" s="23">
        <v>45440</v>
      </c>
      <c r="O343" s="16">
        <v>15478305</v>
      </c>
      <c r="P343" s="26">
        <v>29186</v>
      </c>
    </row>
    <row r="344" spans="1:16" ht="15.75" thickBot="1" x14ac:dyDescent="0.3">
      <c r="A344" s="23">
        <v>45441</v>
      </c>
      <c r="B344" s="10">
        <v>893.75</v>
      </c>
      <c r="C344" s="26">
        <v>29191</v>
      </c>
      <c r="N344" s="23">
        <v>45441</v>
      </c>
      <c r="O344" s="16">
        <v>15568957</v>
      </c>
      <c r="P344" s="26">
        <v>29191</v>
      </c>
    </row>
    <row r="345" spans="1:16" ht="15.75" thickBot="1" x14ac:dyDescent="0.3">
      <c r="A345" s="23">
        <v>45442</v>
      </c>
      <c r="B345" s="10">
        <v>894.25</v>
      </c>
      <c r="C345" s="26">
        <v>29066</v>
      </c>
      <c r="N345" s="23">
        <v>45442</v>
      </c>
      <c r="O345" s="16">
        <v>15927363</v>
      </c>
      <c r="P345" s="26">
        <v>29066</v>
      </c>
    </row>
    <row r="346" spans="1:16" ht="15.75" thickBot="1" x14ac:dyDescent="0.3">
      <c r="A346" s="23">
        <v>45443</v>
      </c>
      <c r="B346" s="10">
        <v>895.25</v>
      </c>
      <c r="C346" s="26">
        <v>28664</v>
      </c>
      <c r="N346" s="23">
        <v>45443</v>
      </c>
      <c r="O346" s="16">
        <v>17151691</v>
      </c>
      <c r="P346" s="26">
        <v>28664</v>
      </c>
    </row>
    <row r="347" spans="1:16" ht="15.75" thickBot="1" x14ac:dyDescent="0.3">
      <c r="A347" s="23">
        <v>45446</v>
      </c>
      <c r="B347" s="10">
        <v>896.42</v>
      </c>
      <c r="C347" s="26">
        <v>29134</v>
      </c>
      <c r="N347" s="23">
        <v>45446</v>
      </c>
      <c r="O347" s="16">
        <v>16701852</v>
      </c>
      <c r="P347" s="26">
        <v>29134</v>
      </c>
    </row>
    <row r="348" spans="1:16" ht="15.75" thickBot="1" x14ac:dyDescent="0.3">
      <c r="A348" s="23">
        <v>45447</v>
      </c>
      <c r="B348" s="10">
        <v>896.92</v>
      </c>
      <c r="C348" s="26">
        <v>29289</v>
      </c>
      <c r="N348" s="23">
        <v>45447</v>
      </c>
      <c r="O348" s="16">
        <v>16642866</v>
      </c>
      <c r="P348" s="26">
        <v>29289</v>
      </c>
    </row>
    <row r="349" spans="1:16" ht="15.75" thickBot="1" x14ac:dyDescent="0.3">
      <c r="A349" s="23">
        <v>45448</v>
      </c>
      <c r="B349" s="10">
        <v>898.25</v>
      </c>
      <c r="C349" s="26">
        <v>29368</v>
      </c>
      <c r="N349" s="23">
        <v>45448</v>
      </c>
      <c r="O349" s="16">
        <v>16869531</v>
      </c>
      <c r="P349" s="26">
        <v>29368</v>
      </c>
    </row>
    <row r="350" spans="1:16" ht="15.75" thickBot="1" x14ac:dyDescent="0.3">
      <c r="A350" s="23">
        <v>45449</v>
      </c>
      <c r="B350" s="10">
        <v>898.5</v>
      </c>
      <c r="C350" s="26">
        <v>29415</v>
      </c>
      <c r="N350" s="23">
        <v>45449</v>
      </c>
      <c r="O350" s="16">
        <v>17217862</v>
      </c>
      <c r="P350" s="26">
        <v>29415</v>
      </c>
    </row>
    <row r="351" spans="1:16" ht="15.75" thickBot="1" x14ac:dyDescent="0.3">
      <c r="A351" s="23">
        <v>45450</v>
      </c>
      <c r="B351" s="10">
        <v>899.08</v>
      </c>
      <c r="C351" s="26">
        <v>29300</v>
      </c>
      <c r="N351" s="23">
        <v>45450</v>
      </c>
      <c r="O351" s="16">
        <v>17752098</v>
      </c>
      <c r="P351" s="26">
        <v>29300</v>
      </c>
    </row>
    <row r="352" spans="1:16" ht="15.75" thickBot="1" x14ac:dyDescent="0.3">
      <c r="A352" s="23">
        <v>45453</v>
      </c>
      <c r="B352" s="10">
        <v>901.17</v>
      </c>
      <c r="C352" s="26">
        <v>29237</v>
      </c>
      <c r="N352" s="23">
        <v>45453</v>
      </c>
      <c r="O352" s="16">
        <v>16935023</v>
      </c>
      <c r="P352" s="26">
        <v>29237</v>
      </c>
    </row>
    <row r="353" spans="1:16" ht="15.75" thickBot="1" x14ac:dyDescent="0.3">
      <c r="A353" s="23">
        <v>45454</v>
      </c>
      <c r="B353" s="10">
        <v>902.17</v>
      </c>
      <c r="C353" s="26">
        <v>29212</v>
      </c>
      <c r="N353" s="23">
        <v>45454</v>
      </c>
      <c r="O353" s="16">
        <v>16686086</v>
      </c>
      <c r="P353" s="26">
        <v>29212</v>
      </c>
    </row>
    <row r="354" spans="1:16" ht="15.75" thickBot="1" x14ac:dyDescent="0.3">
      <c r="A354" s="23">
        <v>45455</v>
      </c>
      <c r="B354" s="10">
        <v>902.25</v>
      </c>
      <c r="C354" s="26">
        <v>29268</v>
      </c>
      <c r="N354" s="23">
        <v>45455</v>
      </c>
      <c r="O354" s="16">
        <v>17472890</v>
      </c>
      <c r="P354" s="26">
        <v>29268</v>
      </c>
    </row>
    <row r="355" spans="1:16" ht="15.75" thickBot="1" x14ac:dyDescent="0.3">
      <c r="A355" s="23">
        <v>45456</v>
      </c>
      <c r="B355" s="10">
        <v>902.58</v>
      </c>
      <c r="C355" s="26">
        <v>29277</v>
      </c>
      <c r="N355" s="23">
        <v>45456</v>
      </c>
      <c r="O355" s="16">
        <v>17191547</v>
      </c>
      <c r="P355" s="26">
        <v>29277</v>
      </c>
    </row>
    <row r="356" spans="1:16" ht="15.75" thickBot="1" x14ac:dyDescent="0.3">
      <c r="A356" s="23">
        <v>45457</v>
      </c>
      <c r="B356" s="10">
        <v>902.67</v>
      </c>
      <c r="C356" s="26">
        <v>29172</v>
      </c>
      <c r="N356" s="23">
        <v>45457</v>
      </c>
      <c r="O356" s="16">
        <v>19065154</v>
      </c>
      <c r="P356" s="26">
        <v>29172</v>
      </c>
    </row>
    <row r="357" spans="1:16" ht="15.75" thickBot="1" x14ac:dyDescent="0.3">
      <c r="A357" s="23">
        <v>45461</v>
      </c>
      <c r="B357" s="10">
        <v>905.42</v>
      </c>
      <c r="C357" s="26">
        <v>29959</v>
      </c>
      <c r="N357" s="23">
        <v>45461</v>
      </c>
      <c r="O357" s="16">
        <v>18289123</v>
      </c>
      <c r="P357" s="26">
        <v>29959</v>
      </c>
    </row>
    <row r="358" spans="1:16" ht="15.75" thickBot="1" x14ac:dyDescent="0.3">
      <c r="A358" s="23">
        <v>45462</v>
      </c>
      <c r="B358" s="10">
        <v>906</v>
      </c>
      <c r="C358" s="26">
        <v>29946</v>
      </c>
      <c r="N358" s="23">
        <v>45462</v>
      </c>
      <c r="O358" s="16">
        <v>18775335</v>
      </c>
      <c r="P358" s="26">
        <v>29946</v>
      </c>
    </row>
    <row r="359" spans="1:16" ht="15.75" thickBot="1" x14ac:dyDescent="0.3">
      <c r="A359" s="23">
        <v>45467</v>
      </c>
      <c r="B359" s="10">
        <v>909.08</v>
      </c>
      <c r="C359" s="26">
        <v>29716</v>
      </c>
      <c r="N359" s="23">
        <v>45467</v>
      </c>
      <c r="O359" s="16">
        <v>17940751</v>
      </c>
      <c r="P359" s="26">
        <v>29716</v>
      </c>
    </row>
    <row r="360" spans="1:16" ht="15.75" thickBot="1" x14ac:dyDescent="0.3">
      <c r="A360" s="23">
        <v>45468</v>
      </c>
      <c r="B360" s="10">
        <v>909.67</v>
      </c>
      <c r="C360" s="26">
        <v>29783</v>
      </c>
      <c r="N360" s="23">
        <v>45468</v>
      </c>
      <c r="O360" s="16">
        <v>18190643</v>
      </c>
      <c r="P360" s="26">
        <v>29783</v>
      </c>
    </row>
    <row r="361" spans="1:16" ht="15.75" thickBot="1" x14ac:dyDescent="0.3">
      <c r="A361" s="23">
        <v>45469</v>
      </c>
      <c r="B361" s="10">
        <v>910.75</v>
      </c>
      <c r="C361" s="26">
        <v>29886</v>
      </c>
      <c r="N361" s="23">
        <v>45469</v>
      </c>
      <c r="O361" s="16">
        <v>18585703</v>
      </c>
      <c r="P361" s="26">
        <v>29886</v>
      </c>
    </row>
    <row r="362" spans="1:16" ht="15.75" thickBot="1" x14ac:dyDescent="0.3">
      <c r="A362" s="23">
        <v>45470</v>
      </c>
      <c r="B362" s="10">
        <v>911.58</v>
      </c>
      <c r="C362" s="26">
        <v>29747</v>
      </c>
      <c r="N362" s="23">
        <v>45470</v>
      </c>
      <c r="O362" s="16">
        <v>18604975</v>
      </c>
      <c r="P362" s="26">
        <v>29747</v>
      </c>
    </row>
    <row r="363" spans="1:16" ht="15.75" thickBot="1" x14ac:dyDescent="0.3">
      <c r="A363" s="23">
        <v>45471</v>
      </c>
      <c r="B363" s="10">
        <v>911.75</v>
      </c>
      <c r="C363" s="26">
        <v>29022</v>
      </c>
      <c r="N363" s="23">
        <v>45471</v>
      </c>
      <c r="O363" s="16">
        <v>20182490</v>
      </c>
      <c r="P363" s="26">
        <v>29022</v>
      </c>
    </row>
    <row r="364" spans="1:16" ht="15.75" thickBot="1" x14ac:dyDescent="0.3">
      <c r="A364" s="23">
        <v>45474</v>
      </c>
      <c r="B364" s="10">
        <v>914.5</v>
      </c>
      <c r="C364" s="26">
        <v>29615</v>
      </c>
      <c r="N364" s="23">
        <v>45474</v>
      </c>
      <c r="O364" s="16">
        <v>24291397</v>
      </c>
      <c r="P364" s="26">
        <v>29615</v>
      </c>
    </row>
    <row r="365" spans="1:16" ht="15.75" thickBot="1" x14ac:dyDescent="0.3">
      <c r="A365" s="23">
        <v>45475</v>
      </c>
      <c r="B365" s="10">
        <v>915.17</v>
      </c>
      <c r="C365" s="26">
        <v>29646</v>
      </c>
      <c r="N365" s="23">
        <v>45475</v>
      </c>
      <c r="O365" s="16">
        <v>21904556</v>
      </c>
      <c r="P365" s="26">
        <v>29646</v>
      </c>
    </row>
    <row r="366" spans="1:16" ht="15.75" thickBot="1" x14ac:dyDescent="0.3">
      <c r="A366" s="23">
        <v>45476</v>
      </c>
      <c r="B366" s="10">
        <v>915.67</v>
      </c>
      <c r="C366" s="26">
        <v>29812</v>
      </c>
      <c r="N366" s="23">
        <v>45476</v>
      </c>
      <c r="O366" s="16">
        <v>22080397</v>
      </c>
      <c r="P366" s="26">
        <v>29812</v>
      </c>
    </row>
    <row r="367" spans="1:16" ht="15.75" thickBot="1" x14ac:dyDescent="0.3">
      <c r="A367" s="23">
        <v>45477</v>
      </c>
      <c r="B367" s="10">
        <v>915.92</v>
      </c>
      <c r="C367" s="26">
        <v>29819</v>
      </c>
      <c r="N367" s="23">
        <v>45477</v>
      </c>
      <c r="O367" s="16">
        <v>21878622</v>
      </c>
      <c r="P367" s="26">
        <v>29819</v>
      </c>
    </row>
    <row r="368" spans="1:16" ht="15.75" thickBot="1" x14ac:dyDescent="0.3">
      <c r="A368" s="23">
        <v>45478</v>
      </c>
      <c r="B368" s="10">
        <v>918.25</v>
      </c>
      <c r="C368" s="26">
        <v>29950</v>
      </c>
      <c r="N368" s="23">
        <v>45478</v>
      </c>
      <c r="O368" s="16">
        <v>22097660</v>
      </c>
      <c r="P368" s="26">
        <v>29950</v>
      </c>
    </row>
    <row r="369" spans="1:16" ht="15.75" thickBot="1" x14ac:dyDescent="0.3">
      <c r="A369" s="23">
        <v>45481</v>
      </c>
      <c r="B369" s="10">
        <v>918.92</v>
      </c>
      <c r="C369" s="26">
        <v>28348</v>
      </c>
      <c r="N369" s="23">
        <v>45481</v>
      </c>
      <c r="O369" s="16">
        <v>22136705</v>
      </c>
      <c r="P369" s="26">
        <v>28348</v>
      </c>
    </row>
    <row r="370" spans="1:16" ht="15.75" thickBot="1" x14ac:dyDescent="0.3">
      <c r="A370" s="23">
        <v>45483</v>
      </c>
      <c r="B370" s="10">
        <v>919.83</v>
      </c>
      <c r="C370" s="26">
        <v>28098</v>
      </c>
      <c r="N370" s="23">
        <v>45483</v>
      </c>
      <c r="O370" s="16">
        <v>21518400</v>
      </c>
      <c r="P370" s="26">
        <v>28098</v>
      </c>
    </row>
    <row r="371" spans="1:16" ht="15.75" thickBot="1" x14ac:dyDescent="0.3">
      <c r="A371" s="23">
        <v>45484</v>
      </c>
      <c r="B371" s="10">
        <v>920.5</v>
      </c>
      <c r="C371" s="26">
        <v>28235</v>
      </c>
      <c r="N371" s="23">
        <v>45484</v>
      </c>
      <c r="O371" s="16">
        <v>21286017</v>
      </c>
      <c r="P371" s="26">
        <v>28235</v>
      </c>
    </row>
    <row r="372" spans="1:16" ht="15.75" thickBot="1" x14ac:dyDescent="0.3">
      <c r="A372" s="23">
        <v>45485</v>
      </c>
      <c r="B372" s="10">
        <v>921.75</v>
      </c>
      <c r="C372" s="26">
        <v>28282</v>
      </c>
      <c r="N372" s="23">
        <v>45485</v>
      </c>
      <c r="O372" s="16">
        <v>21714552</v>
      </c>
      <c r="P372" s="26">
        <v>28282</v>
      </c>
    </row>
    <row r="373" spans="1:16" ht="15.75" thickBot="1" x14ac:dyDescent="0.3">
      <c r="A373" s="23">
        <v>45488</v>
      </c>
      <c r="B373" s="10">
        <v>922.92</v>
      </c>
      <c r="C373" s="26">
        <v>28177</v>
      </c>
      <c r="N373" s="23">
        <v>45488</v>
      </c>
      <c r="O373" s="16">
        <v>21194530</v>
      </c>
      <c r="P373" s="26">
        <v>28177</v>
      </c>
    </row>
    <row r="374" spans="1:16" ht="15.75" thickBot="1" x14ac:dyDescent="0.3">
      <c r="A374" s="23">
        <v>45489</v>
      </c>
      <c r="B374" s="10">
        <v>923.5</v>
      </c>
      <c r="C374" s="26">
        <v>27623</v>
      </c>
      <c r="N374" s="23">
        <v>45489</v>
      </c>
      <c r="O374" s="16">
        <v>20795479</v>
      </c>
      <c r="P374" s="26">
        <v>27623</v>
      </c>
    </row>
    <row r="375" spans="1:16" ht="15.75" thickBot="1" x14ac:dyDescent="0.3">
      <c r="A375" s="23">
        <v>45490</v>
      </c>
      <c r="B375" s="10">
        <v>923.83</v>
      </c>
      <c r="C375" s="26">
        <v>27583</v>
      </c>
      <c r="N375" s="23">
        <v>45490</v>
      </c>
      <c r="O375" s="16">
        <v>21002697</v>
      </c>
      <c r="P375" s="26">
        <v>27583</v>
      </c>
    </row>
    <row r="376" spans="1:16" ht="15.75" thickBot="1" x14ac:dyDescent="0.3">
      <c r="A376" s="23">
        <v>45491</v>
      </c>
      <c r="B376" s="10">
        <v>924.75</v>
      </c>
      <c r="C376" s="26">
        <v>27607</v>
      </c>
      <c r="N376" s="23">
        <v>45491</v>
      </c>
      <c r="O376" s="16">
        <v>21290590</v>
      </c>
      <c r="P376" s="26">
        <v>27607</v>
      </c>
    </row>
    <row r="377" spans="1:16" ht="15.75" thickBot="1" x14ac:dyDescent="0.3">
      <c r="A377" s="23">
        <v>45492</v>
      </c>
      <c r="B377" s="10">
        <v>926.75</v>
      </c>
      <c r="C377" s="26">
        <v>27565</v>
      </c>
      <c r="N377" s="23">
        <v>45492</v>
      </c>
      <c r="O377" s="16">
        <v>21544835</v>
      </c>
      <c r="P377" s="26">
        <v>27565</v>
      </c>
    </row>
    <row r="378" spans="1:16" ht="15.75" thickBot="1" x14ac:dyDescent="0.3">
      <c r="A378" s="23">
        <v>45495</v>
      </c>
      <c r="B378" s="10">
        <v>927.08</v>
      </c>
      <c r="C378" s="26">
        <v>27425</v>
      </c>
      <c r="N378" s="23">
        <v>45495</v>
      </c>
      <c r="O378" s="16">
        <v>21426061</v>
      </c>
      <c r="P378" s="26">
        <v>27425</v>
      </c>
    </row>
    <row r="379" spans="1:16" ht="15.75" thickBot="1" x14ac:dyDescent="0.3">
      <c r="A379" s="23">
        <v>45496</v>
      </c>
      <c r="B379" s="10">
        <v>927.33</v>
      </c>
      <c r="C379" s="26">
        <v>27437</v>
      </c>
      <c r="N379" s="23">
        <v>45496</v>
      </c>
      <c r="O379" s="16">
        <v>20887364</v>
      </c>
      <c r="P379" s="26">
        <v>27437</v>
      </c>
    </row>
    <row r="380" spans="1:16" ht="15.75" thickBot="1" x14ac:dyDescent="0.3">
      <c r="A380" s="23">
        <v>45497</v>
      </c>
      <c r="B380" s="10">
        <v>928.67</v>
      </c>
      <c r="C380" s="26">
        <v>27532</v>
      </c>
      <c r="N380" s="23">
        <v>45497</v>
      </c>
      <c r="O380" s="16">
        <v>20526179</v>
      </c>
      <c r="P380" s="26">
        <v>27532</v>
      </c>
    </row>
    <row r="381" spans="1:16" ht="15.75" thickBot="1" x14ac:dyDescent="0.3">
      <c r="A381" s="23">
        <v>45498</v>
      </c>
      <c r="B381" s="10">
        <v>929.17</v>
      </c>
      <c r="C381" s="26">
        <v>27330</v>
      </c>
      <c r="N381" s="23">
        <v>45498</v>
      </c>
      <c r="O381" s="16">
        <v>20411230</v>
      </c>
      <c r="P381" s="26">
        <v>27330</v>
      </c>
    </row>
    <row r="382" spans="1:16" ht="15.75" thickBot="1" x14ac:dyDescent="0.3">
      <c r="A382" s="23">
        <v>45499</v>
      </c>
      <c r="B382" s="10">
        <v>931.58</v>
      </c>
      <c r="C382" s="26">
        <v>27311</v>
      </c>
      <c r="N382" s="23">
        <v>45499</v>
      </c>
      <c r="O382" s="16">
        <v>20657392</v>
      </c>
      <c r="P382" s="26">
        <v>27311</v>
      </c>
    </row>
    <row r="383" spans="1:16" ht="15.75" thickBot="1" x14ac:dyDescent="0.3">
      <c r="A383" s="23">
        <v>45502</v>
      </c>
      <c r="B383" s="10">
        <v>931.75</v>
      </c>
      <c r="C383" s="26">
        <v>27132</v>
      </c>
      <c r="N383" s="23">
        <v>45502</v>
      </c>
      <c r="O383" s="16">
        <v>20918267</v>
      </c>
      <c r="P383" s="26">
        <v>27132</v>
      </c>
    </row>
    <row r="384" spans="1:16" ht="15.75" thickBot="1" x14ac:dyDescent="0.3">
      <c r="A384" s="23">
        <v>45503</v>
      </c>
      <c r="B384" s="10">
        <v>932.25</v>
      </c>
      <c r="C384" s="26">
        <v>26997</v>
      </c>
      <c r="N384" s="23">
        <v>45503</v>
      </c>
      <c r="O384" s="16">
        <v>21092762</v>
      </c>
      <c r="P384" s="26">
        <v>26997</v>
      </c>
    </row>
    <row r="385" spans="1:16" ht="15.75" thickBot="1" x14ac:dyDescent="0.3">
      <c r="A385" s="23">
        <v>45504</v>
      </c>
      <c r="B385" s="10">
        <v>932.75</v>
      </c>
      <c r="C385" s="26">
        <v>26402</v>
      </c>
      <c r="N385" s="23">
        <v>45504</v>
      </c>
      <c r="O385" s="16">
        <v>21822977</v>
      </c>
      <c r="P385" s="26">
        <v>26402</v>
      </c>
    </row>
    <row r="386" spans="1:16" ht="15.75" thickBot="1" x14ac:dyDescent="0.3">
      <c r="A386" s="23">
        <v>45505</v>
      </c>
      <c r="B386" s="10">
        <v>933.42</v>
      </c>
      <c r="C386" s="26">
        <v>27069</v>
      </c>
      <c r="N386" s="23">
        <v>45505</v>
      </c>
      <c r="O386" s="16">
        <v>22775236</v>
      </c>
      <c r="P386" s="26">
        <v>27069</v>
      </c>
    </row>
    <row r="387" spans="1:16" ht="15.75" thickBot="1" x14ac:dyDescent="0.3">
      <c r="A387" s="23">
        <v>45506</v>
      </c>
      <c r="B387" s="10">
        <v>935.08</v>
      </c>
      <c r="C387" s="26">
        <v>27571</v>
      </c>
      <c r="N387" s="23">
        <v>45506</v>
      </c>
      <c r="O387" s="16">
        <v>23293177</v>
      </c>
      <c r="P387" s="26">
        <v>27571</v>
      </c>
    </row>
    <row r="388" spans="1:16" ht="15.75" thickBot="1" x14ac:dyDescent="0.3">
      <c r="A388" s="23">
        <v>45509</v>
      </c>
      <c r="B388" s="10">
        <v>935.75</v>
      </c>
      <c r="C388" s="26">
        <v>28191</v>
      </c>
      <c r="N388" s="23">
        <v>45509</v>
      </c>
      <c r="O388" s="16">
        <v>23753936</v>
      </c>
      <c r="P388" s="26">
        <v>28191</v>
      </c>
    </row>
    <row r="389" spans="1:16" ht="15.75" thickBot="1" x14ac:dyDescent="0.3">
      <c r="A389" s="23">
        <v>45510</v>
      </c>
      <c r="B389" s="10">
        <v>936.5</v>
      </c>
      <c r="C389" s="26">
        <v>27310</v>
      </c>
      <c r="N389" s="23">
        <v>45510</v>
      </c>
      <c r="O389" s="16">
        <v>23257516</v>
      </c>
      <c r="P389" s="26">
        <v>27310</v>
      </c>
    </row>
    <row r="390" spans="1:16" ht="15.75" thickBot="1" x14ac:dyDescent="0.3">
      <c r="A390" s="23">
        <v>45511</v>
      </c>
      <c r="B390" s="10">
        <v>937.08</v>
      </c>
      <c r="C390" s="26">
        <v>27231</v>
      </c>
      <c r="N390" s="23">
        <v>45511</v>
      </c>
      <c r="O390" s="16">
        <v>23119138</v>
      </c>
      <c r="P390" s="26">
        <v>27231</v>
      </c>
    </row>
    <row r="391" spans="1:16" ht="15.75" thickBot="1" x14ac:dyDescent="0.3">
      <c r="A391" s="23">
        <v>45512</v>
      </c>
      <c r="B391" s="10">
        <v>937.58</v>
      </c>
      <c r="C391" s="26">
        <v>27376</v>
      </c>
      <c r="N391" s="23">
        <v>45512</v>
      </c>
      <c r="O391" s="16">
        <v>23210330</v>
      </c>
      <c r="P391" s="26">
        <v>27376</v>
      </c>
    </row>
    <row r="392" spans="1:16" ht="15.75" thickBot="1" x14ac:dyDescent="0.3">
      <c r="A392" s="23">
        <v>45513</v>
      </c>
      <c r="B392" s="10">
        <v>939.67</v>
      </c>
      <c r="C392" s="26">
        <v>27391</v>
      </c>
      <c r="N392" s="23">
        <v>45513</v>
      </c>
      <c r="O392" s="16">
        <v>22571306</v>
      </c>
      <c r="P392" s="26">
        <v>27391</v>
      </c>
    </row>
    <row r="393" spans="1:16" ht="15.75" thickBot="1" x14ac:dyDescent="0.3">
      <c r="A393" s="23">
        <v>45516</v>
      </c>
      <c r="B393" s="10">
        <v>939.83</v>
      </c>
      <c r="C393" s="26">
        <v>27473</v>
      </c>
      <c r="N393" s="23">
        <v>45516</v>
      </c>
      <c r="O393" s="16">
        <v>22642444</v>
      </c>
      <c r="P393" s="26">
        <v>27473</v>
      </c>
    </row>
    <row r="394" spans="1:16" ht="15.75" thickBot="1" x14ac:dyDescent="0.3">
      <c r="A394" s="23">
        <v>45517</v>
      </c>
      <c r="B394" s="10">
        <v>940.33</v>
      </c>
      <c r="C394" s="26">
        <v>27585</v>
      </c>
      <c r="N394" s="23">
        <v>45517</v>
      </c>
      <c r="O394" s="16">
        <v>23200238</v>
      </c>
      <c r="P394" s="26">
        <v>27585</v>
      </c>
    </row>
    <row r="395" spans="1:16" ht="15.75" thickBot="1" x14ac:dyDescent="0.3">
      <c r="A395" s="23">
        <v>45518</v>
      </c>
      <c r="B395" s="10">
        <v>941.67</v>
      </c>
      <c r="C395" s="26">
        <v>27571</v>
      </c>
      <c r="N395" s="23">
        <v>45518</v>
      </c>
      <c r="O395" s="16">
        <v>23124825</v>
      </c>
      <c r="P395" s="26">
        <v>27571</v>
      </c>
    </row>
    <row r="396" spans="1:16" ht="15.75" thickBot="1" x14ac:dyDescent="0.3">
      <c r="A396" s="23">
        <v>45519</v>
      </c>
      <c r="B396" s="10">
        <v>942</v>
      </c>
      <c r="C396" s="26">
        <v>27419</v>
      </c>
      <c r="N396" s="23">
        <v>45519</v>
      </c>
      <c r="O396" s="16">
        <v>22495286</v>
      </c>
      <c r="P396" s="26">
        <v>27419</v>
      </c>
    </row>
    <row r="397" spans="1:16" ht="15.75" thickBot="1" x14ac:dyDescent="0.3">
      <c r="A397" s="23">
        <v>45520</v>
      </c>
      <c r="B397" s="10">
        <v>944</v>
      </c>
      <c r="C397" s="26">
        <v>27541</v>
      </c>
      <c r="N397" s="23">
        <v>45520</v>
      </c>
      <c r="O397" s="16">
        <v>22476300</v>
      </c>
      <c r="P397" s="26">
        <v>27541</v>
      </c>
    </row>
    <row r="398" spans="1:16" ht="15.75" thickBot="1" x14ac:dyDescent="0.3">
      <c r="A398" s="23">
        <v>45523</v>
      </c>
      <c r="B398" s="10">
        <v>944.33</v>
      </c>
      <c r="C398" s="26">
        <v>27512</v>
      </c>
      <c r="N398" s="23">
        <v>45523</v>
      </c>
      <c r="O398" s="16">
        <v>22237326</v>
      </c>
      <c r="P398" s="26">
        <v>27512</v>
      </c>
    </row>
    <row r="399" spans="1:16" ht="15.75" thickBot="1" x14ac:dyDescent="0.3">
      <c r="A399" s="23">
        <v>45524</v>
      </c>
      <c r="B399" s="10">
        <v>944.83</v>
      </c>
      <c r="C399" s="26">
        <v>27674</v>
      </c>
      <c r="N399" s="23">
        <v>45524</v>
      </c>
      <c r="O399" s="16">
        <v>21879919</v>
      </c>
      <c r="P399" s="26">
        <v>27674</v>
      </c>
    </row>
    <row r="400" spans="1:16" ht="15.75" thickBot="1" x14ac:dyDescent="0.3">
      <c r="A400" s="23">
        <v>45525</v>
      </c>
      <c r="B400" s="10">
        <v>945.33</v>
      </c>
      <c r="C400" s="26">
        <v>27662</v>
      </c>
      <c r="N400" s="23">
        <v>45525</v>
      </c>
      <c r="O400" s="16">
        <v>22093963</v>
      </c>
      <c r="P400" s="26">
        <v>27662</v>
      </c>
    </row>
    <row r="401" spans="1:16" ht="15.75" thickBot="1" x14ac:dyDescent="0.3">
      <c r="A401" s="23">
        <v>45526</v>
      </c>
      <c r="B401" s="10">
        <v>946.25</v>
      </c>
      <c r="C401" s="26">
        <v>27658</v>
      </c>
      <c r="N401" s="23">
        <v>45526</v>
      </c>
      <c r="O401" s="16">
        <v>22030165</v>
      </c>
      <c r="P401" s="26">
        <v>27658</v>
      </c>
    </row>
    <row r="402" spans="1:16" ht="15.75" thickBot="1" x14ac:dyDescent="0.3">
      <c r="A402" s="23">
        <v>45527</v>
      </c>
      <c r="B402" s="10">
        <v>948.17</v>
      </c>
      <c r="C402" s="26">
        <v>27845</v>
      </c>
      <c r="N402" s="23">
        <v>45527</v>
      </c>
      <c r="O402" s="16">
        <v>21982842</v>
      </c>
      <c r="P402" s="26">
        <v>27845</v>
      </c>
    </row>
    <row r="403" spans="1:16" ht="15.75" thickBot="1" x14ac:dyDescent="0.3">
      <c r="A403" s="23">
        <v>45530</v>
      </c>
      <c r="B403" s="10">
        <v>949.08</v>
      </c>
      <c r="C403" s="26">
        <v>27874</v>
      </c>
      <c r="N403" s="23">
        <v>45530</v>
      </c>
      <c r="O403" s="16">
        <v>22009562</v>
      </c>
      <c r="P403" s="26">
        <v>27874</v>
      </c>
    </row>
    <row r="404" spans="1:16" ht="15.75" thickBot="1" x14ac:dyDescent="0.3">
      <c r="A404" s="23">
        <v>45531</v>
      </c>
      <c r="B404" s="10">
        <v>949.75</v>
      </c>
      <c r="C404" s="26">
        <v>27954</v>
      </c>
      <c r="N404" s="23">
        <v>45531</v>
      </c>
      <c r="O404" s="16">
        <v>22194539</v>
      </c>
      <c r="P404" s="26">
        <v>27954</v>
      </c>
    </row>
    <row r="405" spans="1:16" ht="15.75" thickBot="1" x14ac:dyDescent="0.3">
      <c r="A405" s="23">
        <v>45532</v>
      </c>
      <c r="B405" s="10">
        <v>950.08</v>
      </c>
      <c r="C405" s="26">
        <v>27861</v>
      </c>
      <c r="N405" s="23">
        <v>45532</v>
      </c>
      <c r="O405" s="16">
        <v>21277056</v>
      </c>
      <c r="P405" s="26">
        <v>27861</v>
      </c>
    </row>
    <row r="406" spans="1:16" ht="15.75" thickBot="1" x14ac:dyDescent="0.3">
      <c r="A406" s="23">
        <v>45533</v>
      </c>
      <c r="B406" s="10">
        <v>950.67</v>
      </c>
      <c r="C406" s="26">
        <v>27767</v>
      </c>
      <c r="N406" s="23">
        <v>45533</v>
      </c>
      <c r="O406" s="16">
        <v>21965483</v>
      </c>
      <c r="P406" s="26">
        <v>27767</v>
      </c>
    </row>
    <row r="407" spans="1:16" ht="15.75" thickBot="1" x14ac:dyDescent="0.3">
      <c r="A407" s="23">
        <v>45534</v>
      </c>
      <c r="B407" s="10">
        <v>952.83</v>
      </c>
      <c r="C407" s="26">
        <v>26719</v>
      </c>
      <c r="N407" s="23">
        <v>45534</v>
      </c>
      <c r="O407" s="16">
        <v>21953008</v>
      </c>
      <c r="P407" s="26">
        <v>26719</v>
      </c>
    </row>
    <row r="408" spans="1:16" ht="15.75" thickBot="1" x14ac:dyDescent="0.3">
      <c r="A408" s="23">
        <v>45537</v>
      </c>
      <c r="B408" s="10">
        <v>952.75</v>
      </c>
      <c r="C408" s="26">
        <v>26651</v>
      </c>
      <c r="N408" s="23">
        <v>45537</v>
      </c>
      <c r="O408" s="16">
        <v>23079618</v>
      </c>
      <c r="P408" s="26">
        <v>26651</v>
      </c>
    </row>
    <row r="409" spans="1:16" ht="15.75" thickBot="1" x14ac:dyDescent="0.3">
      <c r="A409" s="23">
        <v>45538</v>
      </c>
      <c r="B409" s="10">
        <v>954.17</v>
      </c>
      <c r="C409" s="26">
        <v>27377</v>
      </c>
      <c r="N409" s="23">
        <v>45538</v>
      </c>
      <c r="O409" s="16">
        <v>23395067</v>
      </c>
      <c r="P409" s="26">
        <v>27377</v>
      </c>
    </row>
    <row r="410" spans="1:16" ht="15.75" thickBot="1" x14ac:dyDescent="0.3">
      <c r="A410" s="23">
        <v>45539</v>
      </c>
      <c r="B410" s="10">
        <v>954.5</v>
      </c>
      <c r="C410" s="26">
        <v>27354</v>
      </c>
      <c r="N410" s="23">
        <v>45539</v>
      </c>
      <c r="O410" s="16">
        <v>23730050</v>
      </c>
      <c r="P410" s="26">
        <v>27354</v>
      </c>
    </row>
    <row r="411" spans="1:16" ht="15.75" thickBot="1" x14ac:dyDescent="0.3">
      <c r="A411" s="23">
        <v>45540</v>
      </c>
      <c r="B411" s="10">
        <v>954.92</v>
      </c>
      <c r="C411" s="26">
        <v>27436</v>
      </c>
      <c r="N411" s="23">
        <v>45540</v>
      </c>
      <c r="O411" s="16">
        <v>23419488</v>
      </c>
      <c r="P411" s="26">
        <v>27436</v>
      </c>
    </row>
    <row r="412" spans="1:16" ht="15.75" thickBot="1" x14ac:dyDescent="0.3">
      <c r="A412" s="23">
        <v>45541</v>
      </c>
      <c r="B412" s="10">
        <v>957.17</v>
      </c>
      <c r="C412" s="26">
        <v>27464</v>
      </c>
      <c r="N412" s="23">
        <v>45541</v>
      </c>
      <c r="O412" s="16">
        <v>23683427</v>
      </c>
      <c r="P412" s="26">
        <v>27464</v>
      </c>
    </row>
    <row r="413" spans="1:16" ht="15.75" thickBot="1" x14ac:dyDescent="0.3">
      <c r="A413" s="23">
        <v>45544</v>
      </c>
      <c r="B413" s="10">
        <v>957.75</v>
      </c>
      <c r="C413" s="26">
        <v>27400</v>
      </c>
      <c r="N413" s="23">
        <v>45544</v>
      </c>
      <c r="O413" s="16">
        <v>23392170</v>
      </c>
      <c r="P413" s="26">
        <v>27400</v>
      </c>
    </row>
    <row r="414" spans="1:16" ht="15.75" thickBot="1" x14ac:dyDescent="0.3">
      <c r="A414" s="23">
        <v>45545</v>
      </c>
      <c r="B414" s="10">
        <v>958.17</v>
      </c>
      <c r="C414" s="26">
        <v>27244</v>
      </c>
      <c r="N414" s="23">
        <v>45545</v>
      </c>
      <c r="O414" s="16">
        <v>23025936</v>
      </c>
      <c r="P414" s="26">
        <v>27244</v>
      </c>
    </row>
    <row r="415" spans="1:16" ht="15.75" thickBot="1" x14ac:dyDescent="0.3">
      <c r="A415" s="23">
        <v>45546</v>
      </c>
      <c r="B415" s="10">
        <v>958.92</v>
      </c>
      <c r="C415" s="26">
        <v>27219</v>
      </c>
      <c r="N415" s="23">
        <v>45546</v>
      </c>
      <c r="O415" s="16">
        <v>23265125</v>
      </c>
      <c r="P415" s="26">
        <v>27219</v>
      </c>
    </row>
    <row r="416" spans="1:16" ht="15.75" thickBot="1" x14ac:dyDescent="0.3">
      <c r="A416" s="23">
        <v>45547</v>
      </c>
      <c r="B416" s="10">
        <v>959.67</v>
      </c>
      <c r="C416" s="26">
        <v>27316</v>
      </c>
      <c r="N416" s="23">
        <v>45547</v>
      </c>
      <c r="O416" s="16">
        <v>23319596</v>
      </c>
      <c r="P416" s="26">
        <v>27316</v>
      </c>
    </row>
    <row r="417" spans="1:16" ht="15.75" thickBot="1" x14ac:dyDescent="0.3">
      <c r="A417" s="23">
        <v>45548</v>
      </c>
      <c r="B417" s="10">
        <v>961.75</v>
      </c>
      <c r="C417" s="26">
        <v>27420</v>
      </c>
      <c r="N417" s="23">
        <v>45548</v>
      </c>
      <c r="O417" s="16">
        <v>23179778</v>
      </c>
      <c r="P417" s="26">
        <v>27420</v>
      </c>
    </row>
    <row r="418" spans="1:16" ht="15.75" thickBot="1" x14ac:dyDescent="0.3">
      <c r="A418" s="23">
        <v>45551</v>
      </c>
      <c r="B418" s="10">
        <v>962.08</v>
      </c>
      <c r="C418" s="26">
        <v>26940</v>
      </c>
      <c r="N418" s="23">
        <v>45551</v>
      </c>
      <c r="O418" s="16">
        <v>22707600</v>
      </c>
      <c r="P418" s="26">
        <v>26940</v>
      </c>
    </row>
    <row r="419" spans="1:16" ht="15.75" thickBot="1" x14ac:dyDescent="0.3">
      <c r="A419" s="23">
        <v>45552</v>
      </c>
      <c r="B419" s="10">
        <v>962.42</v>
      </c>
      <c r="C419" s="26">
        <v>26909</v>
      </c>
      <c r="N419" s="23">
        <v>45552</v>
      </c>
      <c r="O419" s="16">
        <v>22881995</v>
      </c>
      <c r="P419" s="26">
        <v>26909</v>
      </c>
    </row>
    <row r="420" spans="1:16" ht="15.75" thickBot="1" x14ac:dyDescent="0.3">
      <c r="A420" s="23">
        <v>45553</v>
      </c>
      <c r="B420" s="10">
        <v>963.33</v>
      </c>
      <c r="C420" s="26">
        <v>27011</v>
      </c>
      <c r="N420" s="23">
        <v>45553</v>
      </c>
      <c r="O420" s="16">
        <v>23026646</v>
      </c>
      <c r="P420" s="26">
        <v>27011</v>
      </c>
    </row>
    <row r="421" spans="1:16" ht="15.75" thickBot="1" x14ac:dyDescent="0.3">
      <c r="A421" s="23">
        <v>45554</v>
      </c>
      <c r="B421" s="10">
        <v>963.75</v>
      </c>
      <c r="C421" s="26">
        <v>27129</v>
      </c>
      <c r="N421" s="23">
        <v>45554</v>
      </c>
      <c r="O421" s="16">
        <v>22298504</v>
      </c>
      <c r="P421" s="26">
        <v>27129</v>
      </c>
    </row>
    <row r="422" spans="1:16" ht="15.75" thickBot="1" x14ac:dyDescent="0.3">
      <c r="A422" s="23">
        <v>45555</v>
      </c>
      <c r="B422" s="10">
        <v>965.75</v>
      </c>
      <c r="C422" s="26">
        <v>27264</v>
      </c>
      <c r="N422" s="23">
        <v>45555</v>
      </c>
      <c r="O422" s="16">
        <v>22594386</v>
      </c>
      <c r="P422" s="26">
        <v>27264</v>
      </c>
    </row>
    <row r="423" spans="1:16" ht="15.75" thickBot="1" x14ac:dyDescent="0.3">
      <c r="A423" s="23">
        <v>45558</v>
      </c>
      <c r="B423" s="10">
        <v>966.33</v>
      </c>
      <c r="C423" s="26">
        <v>27343</v>
      </c>
      <c r="N423" s="23">
        <v>45558</v>
      </c>
      <c r="O423" s="16">
        <v>22393487</v>
      </c>
      <c r="P423" s="26">
        <v>27343</v>
      </c>
    </row>
    <row r="424" spans="1:16" ht="15.75" thickBot="1" x14ac:dyDescent="0.3">
      <c r="A424" s="23">
        <v>45559</v>
      </c>
      <c r="B424" s="10">
        <v>966.75</v>
      </c>
      <c r="C424" s="26">
        <v>28241</v>
      </c>
      <c r="N424" s="23">
        <v>45559</v>
      </c>
      <c r="O424" s="16">
        <v>21840646</v>
      </c>
      <c r="P424" s="26">
        <v>28241</v>
      </c>
    </row>
    <row r="425" spans="1:16" ht="15.75" thickBot="1" x14ac:dyDescent="0.3">
      <c r="A425" s="23">
        <v>45560</v>
      </c>
      <c r="B425" s="10">
        <v>967.92</v>
      </c>
      <c r="C425" s="26">
        <v>28834</v>
      </c>
      <c r="N425" s="23">
        <v>45560</v>
      </c>
      <c r="O425" s="16">
        <v>22010348</v>
      </c>
      <c r="P425" s="26">
        <v>28834</v>
      </c>
    </row>
    <row r="426" spans="1:16" ht="15.75" thickBot="1" x14ac:dyDescent="0.3">
      <c r="A426" s="23">
        <v>45561</v>
      </c>
      <c r="B426" s="10">
        <v>968.75</v>
      </c>
      <c r="C426" s="26">
        <v>29164</v>
      </c>
      <c r="N426" s="23">
        <v>45561</v>
      </c>
      <c r="O426" s="16">
        <v>21732127</v>
      </c>
      <c r="P426" s="26">
        <v>29164</v>
      </c>
    </row>
    <row r="427" spans="1:16" ht="15.75" thickBot="1" x14ac:dyDescent="0.3">
      <c r="A427" s="23">
        <v>45562</v>
      </c>
      <c r="B427" s="10">
        <v>970.58</v>
      </c>
      <c r="C427" s="26">
        <v>29174</v>
      </c>
      <c r="N427" s="23">
        <v>45562</v>
      </c>
      <c r="O427" s="16">
        <v>21794164</v>
      </c>
      <c r="P427" s="26">
        <v>29174</v>
      </c>
    </row>
    <row r="428" spans="1:16" ht="15.75" thickBot="1" x14ac:dyDescent="0.3">
      <c r="A428" s="23">
        <v>45565</v>
      </c>
      <c r="B428" s="10">
        <v>970.92</v>
      </c>
      <c r="C428" s="26">
        <v>27172</v>
      </c>
      <c r="N428" s="23">
        <v>45565</v>
      </c>
      <c r="O428" s="16">
        <v>22396060</v>
      </c>
      <c r="P428" s="26">
        <v>27172</v>
      </c>
    </row>
    <row r="429" spans="1:16" ht="15.75" thickBot="1" x14ac:dyDescent="0.3">
      <c r="A429" s="23">
        <v>45566</v>
      </c>
      <c r="B429" s="10">
        <v>971.25</v>
      </c>
      <c r="C429" s="26">
        <v>28461</v>
      </c>
      <c r="N429" s="23">
        <v>45566</v>
      </c>
      <c r="O429" s="16">
        <v>23753981</v>
      </c>
      <c r="P429" s="26">
        <v>28461</v>
      </c>
    </row>
    <row r="430" spans="1:16" ht="15.75" thickBot="1" x14ac:dyDescent="0.3">
      <c r="A430" s="23">
        <v>45567</v>
      </c>
      <c r="B430" s="10">
        <v>971.75</v>
      </c>
      <c r="C430" s="26">
        <v>29138</v>
      </c>
      <c r="N430" s="23">
        <v>45567</v>
      </c>
      <c r="O430" s="16">
        <v>24129288</v>
      </c>
      <c r="P430" s="26">
        <v>29138</v>
      </c>
    </row>
    <row r="431" spans="1:16" ht="15.75" thickBot="1" x14ac:dyDescent="0.3">
      <c r="A431" s="23">
        <v>45568</v>
      </c>
      <c r="B431" s="10">
        <v>972.75</v>
      </c>
      <c r="C431" s="26">
        <v>29231</v>
      </c>
      <c r="N431" s="23">
        <v>45568</v>
      </c>
      <c r="O431" s="16">
        <v>24190411</v>
      </c>
      <c r="P431" s="26">
        <v>29231</v>
      </c>
    </row>
    <row r="432" spans="1:16" ht="15.75" thickBot="1" x14ac:dyDescent="0.3">
      <c r="A432" s="23">
        <v>45569</v>
      </c>
      <c r="B432" s="10">
        <v>974.83</v>
      </c>
      <c r="C432" s="26">
        <v>28313</v>
      </c>
      <c r="N432" s="23">
        <v>45569</v>
      </c>
      <c r="O432" s="16">
        <v>24159079</v>
      </c>
      <c r="P432" s="26">
        <v>28313</v>
      </c>
    </row>
    <row r="433" spans="1:16" ht="15.75" thickBot="1" x14ac:dyDescent="0.3">
      <c r="A433" s="23">
        <v>45572</v>
      </c>
      <c r="B433" s="10">
        <v>975.5</v>
      </c>
      <c r="C433" s="26">
        <v>28557</v>
      </c>
      <c r="N433" s="23">
        <v>45572</v>
      </c>
      <c r="O433" s="16">
        <v>24006331</v>
      </c>
      <c r="P433" s="26">
        <v>28557</v>
      </c>
    </row>
    <row r="434" spans="1:16" ht="15.75" thickBot="1" x14ac:dyDescent="0.3">
      <c r="A434" s="23">
        <v>45573</v>
      </c>
      <c r="B434" s="10">
        <v>975.92</v>
      </c>
      <c r="C434" s="26">
        <v>28388</v>
      </c>
      <c r="N434" s="23">
        <v>45573</v>
      </c>
      <c r="O434" s="16">
        <v>23956307</v>
      </c>
      <c r="P434" s="26">
        <v>28388</v>
      </c>
    </row>
    <row r="435" spans="1:16" ht="15.75" thickBot="1" x14ac:dyDescent="0.3">
      <c r="A435" s="23">
        <v>45574</v>
      </c>
      <c r="B435" s="10">
        <v>976.25</v>
      </c>
      <c r="C435" s="26">
        <v>28346</v>
      </c>
      <c r="N435" s="23">
        <v>45574</v>
      </c>
      <c r="O435" s="16">
        <v>23876709</v>
      </c>
      <c r="P435" s="26">
        <v>28346</v>
      </c>
    </row>
    <row r="436" spans="1:16" ht="15.75" thickBot="1" x14ac:dyDescent="0.3">
      <c r="A436" s="23">
        <v>45575</v>
      </c>
      <c r="B436" s="10">
        <v>979.42</v>
      </c>
      <c r="C436" s="26">
        <v>28632</v>
      </c>
      <c r="N436" s="23">
        <v>45575</v>
      </c>
      <c r="O436" s="16">
        <v>24964156</v>
      </c>
      <c r="P436" s="26">
        <v>28632</v>
      </c>
    </row>
    <row r="437" spans="1:16" ht="15.75" thickBot="1" x14ac:dyDescent="0.3">
      <c r="A437" s="23">
        <v>45579</v>
      </c>
      <c r="B437" s="10">
        <v>980.17</v>
      </c>
      <c r="C437" s="26">
        <v>28702</v>
      </c>
      <c r="N437" s="23">
        <v>45579</v>
      </c>
      <c r="O437" s="16">
        <v>23545508</v>
      </c>
      <c r="P437" s="26">
        <v>28702</v>
      </c>
    </row>
    <row r="438" spans="1:16" ht="15.75" thickBot="1" x14ac:dyDescent="0.3">
      <c r="A438" s="23">
        <v>45580</v>
      </c>
      <c r="B438" s="10">
        <v>980.58</v>
      </c>
      <c r="C438" s="26">
        <v>28271</v>
      </c>
      <c r="N438" s="23">
        <v>45580</v>
      </c>
      <c r="O438" s="16">
        <v>22743863</v>
      </c>
      <c r="P438" s="26">
        <v>28271</v>
      </c>
    </row>
    <row r="439" spans="1:16" ht="15.75" thickBot="1" x14ac:dyDescent="0.3">
      <c r="A439" s="23">
        <v>45581</v>
      </c>
      <c r="B439" s="10">
        <v>981.58</v>
      </c>
      <c r="C439" s="26">
        <v>28294</v>
      </c>
      <c r="N439" s="23">
        <v>45581</v>
      </c>
      <c r="O439" s="16">
        <v>22644832</v>
      </c>
      <c r="P439" s="26">
        <v>28294</v>
      </c>
    </row>
    <row r="440" spans="1:16" ht="15.75" thickBot="1" x14ac:dyDescent="0.3">
      <c r="A440" s="23">
        <v>45582</v>
      </c>
      <c r="B440" s="10">
        <v>981.75</v>
      </c>
      <c r="C440" s="26">
        <v>28273</v>
      </c>
      <c r="N440" s="23">
        <v>45582</v>
      </c>
      <c r="O440" s="16">
        <v>22676812</v>
      </c>
      <c r="P440" s="26">
        <v>28273</v>
      </c>
    </row>
    <row r="441" spans="1:16" ht="15.75" thickBot="1" x14ac:dyDescent="0.3">
      <c r="A441" s="23">
        <v>45583</v>
      </c>
      <c r="B441" s="10">
        <v>983.83</v>
      </c>
      <c r="C441" s="26">
        <v>28488</v>
      </c>
      <c r="N441" s="23">
        <v>45583</v>
      </c>
      <c r="O441" s="16">
        <v>22522901</v>
      </c>
      <c r="P441" s="26">
        <v>28488</v>
      </c>
    </row>
    <row r="442" spans="1:16" ht="15.75" thickBot="1" x14ac:dyDescent="0.3">
      <c r="A442" s="23">
        <v>45586</v>
      </c>
      <c r="B442" s="10">
        <v>984.42</v>
      </c>
      <c r="C442" s="26">
        <v>28314</v>
      </c>
      <c r="N442" s="23">
        <v>45586</v>
      </c>
      <c r="O442" s="16">
        <v>22706815</v>
      </c>
      <c r="P442" s="26">
        <v>28314</v>
      </c>
    </row>
    <row r="443" spans="1:16" ht="15.75" thickBot="1" x14ac:dyDescent="0.3">
      <c r="A443" s="23">
        <v>45587</v>
      </c>
      <c r="B443" s="10">
        <v>984.83</v>
      </c>
      <c r="C443" s="26">
        <v>28416</v>
      </c>
      <c r="N443" s="23">
        <v>45587</v>
      </c>
      <c r="O443" s="16">
        <v>22914174</v>
      </c>
      <c r="P443" s="26">
        <v>28416</v>
      </c>
    </row>
    <row r="444" spans="1:16" ht="15.75" thickBot="1" x14ac:dyDescent="0.3">
      <c r="A444" s="23">
        <v>45588</v>
      </c>
      <c r="B444" s="10">
        <v>985.92</v>
      </c>
      <c r="C444" s="26">
        <v>28511</v>
      </c>
      <c r="N444" s="23">
        <v>45588</v>
      </c>
      <c r="O444" s="16">
        <v>22775031</v>
      </c>
      <c r="P444" s="26">
        <v>28511</v>
      </c>
    </row>
    <row r="445" spans="1:16" ht="15.75" thickBot="1" x14ac:dyDescent="0.3">
      <c r="A445" s="23">
        <v>45589</v>
      </c>
      <c r="B445" s="10">
        <v>986.33</v>
      </c>
      <c r="C445" s="26">
        <v>29057</v>
      </c>
      <c r="N445" s="23">
        <v>45589</v>
      </c>
      <c r="O445" s="16">
        <v>22507691</v>
      </c>
      <c r="P445" s="26">
        <v>29057</v>
      </c>
    </row>
    <row r="446" spans="1:16" ht="15.75" thickBot="1" x14ac:dyDescent="0.3">
      <c r="A446" s="23">
        <v>45590</v>
      </c>
      <c r="B446" s="10">
        <v>988.33</v>
      </c>
      <c r="C446" s="26">
        <v>29163</v>
      </c>
      <c r="N446" s="23">
        <v>45590</v>
      </c>
      <c r="O446" s="16">
        <v>22685890</v>
      </c>
      <c r="P446" s="26">
        <v>29163</v>
      </c>
    </row>
    <row r="447" spans="1:16" ht="15.75" thickBot="1" x14ac:dyDescent="0.3">
      <c r="A447" s="23">
        <v>45593</v>
      </c>
      <c r="B447" s="10">
        <v>988.83</v>
      </c>
      <c r="C447" s="26">
        <v>29368</v>
      </c>
      <c r="N447" s="23">
        <v>45593</v>
      </c>
      <c r="O447" s="16">
        <v>22202345</v>
      </c>
      <c r="P447" s="26">
        <v>29368</v>
      </c>
    </row>
    <row r="448" spans="1:16" ht="15.75" thickBot="1" x14ac:dyDescent="0.3">
      <c r="A448" s="23">
        <v>45594</v>
      </c>
      <c r="B448" s="10">
        <v>989.25</v>
      </c>
      <c r="C448" s="26">
        <v>29669</v>
      </c>
      <c r="N448" s="23">
        <v>45594</v>
      </c>
      <c r="O448" s="16">
        <v>22150936</v>
      </c>
      <c r="P448" s="26">
        <v>29669</v>
      </c>
    </row>
    <row r="449" spans="1:16" ht="15.75" thickBot="1" x14ac:dyDescent="0.3">
      <c r="A449" s="23">
        <v>45595</v>
      </c>
      <c r="B449" s="10">
        <v>990.25</v>
      </c>
      <c r="C449" s="26">
        <v>29863</v>
      </c>
      <c r="N449" s="23">
        <v>45595</v>
      </c>
      <c r="O449" s="16">
        <v>22501007</v>
      </c>
      <c r="P449" s="26">
        <v>29863</v>
      </c>
    </row>
    <row r="450" spans="1:16" ht="15.75" thickBot="1" x14ac:dyDescent="0.3">
      <c r="A450" s="23">
        <v>45596</v>
      </c>
      <c r="B450" s="10">
        <v>990.75</v>
      </c>
      <c r="C450" s="26">
        <v>28618</v>
      </c>
      <c r="N450" s="23">
        <v>45596</v>
      </c>
      <c r="O450" s="16">
        <v>22715300</v>
      </c>
      <c r="P450" s="26">
        <v>28618</v>
      </c>
    </row>
    <row r="451" spans="1:16" ht="15.75" thickBot="1" x14ac:dyDescent="0.3">
      <c r="A451" s="23">
        <v>45597</v>
      </c>
      <c r="B451" s="10">
        <v>992.75</v>
      </c>
      <c r="C451" s="26">
        <v>29603</v>
      </c>
      <c r="N451" s="23">
        <v>45597</v>
      </c>
      <c r="O451" s="16">
        <v>25347133</v>
      </c>
      <c r="P451" s="26">
        <v>29603</v>
      </c>
    </row>
    <row r="452" spans="1:16" ht="15.75" thickBot="1" x14ac:dyDescent="0.3">
      <c r="A452" s="23">
        <v>45600</v>
      </c>
      <c r="B452" s="10">
        <v>993.33</v>
      </c>
      <c r="C452" s="26">
        <v>30182</v>
      </c>
      <c r="N452" s="23">
        <v>45600</v>
      </c>
      <c r="O452" s="16">
        <v>26060126</v>
      </c>
      <c r="P452" s="26">
        <v>30182</v>
      </c>
    </row>
    <row r="453" spans="1:16" ht="15.75" thickBot="1" x14ac:dyDescent="0.3">
      <c r="A453" s="23">
        <v>45601</v>
      </c>
      <c r="B453" s="10">
        <v>994.75</v>
      </c>
      <c r="C453" s="26">
        <v>30432</v>
      </c>
      <c r="N453" s="23">
        <v>45601</v>
      </c>
      <c r="O453" s="16">
        <v>26160894</v>
      </c>
      <c r="P453" s="26">
        <v>30432</v>
      </c>
    </row>
    <row r="454" spans="1:16" ht="15.75" thickBot="1" x14ac:dyDescent="0.3">
      <c r="A454" s="23">
        <v>45603</v>
      </c>
      <c r="B454" s="10">
        <v>995.33</v>
      </c>
      <c r="C454" s="26">
        <v>29668</v>
      </c>
      <c r="N454" s="23">
        <v>45603</v>
      </c>
      <c r="O454" s="16">
        <v>26103201</v>
      </c>
      <c r="P454" s="26">
        <v>29668</v>
      </c>
    </row>
    <row r="455" spans="1:16" ht="15.75" thickBot="1" x14ac:dyDescent="0.3">
      <c r="A455" s="23">
        <v>45604</v>
      </c>
      <c r="B455" s="10">
        <v>997.25</v>
      </c>
      <c r="C455" s="26">
        <v>29838</v>
      </c>
      <c r="N455" s="23">
        <v>45604</v>
      </c>
      <c r="O455" s="16">
        <v>25776705</v>
      </c>
      <c r="P455" s="26">
        <v>29838</v>
      </c>
    </row>
    <row r="456" spans="1:16" ht="15.75" thickBot="1" x14ac:dyDescent="0.3">
      <c r="A456" s="23">
        <v>45607</v>
      </c>
      <c r="B456" s="10">
        <v>997.75</v>
      </c>
      <c r="C456" s="26">
        <v>29859</v>
      </c>
      <c r="N456" s="23">
        <v>45607</v>
      </c>
      <c r="O456" s="16">
        <v>25849707</v>
      </c>
      <c r="P456" s="26">
        <v>29859</v>
      </c>
    </row>
    <row r="457" spans="1:16" ht="15.75" thickBot="1" x14ac:dyDescent="0.3">
      <c r="A457" s="23">
        <v>45608</v>
      </c>
      <c r="B457" s="10">
        <v>998.75</v>
      </c>
      <c r="C457" s="26">
        <v>29962</v>
      </c>
      <c r="N457" s="23">
        <v>45608</v>
      </c>
      <c r="O457" s="16">
        <v>25178421</v>
      </c>
      <c r="P457" s="26">
        <v>29962</v>
      </c>
    </row>
    <row r="458" spans="1:16" ht="15.75" thickBot="1" x14ac:dyDescent="0.3">
      <c r="A458" s="23">
        <v>45609</v>
      </c>
      <c r="B458" s="10">
        <v>999.25</v>
      </c>
      <c r="C458" s="26">
        <v>30023</v>
      </c>
      <c r="N458" s="23">
        <v>45609</v>
      </c>
      <c r="O458" s="16">
        <v>25164527</v>
      </c>
      <c r="P458" s="26">
        <v>30023</v>
      </c>
    </row>
    <row r="459" spans="1:16" ht="15.75" thickBot="1" x14ac:dyDescent="0.3">
      <c r="A459" s="23">
        <v>45610</v>
      </c>
      <c r="B459" s="10">
        <v>999.75</v>
      </c>
      <c r="C459" s="26">
        <v>30193</v>
      </c>
      <c r="N459" s="23">
        <v>45610</v>
      </c>
      <c r="O459" s="16">
        <v>25053050</v>
      </c>
      <c r="P459" s="26">
        <v>30193</v>
      </c>
    </row>
    <row r="460" spans="1:16" ht="15.75" thickBot="1" x14ac:dyDescent="0.3">
      <c r="A460" s="23">
        <v>45611</v>
      </c>
      <c r="B460" s="10">
        <v>1002.75</v>
      </c>
      <c r="C460" s="26">
        <v>29878</v>
      </c>
      <c r="N460" s="23">
        <v>45611</v>
      </c>
      <c r="O460" s="16">
        <v>24895472</v>
      </c>
      <c r="P460" s="26">
        <v>29878</v>
      </c>
    </row>
    <row r="461" spans="1:16" ht="15.75" thickBot="1" x14ac:dyDescent="0.3">
      <c r="A461" s="23">
        <v>45615</v>
      </c>
      <c r="B461" s="10">
        <v>1003.25</v>
      </c>
      <c r="C461" s="26">
        <v>30274</v>
      </c>
      <c r="N461" s="23">
        <v>45615</v>
      </c>
      <c r="O461" s="16">
        <v>23943879</v>
      </c>
      <c r="P461" s="26">
        <v>30274</v>
      </c>
    </row>
    <row r="462" spans="1:16" ht="15.75" thickBot="1" x14ac:dyDescent="0.3">
      <c r="A462" s="23">
        <v>45616</v>
      </c>
      <c r="B462" s="10">
        <v>1003.75</v>
      </c>
      <c r="C462" s="26">
        <v>30494</v>
      </c>
      <c r="N462" s="23">
        <v>45616</v>
      </c>
      <c r="O462" s="16">
        <v>23983132</v>
      </c>
      <c r="P462" s="26">
        <v>30494</v>
      </c>
    </row>
    <row r="463" spans="1:16" ht="15.75" thickBot="1" x14ac:dyDescent="0.3">
      <c r="A463" s="23">
        <v>45617</v>
      </c>
      <c r="B463" s="10">
        <v>1004.75</v>
      </c>
      <c r="C463" s="26">
        <v>30845</v>
      </c>
      <c r="N463" s="23">
        <v>45617</v>
      </c>
      <c r="O463" s="16">
        <v>23824206</v>
      </c>
      <c r="P463" s="26">
        <v>30845</v>
      </c>
    </row>
    <row r="464" spans="1:16" ht="15.75" thickBot="1" x14ac:dyDescent="0.3">
      <c r="A464" s="23">
        <v>45618</v>
      </c>
      <c r="B464" s="10">
        <v>1006.75</v>
      </c>
      <c r="C464" s="26">
        <v>30874</v>
      </c>
      <c r="N464" s="23">
        <v>45618</v>
      </c>
      <c r="O464" s="16">
        <v>24046457</v>
      </c>
      <c r="P464" s="26">
        <v>30874</v>
      </c>
    </row>
    <row r="465" spans="1:16" ht="15.75" thickBot="1" x14ac:dyDescent="0.3">
      <c r="A465" s="23">
        <v>45621</v>
      </c>
      <c r="B465" s="10">
        <v>1007.25</v>
      </c>
      <c r="C465" s="26">
        <v>30879</v>
      </c>
      <c r="N465" s="23">
        <v>45621</v>
      </c>
      <c r="O465" s="16">
        <v>23330887</v>
      </c>
      <c r="P465" s="26">
        <v>30879</v>
      </c>
    </row>
    <row r="466" spans="1:16" ht="15.75" thickBot="1" x14ac:dyDescent="0.3">
      <c r="A466" s="23">
        <v>45622</v>
      </c>
      <c r="B466" s="10">
        <v>1007.75</v>
      </c>
      <c r="C466" s="26">
        <v>30928</v>
      </c>
      <c r="N466" s="23">
        <v>45622</v>
      </c>
      <c r="O466" s="16">
        <v>23317994</v>
      </c>
      <c r="P466" s="26">
        <v>30928</v>
      </c>
    </row>
    <row r="467" spans="1:16" ht="15.75" thickBot="1" x14ac:dyDescent="0.3">
      <c r="A467" s="23">
        <v>45623</v>
      </c>
      <c r="B467" s="10">
        <v>1008.75</v>
      </c>
      <c r="C467" s="26">
        <v>31484</v>
      </c>
      <c r="N467" s="23">
        <v>45623</v>
      </c>
      <c r="O467" s="16">
        <v>23369574</v>
      </c>
      <c r="P467" s="26">
        <v>31484</v>
      </c>
    </row>
    <row r="468" spans="1:16" ht="15.75" thickBot="1" x14ac:dyDescent="0.3">
      <c r="A468" s="23">
        <v>45624</v>
      </c>
      <c r="B468" s="10">
        <v>1009.25</v>
      </c>
      <c r="C468" s="26">
        <v>31637</v>
      </c>
      <c r="N468" s="23">
        <v>45624</v>
      </c>
      <c r="O468" s="16">
        <v>23995936</v>
      </c>
      <c r="P468" s="26">
        <v>31637</v>
      </c>
    </row>
    <row r="469" spans="1:16" ht="15.75" thickBot="1" x14ac:dyDescent="0.3">
      <c r="A469" s="23">
        <v>45625</v>
      </c>
      <c r="B469" s="10">
        <v>1011.75</v>
      </c>
      <c r="C469" s="26">
        <v>30214</v>
      </c>
      <c r="N469" s="23">
        <v>45625</v>
      </c>
      <c r="O469" s="16">
        <v>23823912</v>
      </c>
      <c r="P469" s="26">
        <v>30214</v>
      </c>
    </row>
    <row r="470" spans="1:16" ht="15.75" thickBot="1" x14ac:dyDescent="0.3">
      <c r="A470" s="23">
        <v>45628</v>
      </c>
      <c r="B470" s="10">
        <v>1011.92</v>
      </c>
      <c r="C470" s="26">
        <v>31314</v>
      </c>
      <c r="N470" s="23">
        <v>45628</v>
      </c>
      <c r="O470" s="16">
        <v>25014750</v>
      </c>
      <c r="P470" s="26">
        <v>31314</v>
      </c>
    </row>
    <row r="471" spans="1:16" ht="15.75" thickBot="1" x14ac:dyDescent="0.3">
      <c r="A471" s="23">
        <v>45629</v>
      </c>
      <c r="B471" s="10">
        <v>1013.17</v>
      </c>
      <c r="C471" s="26">
        <v>31240</v>
      </c>
      <c r="N471" s="23">
        <v>45629</v>
      </c>
      <c r="O471" s="16">
        <v>26447592</v>
      </c>
      <c r="P471" s="26">
        <v>31240</v>
      </c>
    </row>
    <row r="472" spans="1:16" ht="15.75" thickBot="1" x14ac:dyDescent="0.3">
      <c r="A472" s="23">
        <v>45630</v>
      </c>
      <c r="B472" s="10">
        <v>1013.25</v>
      </c>
      <c r="C472" s="26">
        <v>31266</v>
      </c>
      <c r="N472" s="23">
        <v>45630</v>
      </c>
      <c r="O472" s="16">
        <v>26380776</v>
      </c>
      <c r="P472" s="26">
        <v>31266</v>
      </c>
    </row>
    <row r="473" spans="1:16" ht="15.75" thickBot="1" x14ac:dyDescent="0.3">
      <c r="A473" s="23">
        <v>45631</v>
      </c>
      <c r="B473" s="10">
        <v>1013.83</v>
      </c>
      <c r="C473" s="26">
        <v>31534</v>
      </c>
      <c r="N473" s="23">
        <v>45631</v>
      </c>
      <c r="O473" s="16">
        <v>26449915</v>
      </c>
      <c r="P473" s="26">
        <v>31534</v>
      </c>
    </row>
    <row r="474" spans="1:16" ht="15.75" thickBot="1" x14ac:dyDescent="0.3">
      <c r="A474" s="23">
        <v>45632</v>
      </c>
      <c r="B474" s="10">
        <v>1015.75</v>
      </c>
      <c r="C474" s="26">
        <v>31531</v>
      </c>
      <c r="N474" s="23">
        <v>45632</v>
      </c>
      <c r="O474" s="16">
        <v>26939894</v>
      </c>
      <c r="P474" s="26">
        <v>31531</v>
      </c>
    </row>
    <row r="475" spans="1:16" ht="15.75" thickBot="1" x14ac:dyDescent="0.3">
      <c r="A475" s="23">
        <v>45635</v>
      </c>
      <c r="B475" s="10">
        <v>1016.75</v>
      </c>
      <c r="C475" s="26">
        <v>31512</v>
      </c>
      <c r="N475" s="23">
        <v>45635</v>
      </c>
      <c r="O475" s="16">
        <v>27216853</v>
      </c>
      <c r="P475" s="26">
        <v>31512</v>
      </c>
    </row>
    <row r="476" spans="1:16" ht="15.75" thickBot="1" x14ac:dyDescent="0.3">
      <c r="A476" s="23">
        <v>45636</v>
      </c>
      <c r="B476" s="10">
        <v>1017.25</v>
      </c>
      <c r="C476" s="26">
        <v>31619</v>
      </c>
      <c r="N476" s="23">
        <v>45636</v>
      </c>
      <c r="O476" s="16">
        <v>26867862</v>
      </c>
      <c r="P476" s="26">
        <v>31619</v>
      </c>
    </row>
    <row r="477" spans="1:16" ht="15.75" thickBot="1" x14ac:dyDescent="0.3">
      <c r="A477" s="23">
        <v>45637</v>
      </c>
      <c r="B477" s="10">
        <v>1017.75</v>
      </c>
      <c r="C477" s="26">
        <v>31988</v>
      </c>
      <c r="N477" s="23">
        <v>45637</v>
      </c>
      <c r="O477" s="16">
        <v>27161741</v>
      </c>
      <c r="P477" s="26">
        <v>31988</v>
      </c>
    </row>
    <row r="478" spans="1:16" ht="15.75" thickBot="1" x14ac:dyDescent="0.3">
      <c r="A478" s="23">
        <v>45638</v>
      </c>
      <c r="B478" s="10">
        <v>1018.75</v>
      </c>
      <c r="C478" s="26">
        <v>31849</v>
      </c>
      <c r="N478" s="23">
        <v>45638</v>
      </c>
      <c r="O478" s="16">
        <v>27226652</v>
      </c>
      <c r="P478" s="26">
        <v>31849</v>
      </c>
    </row>
    <row r="479" spans="1:16" ht="15.75" thickBot="1" x14ac:dyDescent="0.3">
      <c r="A479" s="23">
        <v>45639</v>
      </c>
      <c r="B479" s="10">
        <v>1020.75</v>
      </c>
      <c r="C479" s="26">
        <v>31937</v>
      </c>
      <c r="N479" s="23">
        <v>45639</v>
      </c>
      <c r="O479" s="16">
        <v>28040059</v>
      </c>
      <c r="P479" s="26">
        <v>31937</v>
      </c>
    </row>
    <row r="480" spans="1:16" ht="15.75" thickBot="1" x14ac:dyDescent="0.3">
      <c r="A480" s="23">
        <v>45642</v>
      </c>
      <c r="B480" s="10">
        <v>1021.25</v>
      </c>
      <c r="C480" s="26">
        <v>31744</v>
      </c>
      <c r="N480" s="23">
        <v>45642</v>
      </c>
      <c r="O480" s="16">
        <v>28000252</v>
      </c>
      <c r="P480" s="26">
        <v>31744</v>
      </c>
    </row>
    <row r="481" spans="1:16" ht="15.75" thickBot="1" x14ac:dyDescent="0.3">
      <c r="A481" s="23">
        <v>45643</v>
      </c>
      <c r="B481" s="10">
        <v>1021.83</v>
      </c>
      <c r="C481" s="26">
        <v>32257</v>
      </c>
      <c r="N481" s="23">
        <v>45643</v>
      </c>
      <c r="O481" s="16">
        <v>27719282</v>
      </c>
      <c r="P481" s="26">
        <v>32257</v>
      </c>
    </row>
    <row r="482" spans="1:16" ht="15.75" thickBot="1" x14ac:dyDescent="0.3">
      <c r="A482" s="23">
        <v>45644</v>
      </c>
      <c r="B482" s="10">
        <v>1022.75</v>
      </c>
      <c r="C482" s="26">
        <v>32255</v>
      </c>
      <c r="N482" s="23">
        <v>45644</v>
      </c>
      <c r="O482" s="16">
        <v>27711731</v>
      </c>
      <c r="P482" s="26">
        <v>32255</v>
      </c>
    </row>
    <row r="483" spans="1:16" ht="15.75" thickBot="1" x14ac:dyDescent="0.3">
      <c r="A483" s="23">
        <v>45645</v>
      </c>
      <c r="B483" s="10">
        <v>1023.25</v>
      </c>
      <c r="C483" s="26">
        <v>32243</v>
      </c>
      <c r="N483" s="23">
        <v>45645</v>
      </c>
      <c r="O483" s="16">
        <v>27743826</v>
      </c>
      <c r="P483" s="26">
        <v>32243</v>
      </c>
    </row>
    <row r="484" spans="1:16" ht="15.75" thickBot="1" x14ac:dyDescent="0.3">
      <c r="A484" s="23">
        <v>45646</v>
      </c>
      <c r="B484" s="10">
        <v>1025.42</v>
      </c>
      <c r="C484" s="26">
        <v>32864</v>
      </c>
      <c r="N484" s="23">
        <v>45646</v>
      </c>
      <c r="O484" s="16">
        <v>28395764</v>
      </c>
      <c r="P484" s="26">
        <v>32864</v>
      </c>
    </row>
    <row r="485" spans="1:16" ht="15.75" thickBot="1" x14ac:dyDescent="0.3">
      <c r="A485" s="23">
        <v>45649</v>
      </c>
      <c r="B485" s="10">
        <v>1027.75</v>
      </c>
      <c r="C485" s="26">
        <v>32688</v>
      </c>
      <c r="N485" s="23">
        <v>45649</v>
      </c>
      <c r="O485" s="16">
        <v>28371966</v>
      </c>
      <c r="P485" s="26">
        <v>32688</v>
      </c>
    </row>
    <row r="486" spans="1:16" ht="15.75" thickBot="1" x14ac:dyDescent="0.3">
      <c r="A486" s="23">
        <v>45652</v>
      </c>
      <c r="B486" s="10">
        <v>1029</v>
      </c>
      <c r="C486" s="26">
        <v>32413</v>
      </c>
      <c r="N486" s="23">
        <v>45652</v>
      </c>
      <c r="O486" s="16">
        <v>27902229</v>
      </c>
      <c r="P486" s="26">
        <v>32413</v>
      </c>
    </row>
    <row r="487" spans="1:16" ht="15.75" thickBot="1" x14ac:dyDescent="0.3">
      <c r="A487" s="23">
        <v>45653</v>
      </c>
      <c r="B487" s="10">
        <v>1030.5</v>
      </c>
      <c r="C487" s="26">
        <v>31524</v>
      </c>
      <c r="N487" s="23">
        <v>45653</v>
      </c>
      <c r="O487" s="16">
        <v>28148247</v>
      </c>
      <c r="P487" s="26">
        <v>31524</v>
      </c>
    </row>
    <row r="488" spans="1:16" ht="15.75" thickBot="1" x14ac:dyDescent="0.3">
      <c r="A488" s="23">
        <v>45656</v>
      </c>
      <c r="B488" s="10">
        <v>1032.5</v>
      </c>
      <c r="C488" s="26">
        <v>29640</v>
      </c>
      <c r="N488" s="23">
        <v>45656</v>
      </c>
      <c r="O488" s="16">
        <v>29728575</v>
      </c>
      <c r="P488" s="26">
        <v>29640</v>
      </c>
    </row>
    <row r="489" spans="1:16" ht="15.75" thickBot="1" x14ac:dyDescent="0.3">
      <c r="A489" s="23">
        <v>45659</v>
      </c>
      <c r="B489" s="10">
        <v>1032.75</v>
      </c>
      <c r="C489" s="26">
        <v>31706</v>
      </c>
      <c r="N489" s="23">
        <v>45659</v>
      </c>
      <c r="O489" s="16">
        <v>30977989</v>
      </c>
      <c r="P489" s="26">
        <v>31706</v>
      </c>
    </row>
    <row r="490" spans="1:16" ht="15.75" thickBot="1" x14ac:dyDescent="0.3">
      <c r="A490" s="23">
        <v>45660</v>
      </c>
      <c r="B490" s="10">
        <v>1034.75</v>
      </c>
      <c r="C490" s="26">
        <v>32774</v>
      </c>
      <c r="N490" s="23">
        <v>45660</v>
      </c>
      <c r="O490" s="16">
        <v>31660480</v>
      </c>
      <c r="P490" s="26">
        <v>32774</v>
      </c>
    </row>
    <row r="491" spans="1:16" ht="15.75" thickBot="1" x14ac:dyDescent="0.3">
      <c r="A491" s="23">
        <v>45663</v>
      </c>
      <c r="B491" s="10">
        <v>1035.75</v>
      </c>
      <c r="C491" s="26">
        <v>32805</v>
      </c>
      <c r="N491" s="23">
        <v>45663</v>
      </c>
      <c r="O491" s="16">
        <v>31269417</v>
      </c>
      <c r="P491" s="26">
        <v>32805</v>
      </c>
    </row>
    <row r="492" spans="1:16" ht="15.75" thickBot="1" x14ac:dyDescent="0.3">
      <c r="A492" s="23">
        <v>45664</v>
      </c>
      <c r="B492" s="10">
        <v>1036.25</v>
      </c>
      <c r="C492" s="26">
        <v>32903</v>
      </c>
      <c r="N492" s="23">
        <v>45664</v>
      </c>
      <c r="O492" s="16">
        <v>31025360</v>
      </c>
      <c r="P492" s="26">
        <v>32903</v>
      </c>
    </row>
    <row r="493" spans="1:16" ht="15.75" thickBot="1" x14ac:dyDescent="0.3">
      <c r="A493" s="23">
        <v>45665</v>
      </c>
      <c r="B493" s="10">
        <v>1036.75</v>
      </c>
      <c r="C493" s="26">
        <v>31176</v>
      </c>
      <c r="N493" s="23">
        <v>45665</v>
      </c>
      <c r="O493" s="16">
        <v>31138876</v>
      </c>
      <c r="P493" s="26">
        <v>31176</v>
      </c>
    </row>
    <row r="494" spans="1:16" ht="15.75" thickBot="1" x14ac:dyDescent="0.3">
      <c r="A494" s="23">
        <v>45666</v>
      </c>
      <c r="B494" s="10">
        <v>1037.75</v>
      </c>
      <c r="C494" s="26">
        <v>30904</v>
      </c>
      <c r="N494" s="23">
        <v>45666</v>
      </c>
      <c r="O494" s="16">
        <v>30687325</v>
      </c>
      <c r="P494" s="26">
        <v>30904</v>
      </c>
    </row>
    <row r="495" spans="1:16" ht="15.75" thickBot="1" x14ac:dyDescent="0.3">
      <c r="A495" s="23">
        <v>45667</v>
      </c>
      <c r="B495" s="10">
        <v>1039.75</v>
      </c>
      <c r="C495" s="26">
        <v>31038</v>
      </c>
      <c r="N495" s="23">
        <v>45667</v>
      </c>
      <c r="O495" s="16">
        <v>30414752</v>
      </c>
      <c r="P495" s="26">
        <v>31038</v>
      </c>
    </row>
    <row r="496" spans="1:16" ht="15.75" thickBot="1" x14ac:dyDescent="0.3">
      <c r="A496" s="23">
        <v>45670</v>
      </c>
      <c r="B496" s="10">
        <v>1040.25</v>
      </c>
      <c r="C496" s="26">
        <v>30835</v>
      </c>
      <c r="N496" s="23">
        <v>45670</v>
      </c>
      <c r="O496" s="16">
        <v>29988673</v>
      </c>
      <c r="P496" s="26">
        <v>30835</v>
      </c>
    </row>
    <row r="497" spans="1:16" ht="15.75" thickBot="1" x14ac:dyDescent="0.3">
      <c r="A497" s="23">
        <v>45671</v>
      </c>
      <c r="B497" s="10">
        <v>1041.25</v>
      </c>
      <c r="C497" s="26">
        <v>30704</v>
      </c>
      <c r="N497" s="23">
        <v>45671</v>
      </c>
      <c r="O497" s="16">
        <v>29244363</v>
      </c>
      <c r="P497" s="26">
        <v>30704</v>
      </c>
    </row>
    <row r="498" spans="1:16" ht="15.75" thickBot="1" x14ac:dyDescent="0.3">
      <c r="A498" s="23">
        <v>45672</v>
      </c>
      <c r="B498" s="10">
        <v>1041.75</v>
      </c>
      <c r="C498" s="26">
        <v>30624</v>
      </c>
      <c r="N498" s="23">
        <v>45672</v>
      </c>
      <c r="O498" s="16">
        <v>30122644</v>
      </c>
      <c r="P498" s="26">
        <v>30624</v>
      </c>
    </row>
    <row r="499" spans="1:16" ht="15.75" thickBot="1" x14ac:dyDescent="0.3">
      <c r="A499" s="23">
        <v>45673</v>
      </c>
      <c r="B499" s="10">
        <v>1042.25</v>
      </c>
      <c r="C499" s="26">
        <v>30707</v>
      </c>
      <c r="N499" s="23">
        <v>45673</v>
      </c>
      <c r="O499" s="16">
        <v>30188706</v>
      </c>
      <c r="P499" s="26">
        <v>30707</v>
      </c>
    </row>
    <row r="500" spans="1:16" ht="15.75" thickBot="1" x14ac:dyDescent="0.3">
      <c r="A500" s="23">
        <v>45674</v>
      </c>
      <c r="B500" s="10">
        <v>1044.5</v>
      </c>
      <c r="C500" s="26">
        <v>30518</v>
      </c>
      <c r="N500" s="23">
        <v>45674</v>
      </c>
      <c r="O500" s="16">
        <v>30146444</v>
      </c>
      <c r="P500" s="26">
        <v>30518</v>
      </c>
    </row>
    <row r="501" spans="1:16" ht="15.75" thickBot="1" x14ac:dyDescent="0.3">
      <c r="A501" s="23">
        <v>45677</v>
      </c>
      <c r="B501" s="10">
        <v>1045.25</v>
      </c>
      <c r="C501" s="26">
        <v>30593</v>
      </c>
      <c r="N501" s="23">
        <v>45677</v>
      </c>
      <c r="O501" s="16">
        <v>29983683</v>
      </c>
      <c r="P501" s="26">
        <v>30593</v>
      </c>
    </row>
    <row r="502" spans="1:16" ht="15.75" thickBot="1" x14ac:dyDescent="0.3">
      <c r="A502" s="23">
        <v>45678</v>
      </c>
      <c r="B502" s="10">
        <v>1045.92</v>
      </c>
      <c r="C502" s="26">
        <v>30282</v>
      </c>
      <c r="N502" s="23">
        <v>45678</v>
      </c>
      <c r="O502" s="16">
        <v>29894816</v>
      </c>
      <c r="P502" s="26">
        <v>30282</v>
      </c>
    </row>
    <row r="503" spans="1:16" ht="15.75" thickBot="1" x14ac:dyDescent="0.3">
      <c r="A503" s="23">
        <v>45679</v>
      </c>
      <c r="B503" s="10">
        <v>1047.25</v>
      </c>
      <c r="C503" s="26">
        <v>30140</v>
      </c>
      <c r="N503" s="23">
        <v>45679</v>
      </c>
      <c r="O503" s="16">
        <v>30090521</v>
      </c>
      <c r="P503" s="26">
        <v>30140</v>
      </c>
    </row>
    <row r="504" spans="1:16" ht="15.75" thickBot="1" x14ac:dyDescent="0.3">
      <c r="A504" s="23">
        <v>45680</v>
      </c>
      <c r="B504" s="10">
        <v>1047.67</v>
      </c>
      <c r="C504" s="26">
        <v>29838</v>
      </c>
      <c r="N504" s="23">
        <v>45680</v>
      </c>
      <c r="O504" s="16">
        <v>30058865</v>
      </c>
      <c r="P504" s="26">
        <v>29838</v>
      </c>
    </row>
    <row r="505" spans="1:16" ht="15.75" thickBot="1" x14ac:dyDescent="0.3">
      <c r="A505" s="23">
        <v>45681</v>
      </c>
      <c r="B505" s="10">
        <v>1049.58</v>
      </c>
      <c r="C505" s="26">
        <v>29970</v>
      </c>
      <c r="N505" s="23">
        <v>45681</v>
      </c>
      <c r="O505" s="16">
        <v>30008838</v>
      </c>
      <c r="P505" s="26">
        <v>29970</v>
      </c>
    </row>
    <row r="506" spans="1:16" ht="15.75" thickBot="1" x14ac:dyDescent="0.3">
      <c r="A506" s="23">
        <v>45684</v>
      </c>
      <c r="B506" s="10">
        <v>1050.5</v>
      </c>
      <c r="C506" s="26">
        <v>29834</v>
      </c>
      <c r="N506" s="23">
        <v>45684</v>
      </c>
      <c r="O506" s="16">
        <v>30451680</v>
      </c>
      <c r="P506" s="26">
        <v>29834</v>
      </c>
    </row>
    <row r="507" spans="1:16" ht="15.75" thickBot="1" x14ac:dyDescent="0.3">
      <c r="A507" s="23">
        <v>45685</v>
      </c>
      <c r="B507" s="10">
        <v>1050.92</v>
      </c>
      <c r="C507" s="26">
        <v>29802</v>
      </c>
      <c r="N507" s="23">
        <v>45685</v>
      </c>
      <c r="O507" s="16">
        <v>29616605</v>
      </c>
      <c r="P507" s="26">
        <v>29802</v>
      </c>
    </row>
    <row r="508" spans="1:16" ht="15.75" thickBot="1" x14ac:dyDescent="0.3">
      <c r="A508" s="23">
        <v>45686</v>
      </c>
      <c r="B508" s="10">
        <v>1051.58</v>
      </c>
      <c r="C508" s="26">
        <v>29648</v>
      </c>
      <c r="N508" s="23">
        <v>45686</v>
      </c>
      <c r="O508" s="16">
        <v>29196847</v>
      </c>
      <c r="P508" s="26">
        <v>29648</v>
      </c>
    </row>
    <row r="509" spans="1:16" ht="15.75" thickBot="1" x14ac:dyDescent="0.3">
      <c r="A509" s="23">
        <v>45687</v>
      </c>
      <c r="B509" s="10">
        <v>1052.5</v>
      </c>
      <c r="C509" s="26">
        <v>29429</v>
      </c>
      <c r="N509" s="23">
        <v>45687</v>
      </c>
      <c r="O509" s="16">
        <v>28999198</v>
      </c>
      <c r="P509" s="26">
        <v>29429</v>
      </c>
    </row>
    <row r="510" spans="1:16" ht="15.75" thickBot="1" x14ac:dyDescent="0.3">
      <c r="A510" s="23">
        <v>45688</v>
      </c>
      <c r="B510" s="10">
        <v>1053.5</v>
      </c>
      <c r="C510" s="26">
        <v>28310</v>
      </c>
      <c r="N510" s="23">
        <v>45688</v>
      </c>
      <c r="O510" s="16">
        <v>30246597</v>
      </c>
      <c r="P510" s="26">
        <v>28310</v>
      </c>
    </row>
    <row r="511" spans="1:16" ht="15.75" thickBot="1" x14ac:dyDescent="0.3">
      <c r="A511" s="23">
        <v>45691</v>
      </c>
      <c r="B511" s="10">
        <v>1053.92</v>
      </c>
      <c r="C511" s="26">
        <v>29453</v>
      </c>
      <c r="N511" s="23">
        <v>45691</v>
      </c>
      <c r="O511" s="16">
        <v>31194889</v>
      </c>
      <c r="P511" s="26">
        <v>29453</v>
      </c>
    </row>
    <row r="512" spans="1:16" ht="15.75" thickBot="1" x14ac:dyDescent="0.3">
      <c r="A512" s="23">
        <v>45692</v>
      </c>
      <c r="B512" s="10">
        <v>1054.25</v>
      </c>
      <c r="C512" s="26">
        <v>29427</v>
      </c>
      <c r="N512" s="23">
        <v>45692</v>
      </c>
      <c r="O512" s="16">
        <v>31793497</v>
      </c>
      <c r="P512" s="26">
        <v>29427</v>
      </c>
    </row>
    <row r="513" spans="1:16" ht="15.75" thickBot="1" x14ac:dyDescent="0.3">
      <c r="A513" s="23">
        <v>45693</v>
      </c>
      <c r="B513" s="10">
        <v>1054.71</v>
      </c>
      <c r="C513" s="26">
        <v>29354</v>
      </c>
      <c r="N513" s="23">
        <v>45693</v>
      </c>
      <c r="O513" s="16">
        <v>30901745</v>
      </c>
      <c r="P513" s="26">
        <v>29354</v>
      </c>
    </row>
    <row r="514" spans="1:16" ht="15.75" thickBot="1" x14ac:dyDescent="0.3">
      <c r="A514" s="23">
        <v>45694</v>
      </c>
      <c r="B514" s="10">
        <v>1054.8800000000001</v>
      </c>
      <c r="C514" s="26">
        <v>28743</v>
      </c>
      <c r="N514" s="23">
        <v>45694</v>
      </c>
      <c r="O514" s="16">
        <v>31034691</v>
      </c>
      <c r="P514" s="26">
        <v>28743</v>
      </c>
    </row>
    <row r="515" spans="1:16" ht="15.75" thickBot="1" x14ac:dyDescent="0.3">
      <c r="A515" s="23">
        <v>45695</v>
      </c>
      <c r="B515" s="10">
        <v>1055.92</v>
      </c>
      <c r="C515" s="26">
        <v>28889</v>
      </c>
      <c r="N515" s="23">
        <v>45695</v>
      </c>
      <c r="O515" s="16">
        <v>31310198</v>
      </c>
      <c r="P515" s="26">
        <v>28889</v>
      </c>
    </row>
    <row r="516" spans="1:16" ht="15.75" thickBot="1" x14ac:dyDescent="0.3">
      <c r="A516" s="23">
        <v>45698</v>
      </c>
      <c r="B516" s="10">
        <v>1056.3800000000001</v>
      </c>
      <c r="C516" s="26">
        <v>28938</v>
      </c>
      <c r="N516" s="23">
        <v>45698</v>
      </c>
      <c r="O516" s="16">
        <v>30993421</v>
      </c>
      <c r="P516" s="26">
        <v>28938</v>
      </c>
    </row>
    <row r="517" spans="1:16" ht="15.75" thickBot="1" x14ac:dyDescent="0.3">
      <c r="A517" s="23">
        <v>45699</v>
      </c>
      <c r="B517" s="10">
        <v>1056.6300000000001</v>
      </c>
      <c r="C517" s="26">
        <v>28898</v>
      </c>
      <c r="N517" s="23">
        <v>45699</v>
      </c>
      <c r="O517" s="16">
        <v>30640926</v>
      </c>
      <c r="P517" s="26">
        <v>28898</v>
      </c>
    </row>
    <row r="518" spans="1:16" ht="15.75" thickBot="1" x14ac:dyDescent="0.3">
      <c r="A518" s="23">
        <v>45700</v>
      </c>
      <c r="B518" s="10">
        <v>1056.8800000000001</v>
      </c>
      <c r="C518" s="26">
        <v>28925</v>
      </c>
      <c r="N518" s="23">
        <v>45700</v>
      </c>
      <c r="O518" s="16">
        <v>30436865</v>
      </c>
      <c r="P518" s="26">
        <v>28925</v>
      </c>
    </row>
    <row r="519" spans="1:16" ht="15.75" thickBot="1" x14ac:dyDescent="0.3">
      <c r="A519" s="23">
        <v>45701</v>
      </c>
      <c r="B519" s="10">
        <v>1057.46</v>
      </c>
      <c r="C519" s="26">
        <v>28894</v>
      </c>
      <c r="N519" s="23">
        <v>45701</v>
      </c>
      <c r="O519" s="16">
        <v>30533195</v>
      </c>
      <c r="P519" s="26">
        <v>28894</v>
      </c>
    </row>
    <row r="520" spans="1:16" ht="15.75" thickBot="1" x14ac:dyDescent="0.3">
      <c r="A520" s="23">
        <v>45702</v>
      </c>
      <c r="B520" s="10">
        <v>1058.5</v>
      </c>
      <c r="C520" s="26">
        <v>28801</v>
      </c>
      <c r="N520" s="23">
        <v>45702</v>
      </c>
      <c r="O520" s="16">
        <v>30388719</v>
      </c>
      <c r="P520" s="26">
        <v>28801</v>
      </c>
    </row>
    <row r="521" spans="1:16" ht="15.75" thickBot="1" x14ac:dyDescent="0.3">
      <c r="A521" s="23">
        <v>45705</v>
      </c>
      <c r="B521" s="10">
        <v>1059.08</v>
      </c>
      <c r="C521" s="26">
        <v>28747</v>
      </c>
      <c r="N521" s="23">
        <v>45705</v>
      </c>
      <c r="O521" s="16">
        <v>29278470</v>
      </c>
      <c r="P521" s="26">
        <v>28747</v>
      </c>
    </row>
    <row r="522" spans="1:16" ht="15.75" thickBot="1" x14ac:dyDescent="0.3">
      <c r="A522" s="23">
        <v>45706</v>
      </c>
      <c r="B522" s="10">
        <v>1059.17</v>
      </c>
      <c r="C522" s="26">
        <v>28405</v>
      </c>
      <c r="N522" s="23">
        <v>45706</v>
      </c>
      <c r="O522" s="16">
        <v>29264005</v>
      </c>
      <c r="P522" s="26">
        <v>28405</v>
      </c>
    </row>
    <row r="523" spans="1:16" ht="15.75" thickBot="1" x14ac:dyDescent="0.3">
      <c r="A523" s="23">
        <v>45707</v>
      </c>
      <c r="B523" s="10">
        <v>1059.3800000000001</v>
      </c>
      <c r="C523" s="26">
        <v>28362</v>
      </c>
      <c r="N523" s="23">
        <v>45707</v>
      </c>
      <c r="O523" s="16">
        <v>28991665</v>
      </c>
      <c r="P523" s="26">
        <v>28362</v>
      </c>
    </row>
    <row r="524" spans="1:16" ht="15.75" thickBot="1" x14ac:dyDescent="0.3">
      <c r="A524" s="23">
        <v>45708</v>
      </c>
      <c r="B524" s="10">
        <v>1059.8800000000001</v>
      </c>
      <c r="C524" s="26">
        <v>28578</v>
      </c>
      <c r="N524" s="23">
        <v>45708</v>
      </c>
      <c r="O524" s="16">
        <v>29063451</v>
      </c>
      <c r="P524" s="26">
        <v>28578</v>
      </c>
    </row>
    <row r="525" spans="1:16" ht="15.75" thickBot="1" x14ac:dyDescent="0.3">
      <c r="A525" s="23">
        <v>45709</v>
      </c>
      <c r="B525" s="10">
        <v>1060.8800000000001</v>
      </c>
      <c r="C525" s="26">
        <v>28495</v>
      </c>
      <c r="N525" s="23">
        <v>45709</v>
      </c>
      <c r="O525" s="16">
        <v>29449494</v>
      </c>
      <c r="P525" s="26">
        <v>28495</v>
      </c>
    </row>
    <row r="526" spans="1:16" ht="15.75" thickBot="1" x14ac:dyDescent="0.3">
      <c r="A526" s="23">
        <v>45712</v>
      </c>
      <c r="B526" s="10">
        <v>1061.1300000000001</v>
      </c>
      <c r="C526" s="26">
        <v>28603</v>
      </c>
      <c r="N526" s="23">
        <v>45712</v>
      </c>
      <c r="O526" s="16">
        <v>29282430</v>
      </c>
      <c r="P526" s="26">
        <v>28603</v>
      </c>
    </row>
    <row r="527" spans="1:16" ht="15.75" thickBot="1" x14ac:dyDescent="0.3">
      <c r="A527" s="23">
        <v>45713</v>
      </c>
      <c r="B527" s="10">
        <v>1061.6300000000001</v>
      </c>
      <c r="C527" s="26">
        <v>28685</v>
      </c>
      <c r="N527" s="23">
        <v>45713</v>
      </c>
      <c r="O527" s="16">
        <v>29229656</v>
      </c>
      <c r="P527" s="26">
        <v>28685</v>
      </c>
    </row>
    <row r="528" spans="1:16" ht="15.75" thickBot="1" x14ac:dyDescent="0.3">
      <c r="A528" s="23">
        <v>45714</v>
      </c>
      <c r="B528" s="10">
        <v>1061.8800000000001</v>
      </c>
      <c r="C528" s="26">
        <v>28714</v>
      </c>
      <c r="N528" s="23">
        <v>45714</v>
      </c>
      <c r="O528" s="16">
        <v>29103728</v>
      </c>
      <c r="P528" s="26">
        <v>28714</v>
      </c>
    </row>
    <row r="529" spans="1:16" ht="15.75" thickBot="1" x14ac:dyDescent="0.3">
      <c r="A529" s="23">
        <v>45715</v>
      </c>
      <c r="B529" s="10">
        <v>1062.3800000000001</v>
      </c>
      <c r="C529" s="26">
        <v>28586</v>
      </c>
      <c r="N529" s="23">
        <v>45715</v>
      </c>
      <c r="O529" s="16">
        <v>30179493</v>
      </c>
      <c r="P529" s="26">
        <v>28586</v>
      </c>
    </row>
    <row r="530" spans="1:16" ht="15.75" thickBot="1" x14ac:dyDescent="0.3">
      <c r="A530" s="23">
        <v>45716</v>
      </c>
      <c r="B530" s="10">
        <v>1064.3800000000001</v>
      </c>
      <c r="C530" s="26">
        <v>28117</v>
      </c>
      <c r="N530" s="23">
        <v>45716</v>
      </c>
      <c r="O530" s="16">
        <v>30282166</v>
      </c>
      <c r="P530" s="26">
        <v>28117</v>
      </c>
    </row>
    <row r="531" spans="1:16" ht="15.75" thickBot="1" x14ac:dyDescent="0.3">
      <c r="A531" s="23">
        <v>45721</v>
      </c>
      <c r="B531" s="10">
        <v>1064.3800000000001</v>
      </c>
      <c r="C531" s="26">
        <v>27991</v>
      </c>
      <c r="N531" s="23">
        <v>45721</v>
      </c>
      <c r="O531" s="16">
        <v>30759385</v>
      </c>
      <c r="P531" s="26">
        <v>27991</v>
      </c>
    </row>
    <row r="532" spans="1:16" ht="15.75" thickBot="1" x14ac:dyDescent="0.3">
      <c r="A532" s="23">
        <v>45722</v>
      </c>
      <c r="B532" s="10">
        <v>1064.6300000000001</v>
      </c>
      <c r="C532" s="26">
        <v>28181</v>
      </c>
      <c r="N532" s="23">
        <v>45722</v>
      </c>
      <c r="O532" s="16">
        <v>31125291</v>
      </c>
      <c r="P532" s="26">
        <v>28181</v>
      </c>
    </row>
    <row r="533" spans="1:16" ht="15.75" thickBot="1" x14ac:dyDescent="0.3">
      <c r="A533" s="23">
        <v>45723</v>
      </c>
      <c r="B533" s="10">
        <v>1066.04</v>
      </c>
      <c r="C533" s="26">
        <v>28090</v>
      </c>
      <c r="N533" s="23">
        <v>45723</v>
      </c>
      <c r="O533" s="16">
        <v>30856427</v>
      </c>
      <c r="P533" s="26">
        <v>28090</v>
      </c>
    </row>
    <row r="534" spans="1:16" ht="15.75" thickBot="1" x14ac:dyDescent="0.3">
      <c r="A534" s="23">
        <v>45726</v>
      </c>
      <c r="B534" s="10">
        <v>1066.33</v>
      </c>
      <c r="C534" s="26">
        <v>27732</v>
      </c>
      <c r="N534" s="23">
        <v>45726</v>
      </c>
      <c r="O534" s="16">
        <v>30146018</v>
      </c>
      <c r="P534" s="26">
        <v>27732</v>
      </c>
    </row>
    <row r="535" spans="1:16" ht="15.75" thickBot="1" x14ac:dyDescent="0.3">
      <c r="A535" s="23">
        <v>45727</v>
      </c>
      <c r="B535" s="10">
        <v>1066.67</v>
      </c>
      <c r="C535" s="26">
        <v>27687</v>
      </c>
      <c r="N535" s="23">
        <v>45727</v>
      </c>
      <c r="O535" s="16">
        <v>30475141</v>
      </c>
      <c r="P535" s="26">
        <v>27687</v>
      </c>
    </row>
    <row r="536" spans="1:16" ht="15.75" thickBot="1" x14ac:dyDescent="0.3">
      <c r="A536" s="23">
        <v>45728</v>
      </c>
      <c r="B536" s="10">
        <v>1066.8800000000001</v>
      </c>
      <c r="C536" s="26">
        <v>27960</v>
      </c>
      <c r="N536" s="23">
        <v>45728</v>
      </c>
      <c r="O536" s="16">
        <v>30493322</v>
      </c>
      <c r="P536" s="26">
        <v>27960</v>
      </c>
    </row>
    <row r="537" spans="1:16" ht="15.75" thickBot="1" x14ac:dyDescent="0.3">
      <c r="A537" s="23">
        <v>45729</v>
      </c>
      <c r="B537" s="10">
        <v>1067.1300000000001</v>
      </c>
      <c r="C537" s="26">
        <v>28104</v>
      </c>
      <c r="N537" s="23">
        <v>45729</v>
      </c>
      <c r="O537" s="16">
        <v>30051710</v>
      </c>
      <c r="P537" s="26">
        <v>28104</v>
      </c>
    </row>
    <row r="538" spans="1:16" ht="15.75" thickBot="1" x14ac:dyDescent="0.3">
      <c r="A538" s="23">
        <v>45730</v>
      </c>
      <c r="B538" s="10">
        <v>1068.54</v>
      </c>
      <c r="C538" s="26">
        <v>28091</v>
      </c>
      <c r="N538" s="23">
        <v>45730</v>
      </c>
      <c r="O538" s="16">
        <v>30562264</v>
      </c>
      <c r="P538" s="26">
        <v>28091</v>
      </c>
    </row>
    <row r="539" spans="1:16" ht="15.75" thickBot="1" x14ac:dyDescent="0.3">
      <c r="A539" s="23">
        <v>45733</v>
      </c>
      <c r="B539" s="10">
        <v>1068.92</v>
      </c>
      <c r="C539" s="26">
        <v>27338</v>
      </c>
      <c r="N539" s="23">
        <v>45733</v>
      </c>
      <c r="O539" s="16">
        <v>30215667</v>
      </c>
      <c r="P539" s="26">
        <v>27338</v>
      </c>
    </row>
    <row r="540" spans="1:16" ht="15.75" thickBot="1" x14ac:dyDescent="0.3">
      <c r="A540" s="23">
        <v>45734</v>
      </c>
      <c r="B540" s="10">
        <v>1069.1300000000001</v>
      </c>
      <c r="C540" s="26">
        <v>27208</v>
      </c>
      <c r="N540" s="23">
        <v>45734</v>
      </c>
      <c r="O540" s="16">
        <v>29885056</v>
      </c>
      <c r="P540" s="26">
        <v>27208</v>
      </c>
    </row>
    <row r="541" spans="1:16" ht="15.75" thickBot="1" x14ac:dyDescent="0.3">
      <c r="A541" s="23">
        <v>45735</v>
      </c>
      <c r="B541" s="10">
        <v>1069.6300000000001</v>
      </c>
      <c r="C541" s="26">
        <v>27046</v>
      </c>
      <c r="N541" s="23">
        <v>45735</v>
      </c>
      <c r="O541" s="16">
        <v>29992603</v>
      </c>
      <c r="P541" s="26">
        <v>27046</v>
      </c>
    </row>
    <row r="542" spans="1:16" ht="15.75" thickBot="1" x14ac:dyDescent="0.3">
      <c r="A542" s="23">
        <v>45736</v>
      </c>
      <c r="B542" s="10">
        <v>1069.83</v>
      </c>
      <c r="C542" s="26">
        <v>26785</v>
      </c>
      <c r="N542" s="23">
        <v>45736</v>
      </c>
      <c r="O542" s="16">
        <v>29715005</v>
      </c>
      <c r="P542" s="26">
        <v>26785</v>
      </c>
    </row>
    <row r="543" spans="1:16" ht="15.75" thickBot="1" x14ac:dyDescent="0.3">
      <c r="A543" s="23">
        <v>45737</v>
      </c>
      <c r="B543" s="10">
        <v>1071.33</v>
      </c>
      <c r="C543" s="26">
        <v>26628</v>
      </c>
      <c r="N543" s="23">
        <v>45737</v>
      </c>
      <c r="O543" s="16">
        <v>30157532</v>
      </c>
      <c r="P543" s="26">
        <v>26628</v>
      </c>
    </row>
    <row r="544" spans="1:16" ht="15.75" thickBot="1" x14ac:dyDescent="0.3">
      <c r="A544" s="23">
        <v>45741</v>
      </c>
      <c r="B544" s="10">
        <v>1071.58</v>
      </c>
      <c r="C544" s="26">
        <v>26442</v>
      </c>
      <c r="N544" s="23">
        <v>45741</v>
      </c>
      <c r="O544" s="16">
        <v>30148778</v>
      </c>
      <c r="P544" s="26">
        <v>26442</v>
      </c>
    </row>
    <row r="545" spans="1:16" ht="15.75" thickBot="1" x14ac:dyDescent="0.3">
      <c r="A545" s="23">
        <v>45742</v>
      </c>
      <c r="B545" s="10">
        <v>1072.08</v>
      </c>
      <c r="C545" s="26">
        <v>26251</v>
      </c>
      <c r="N545" s="23">
        <v>45742</v>
      </c>
      <c r="O545" s="16">
        <v>29851367</v>
      </c>
      <c r="P545" s="26">
        <v>26251</v>
      </c>
    </row>
    <row r="546" spans="1:16" ht="15.75" thickBot="1" x14ac:dyDescent="0.3">
      <c r="A546" s="23">
        <v>45743</v>
      </c>
      <c r="B546" s="10">
        <v>1072.29</v>
      </c>
      <c r="C546" s="26">
        <v>26223</v>
      </c>
      <c r="N546" s="23">
        <v>45743</v>
      </c>
      <c r="O546" s="16">
        <v>30090914</v>
      </c>
      <c r="P546" s="26">
        <v>26223</v>
      </c>
    </row>
    <row r="547" spans="1:16" ht="15.75" thickBot="1" x14ac:dyDescent="0.3">
      <c r="A547" s="23">
        <v>45744</v>
      </c>
      <c r="B547" s="10">
        <v>1073.3800000000001</v>
      </c>
      <c r="C547" s="26">
        <v>25777</v>
      </c>
      <c r="N547" s="23">
        <v>45744</v>
      </c>
      <c r="O547" s="16">
        <v>29892870</v>
      </c>
      <c r="P547" s="26">
        <v>25777</v>
      </c>
    </row>
    <row r="548" spans="1:16" ht="15.75" thickBot="1" x14ac:dyDescent="0.3">
      <c r="A548" s="23">
        <v>45747</v>
      </c>
      <c r="B548" s="10">
        <v>1073.8800000000001</v>
      </c>
      <c r="C548" s="26">
        <v>24986</v>
      </c>
      <c r="N548" s="23">
        <v>45747</v>
      </c>
      <c r="O548" s="16">
        <v>30534180</v>
      </c>
      <c r="P548" s="26">
        <v>24986</v>
      </c>
    </row>
    <row r="549" spans="1:16" ht="15.75" thickBot="1" x14ac:dyDescent="0.3">
      <c r="A549" s="23">
        <v>45748</v>
      </c>
      <c r="B549" s="10">
        <v>1074.54</v>
      </c>
      <c r="C549" s="26">
        <v>25450</v>
      </c>
      <c r="N549" s="23">
        <v>45748</v>
      </c>
      <c r="O549" s="16">
        <v>33924898</v>
      </c>
      <c r="P549" s="26">
        <v>25450</v>
      </c>
    </row>
    <row r="550" spans="1:16" ht="15.75" thickBot="1" x14ac:dyDescent="0.3">
      <c r="A550" s="23">
        <v>45750</v>
      </c>
      <c r="B550" s="10">
        <v>1074.83</v>
      </c>
      <c r="C550" s="26">
        <v>25305</v>
      </c>
      <c r="N550" s="23">
        <v>45750</v>
      </c>
      <c r="O550" s="16">
        <v>34468529</v>
      </c>
      <c r="P550" s="26">
        <v>25305</v>
      </c>
    </row>
    <row r="551" spans="1:16" ht="15.75" thickBot="1" x14ac:dyDescent="0.3">
      <c r="A551" s="23">
        <v>45751</v>
      </c>
      <c r="B551" s="10">
        <v>1075.8800000000001</v>
      </c>
      <c r="C551" s="26">
        <v>25148</v>
      </c>
      <c r="N551" s="23">
        <v>45751</v>
      </c>
      <c r="O551" s="16">
        <v>33767969</v>
      </c>
      <c r="P551" s="26">
        <v>25148</v>
      </c>
    </row>
    <row r="552" spans="1:16" ht="15.75" thickBot="1" x14ac:dyDescent="0.3">
      <c r="A552" s="23">
        <v>45754</v>
      </c>
      <c r="B552" s="10">
        <v>1076.33</v>
      </c>
      <c r="C552" s="26">
        <v>24838</v>
      </c>
      <c r="N552" s="23">
        <v>45754</v>
      </c>
      <c r="O552" s="16">
        <v>34275343</v>
      </c>
      <c r="P552" s="26">
        <v>24838</v>
      </c>
    </row>
    <row r="553" spans="1:16" ht="15.75" thickBot="1" x14ac:dyDescent="0.3">
      <c r="A553" s="23">
        <v>45755</v>
      </c>
      <c r="B553" s="10">
        <v>1076.58</v>
      </c>
      <c r="C553" s="26">
        <v>24677</v>
      </c>
      <c r="N553" s="23">
        <v>45755</v>
      </c>
      <c r="O553" s="16">
        <v>34496121</v>
      </c>
      <c r="P553" s="26">
        <v>24677</v>
      </c>
    </row>
    <row r="554" spans="1:16" ht="15.75" thickBot="1" x14ac:dyDescent="0.3">
      <c r="A554" s="23">
        <v>45756</v>
      </c>
      <c r="B554" s="10">
        <v>1077.1300000000001</v>
      </c>
      <c r="C554" s="26">
        <v>24780</v>
      </c>
      <c r="N554" s="23">
        <v>45756</v>
      </c>
      <c r="O554" s="16">
        <v>34124828</v>
      </c>
      <c r="P554" s="26">
        <v>24780</v>
      </c>
    </row>
    <row r="555" spans="1:16" ht="15.75" thickBot="1" x14ac:dyDescent="0.3">
      <c r="A555" s="23">
        <v>45757</v>
      </c>
      <c r="B555" s="10">
        <v>1077.3800000000001</v>
      </c>
      <c r="C555" s="26">
        <v>24773</v>
      </c>
      <c r="N555" s="23">
        <v>45757</v>
      </c>
      <c r="O555" s="16">
        <v>34413497</v>
      </c>
      <c r="P555" s="26">
        <v>24773</v>
      </c>
    </row>
    <row r="556" spans="1:16" ht="15.75" thickBot="1" x14ac:dyDescent="0.3">
      <c r="A556" s="23">
        <v>45758</v>
      </c>
      <c r="B556" s="10">
        <v>1078.3800000000001</v>
      </c>
      <c r="C556" s="26">
        <v>24704</v>
      </c>
      <c r="N556" s="23">
        <v>45758</v>
      </c>
      <c r="O556" s="16">
        <v>36723827</v>
      </c>
      <c r="P556" s="26">
        <v>24704</v>
      </c>
    </row>
    <row r="557" spans="1:16" ht="15.75" thickBot="1" x14ac:dyDescent="0.3">
      <c r="A557" s="23">
        <v>45761</v>
      </c>
      <c r="B557" s="10">
        <v>1182.42</v>
      </c>
      <c r="C557" s="26">
        <v>24221</v>
      </c>
      <c r="N557" s="23">
        <v>45761</v>
      </c>
      <c r="O557" s="16">
        <v>34015295</v>
      </c>
      <c r="P557" s="26">
        <v>24221</v>
      </c>
    </row>
    <row r="558" spans="1:16" ht="15.75" thickBot="1" x14ac:dyDescent="0.3">
      <c r="A558" s="23">
        <v>45762</v>
      </c>
      <c r="B558" s="10">
        <v>1200.83</v>
      </c>
      <c r="C558" s="26">
        <v>36777</v>
      </c>
      <c r="N558" s="23">
        <v>45762</v>
      </c>
      <c r="O558" s="16">
        <v>33925628</v>
      </c>
      <c r="P558" s="26">
        <v>36777</v>
      </c>
    </row>
    <row r="559" spans="1:16" ht="15.75" thickBot="1" x14ac:dyDescent="0.3">
      <c r="A559" s="23">
        <v>45763</v>
      </c>
      <c r="B559" s="10">
        <v>1172.83</v>
      </c>
      <c r="C559" s="26">
        <v>38616</v>
      </c>
      <c r="N559" s="23">
        <v>45763</v>
      </c>
      <c r="O559" s="16">
        <v>33430894</v>
      </c>
      <c r="P559" s="26">
        <v>38616</v>
      </c>
    </row>
    <row r="560" spans="1:16" ht="15.75" thickBot="1" x14ac:dyDescent="0.3">
      <c r="A560" s="23">
        <v>45768</v>
      </c>
      <c r="B560" s="10">
        <v>1070.42</v>
      </c>
      <c r="C560" s="26">
        <v>38791</v>
      </c>
      <c r="N560" s="23">
        <v>45768</v>
      </c>
      <c r="O560" s="16">
        <v>31540018</v>
      </c>
      <c r="P560" s="26">
        <v>38791</v>
      </c>
    </row>
    <row r="561" spans="1:16" ht="15.75" thickBot="1" x14ac:dyDescent="0.3">
      <c r="A561" s="23">
        <v>45769</v>
      </c>
      <c r="B561" s="10">
        <v>1093.33</v>
      </c>
      <c r="C561" s="26">
        <v>38814</v>
      </c>
      <c r="N561" s="23">
        <v>45769</v>
      </c>
      <c r="O561" s="16">
        <v>30535306</v>
      </c>
      <c r="P561" s="26">
        <v>38814</v>
      </c>
    </row>
    <row r="562" spans="1:16" ht="15.75" thickBot="1" x14ac:dyDescent="0.3">
      <c r="A562" s="23">
        <v>45770</v>
      </c>
      <c r="B562" s="10">
        <v>1122.5</v>
      </c>
      <c r="C562" s="26">
        <v>38631</v>
      </c>
      <c r="N562" s="23">
        <v>45770</v>
      </c>
      <c r="O562" s="16">
        <v>30799765</v>
      </c>
      <c r="P562" s="26">
        <v>38631</v>
      </c>
    </row>
    <row r="563" spans="1:16" ht="15.75" thickBot="1" x14ac:dyDescent="0.3">
      <c r="A563" s="23">
        <v>45771</v>
      </c>
      <c r="B563" s="10">
        <v>1176.42</v>
      </c>
      <c r="C563" s="26">
        <v>39079</v>
      </c>
      <c r="N563" s="23">
        <v>45771</v>
      </c>
      <c r="O563" s="16">
        <v>30917195</v>
      </c>
      <c r="P563" s="26">
        <v>39079</v>
      </c>
    </row>
    <row r="564" spans="1:16" ht="15.75" thickBot="1" x14ac:dyDescent="0.3">
      <c r="A564" s="23">
        <v>45772</v>
      </c>
      <c r="B564" s="10">
        <v>1174.17</v>
      </c>
      <c r="C564" s="26">
        <v>39168</v>
      </c>
      <c r="N564" s="23">
        <v>45772</v>
      </c>
      <c r="O564" s="16">
        <v>31494771</v>
      </c>
      <c r="P564" s="26">
        <v>39168</v>
      </c>
    </row>
    <row r="565" spans="1:16" ht="15.75" thickBot="1" x14ac:dyDescent="0.3">
      <c r="A565" s="23">
        <v>45775</v>
      </c>
      <c r="B565" s="10">
        <v>1163.17</v>
      </c>
      <c r="C565" s="26">
        <v>39291</v>
      </c>
      <c r="N565" s="23">
        <v>45775</v>
      </c>
      <c r="O565" s="16">
        <v>31123513</v>
      </c>
      <c r="P565" s="26">
        <v>39291</v>
      </c>
    </row>
    <row r="566" spans="1:16" ht="15.75" thickBot="1" x14ac:dyDescent="0.3">
      <c r="A566" s="23">
        <v>45776</v>
      </c>
      <c r="B566" s="10">
        <v>1170.67</v>
      </c>
      <c r="C566" s="26">
        <v>39091</v>
      </c>
      <c r="N566" s="23">
        <v>45776</v>
      </c>
      <c r="O566" s="16">
        <v>31591655</v>
      </c>
      <c r="P566" s="26">
        <v>39091</v>
      </c>
    </row>
    <row r="567" spans="1:16" ht="15.75" thickBot="1" x14ac:dyDescent="0.3">
      <c r="A567" s="23">
        <v>45777</v>
      </c>
      <c r="B567" s="10">
        <v>1172</v>
      </c>
      <c r="C567" s="26">
        <v>38928</v>
      </c>
      <c r="N567" s="23">
        <v>45777</v>
      </c>
      <c r="O567" s="16">
        <v>32698982</v>
      </c>
      <c r="P567" s="26">
        <v>38928</v>
      </c>
    </row>
    <row r="568" spans="1:16" ht="15.75" thickBot="1" x14ac:dyDescent="0.3">
      <c r="A568" s="23">
        <v>45782</v>
      </c>
      <c r="B568" s="10">
        <v>1178.5</v>
      </c>
      <c r="C568" s="26">
        <v>38976</v>
      </c>
      <c r="N568" s="23">
        <v>45782</v>
      </c>
      <c r="O568" s="16">
        <v>36854734</v>
      </c>
      <c r="P568" s="26">
        <v>38976</v>
      </c>
    </row>
    <row r="569" spans="1:16" ht="15.75" thickBot="1" x14ac:dyDescent="0.3">
      <c r="A569" s="23">
        <v>45783</v>
      </c>
      <c r="B569" s="10">
        <v>1203.83</v>
      </c>
      <c r="C569" s="26">
        <v>38542</v>
      </c>
      <c r="N569" s="23">
        <v>45783</v>
      </c>
      <c r="O569" s="16">
        <v>36649451</v>
      </c>
      <c r="P569" s="26">
        <v>38542</v>
      </c>
    </row>
    <row r="570" spans="1:16" ht="15.75" thickBot="1" x14ac:dyDescent="0.3">
      <c r="A570" s="23">
        <v>45784</v>
      </c>
      <c r="B570" s="10">
        <v>1153.5</v>
      </c>
      <c r="C570" s="26">
        <v>38258</v>
      </c>
      <c r="N570" s="23">
        <v>45784</v>
      </c>
      <c r="O570" s="16">
        <v>36874854</v>
      </c>
      <c r="P570" s="26">
        <v>38258</v>
      </c>
    </row>
    <row r="571" spans="1:16" ht="15.75" thickBot="1" x14ac:dyDescent="0.3">
      <c r="A571" s="23">
        <v>45785</v>
      </c>
      <c r="B571" s="10">
        <v>1117.5</v>
      </c>
      <c r="C571" s="26">
        <v>38035</v>
      </c>
      <c r="N571" s="23">
        <v>45785</v>
      </c>
      <c r="O571" s="16">
        <v>36551345</v>
      </c>
      <c r="P571" s="26">
        <v>38035</v>
      </c>
    </row>
    <row r="572" spans="1:16" ht="15.75" thickBot="1" x14ac:dyDescent="0.3">
      <c r="A572" s="23">
        <v>45786</v>
      </c>
      <c r="B572" s="10">
        <v>1113.58</v>
      </c>
      <c r="C572" s="26">
        <v>38123</v>
      </c>
      <c r="N572" s="23">
        <v>45786</v>
      </c>
      <c r="O572" s="16">
        <v>37372925</v>
      </c>
      <c r="P572" s="26">
        <v>38123</v>
      </c>
    </row>
    <row r="573" spans="1:16" ht="15.75" thickBot="1" x14ac:dyDescent="0.3">
      <c r="A573" s="23">
        <v>45789</v>
      </c>
      <c r="B573" s="10">
        <v>1126</v>
      </c>
      <c r="C573" s="26">
        <v>38079</v>
      </c>
      <c r="N573" s="23">
        <v>45789</v>
      </c>
      <c r="O573" s="16">
        <v>34430644</v>
      </c>
      <c r="P573" s="26">
        <v>38079</v>
      </c>
    </row>
    <row r="574" spans="1:16" ht="15.75" thickBot="1" x14ac:dyDescent="0.3">
      <c r="A574" s="23">
        <v>45790</v>
      </c>
      <c r="B574" s="10">
        <v>1125.67</v>
      </c>
      <c r="C574" s="26">
        <v>38651</v>
      </c>
      <c r="N574" s="23">
        <v>45790</v>
      </c>
      <c r="O574" s="16">
        <v>34281998</v>
      </c>
      <c r="P574" s="26">
        <v>38651</v>
      </c>
    </row>
    <row r="575" spans="1:16" ht="15.75" thickBot="1" x14ac:dyDescent="0.3">
      <c r="A575" s="23">
        <v>45791</v>
      </c>
      <c r="B575" s="10">
        <v>1129.83</v>
      </c>
      <c r="C575" s="26">
        <v>38565</v>
      </c>
      <c r="N575" s="23">
        <v>45791</v>
      </c>
      <c r="O575" s="16">
        <v>34207517</v>
      </c>
      <c r="P575" s="26">
        <v>38565</v>
      </c>
    </row>
    <row r="576" spans="1:16" ht="15.75" thickBot="1" x14ac:dyDescent="0.3">
      <c r="A576" s="23">
        <v>45792</v>
      </c>
      <c r="B576" s="10">
        <v>1135.5</v>
      </c>
      <c r="C576" s="26">
        <v>38346</v>
      </c>
      <c r="N576" s="23">
        <v>45792</v>
      </c>
      <c r="O576" s="16">
        <v>33994625</v>
      </c>
      <c r="P576" s="26">
        <v>38346</v>
      </c>
    </row>
    <row r="577" spans="1:16" ht="15.75" thickBot="1" x14ac:dyDescent="0.3">
      <c r="A577" s="23">
        <v>45793</v>
      </c>
      <c r="B577" s="10">
        <v>1146.17</v>
      </c>
      <c r="C577" s="26">
        <v>38338</v>
      </c>
      <c r="N577" s="23">
        <v>45793</v>
      </c>
      <c r="O577" s="16">
        <v>33931781</v>
      </c>
      <c r="P577" s="26">
        <v>38338</v>
      </c>
    </row>
    <row r="578" spans="1:16" ht="15.75" thickBot="1" x14ac:dyDescent="0.3">
      <c r="A578" s="23">
        <v>45796</v>
      </c>
      <c r="B578" s="10">
        <v>1134.25</v>
      </c>
      <c r="C578" s="26">
        <v>38300</v>
      </c>
      <c r="N578" s="23">
        <v>45796</v>
      </c>
      <c r="O578" s="16">
        <v>33277257</v>
      </c>
      <c r="P578" s="26">
        <v>38300</v>
      </c>
    </row>
    <row r="579" spans="1:16" ht="15.75" thickBot="1" x14ac:dyDescent="0.3">
      <c r="A579" s="23">
        <v>45797</v>
      </c>
      <c r="B579" s="10">
        <v>1142</v>
      </c>
      <c r="C579" s="26">
        <v>38267</v>
      </c>
      <c r="N579" s="23">
        <v>45797</v>
      </c>
      <c r="O579" s="16">
        <v>32822015</v>
      </c>
      <c r="P579" s="26">
        <v>38267</v>
      </c>
    </row>
    <row r="580" spans="1:16" ht="15.75" thickBot="1" x14ac:dyDescent="0.3">
      <c r="A580" s="23">
        <v>45798</v>
      </c>
      <c r="B580" s="10">
        <v>1145</v>
      </c>
      <c r="C580" s="26">
        <v>38176</v>
      </c>
      <c r="N580" s="23">
        <v>45798</v>
      </c>
      <c r="O580" s="16">
        <v>32498752</v>
      </c>
      <c r="P580" s="26">
        <v>38176</v>
      </c>
    </row>
    <row r="581" spans="1:16" ht="15.75" thickBot="1" x14ac:dyDescent="0.3">
      <c r="A581" s="23">
        <v>45799</v>
      </c>
      <c r="B581" s="10">
        <v>1143.58</v>
      </c>
      <c r="C581" s="26">
        <v>38097</v>
      </c>
      <c r="N581" s="23">
        <v>45799</v>
      </c>
      <c r="O581" s="16">
        <v>32886199</v>
      </c>
      <c r="P581" s="26">
        <v>38097</v>
      </c>
    </row>
    <row r="582" spans="1:16" ht="15.75" thickBot="1" x14ac:dyDescent="0.3">
      <c r="A582" s="23">
        <v>45800</v>
      </c>
      <c r="B582" s="10">
        <v>1137</v>
      </c>
      <c r="C582" s="26">
        <v>38428</v>
      </c>
      <c r="N582" s="23">
        <v>45800</v>
      </c>
      <c r="O582" s="16">
        <v>33289989</v>
      </c>
      <c r="P582" s="26">
        <v>38428</v>
      </c>
    </row>
    <row r="583" spans="1:16" ht="15.75" thickBot="1" x14ac:dyDescent="0.3">
      <c r="A583" s="23">
        <v>45803</v>
      </c>
      <c r="B583" s="10">
        <v>1139.83</v>
      </c>
      <c r="C583" s="26">
        <v>38384</v>
      </c>
      <c r="N583" s="23">
        <v>45803</v>
      </c>
      <c r="O583" s="16">
        <v>33019446</v>
      </c>
      <c r="P583" s="26">
        <v>38384</v>
      </c>
    </row>
    <row r="584" spans="1:16" ht="15.75" thickBot="1" x14ac:dyDescent="0.3">
      <c r="A584" s="23">
        <v>45804</v>
      </c>
      <c r="B584" s="10">
        <v>1148</v>
      </c>
      <c r="C584" s="26">
        <v>38381</v>
      </c>
      <c r="N584" s="23">
        <v>45804</v>
      </c>
      <c r="O584" s="16">
        <v>33238432</v>
      </c>
      <c r="P584" s="26">
        <v>38381</v>
      </c>
    </row>
    <row r="585" spans="1:16" ht="15.75" thickBot="1" x14ac:dyDescent="0.3">
      <c r="A585" s="23">
        <v>45805</v>
      </c>
      <c r="B585" s="10">
        <v>1161</v>
      </c>
      <c r="C585" s="26">
        <v>38444</v>
      </c>
      <c r="N585" s="23">
        <v>45805</v>
      </c>
      <c r="O585" s="16">
        <v>33413949</v>
      </c>
      <c r="P585" s="26">
        <v>38444</v>
      </c>
    </row>
    <row r="586" spans="1:16" ht="15.75" thickBot="1" x14ac:dyDescent="0.3">
      <c r="A586" s="23">
        <v>45806</v>
      </c>
      <c r="B586" s="10">
        <v>1174.5</v>
      </c>
      <c r="C586" s="26">
        <v>38366</v>
      </c>
      <c r="N586" s="23">
        <v>45806</v>
      </c>
      <c r="O586" s="16">
        <v>33286265</v>
      </c>
      <c r="P586" s="26">
        <v>38366</v>
      </c>
    </row>
    <row r="587" spans="1:16" ht="15.75" thickBot="1" x14ac:dyDescent="0.3">
      <c r="A587" s="23">
        <v>45807</v>
      </c>
      <c r="B587" s="10">
        <v>1195.33</v>
      </c>
      <c r="C587" s="26">
        <v>36919</v>
      </c>
      <c r="N587" s="23">
        <v>45807</v>
      </c>
      <c r="O587" s="16">
        <v>34940118</v>
      </c>
      <c r="P587" s="26">
        <v>36919</v>
      </c>
    </row>
    <row r="588" spans="1:16" ht="15.75" thickBot="1" x14ac:dyDescent="0.3">
      <c r="A588" s="23">
        <v>45810</v>
      </c>
      <c r="B588" s="10">
        <v>1181.17</v>
      </c>
      <c r="C588" s="26">
        <v>37793</v>
      </c>
      <c r="N588" s="23">
        <v>45810</v>
      </c>
      <c r="O588" s="16">
        <v>36927413</v>
      </c>
      <c r="P588" s="26">
        <v>37793</v>
      </c>
    </row>
    <row r="589" spans="1:16" ht="15.75" thickBot="1" x14ac:dyDescent="0.3">
      <c r="A589" s="23">
        <v>45811</v>
      </c>
      <c r="B589" s="10">
        <v>1184</v>
      </c>
      <c r="C589" s="26">
        <v>37767</v>
      </c>
      <c r="N589" s="23">
        <v>45811</v>
      </c>
      <c r="O589" s="16">
        <v>36423142</v>
      </c>
      <c r="P589" s="26">
        <v>37767</v>
      </c>
    </row>
    <row r="590" spans="1:16" ht="15.75" thickBot="1" x14ac:dyDescent="0.3">
      <c r="A590" s="23">
        <v>45812</v>
      </c>
      <c r="B590" s="10">
        <v>1184.33</v>
      </c>
      <c r="C590" s="26">
        <v>38818</v>
      </c>
      <c r="N590" s="23">
        <v>45812</v>
      </c>
      <c r="O590" s="16">
        <v>36636601</v>
      </c>
      <c r="P590" s="26">
        <v>38818</v>
      </c>
    </row>
    <row r="591" spans="1:16" ht="15.75" thickBot="1" x14ac:dyDescent="0.3">
      <c r="A591" s="23">
        <v>45813</v>
      </c>
      <c r="B591" s="10">
        <v>1189.67</v>
      </c>
      <c r="C591" s="26">
        <v>38758</v>
      </c>
      <c r="N591" s="23">
        <v>45813</v>
      </c>
      <c r="O591" s="16">
        <v>36533114</v>
      </c>
      <c r="P591" s="26">
        <v>38758</v>
      </c>
    </row>
    <row r="592" spans="1:16" ht="15.75" thickBot="1" x14ac:dyDescent="0.3">
      <c r="A592" s="23">
        <v>45814</v>
      </c>
      <c r="B592" s="10">
        <v>1190</v>
      </c>
      <c r="C592" s="26">
        <v>38639</v>
      </c>
      <c r="N592" s="23">
        <v>45814</v>
      </c>
      <c r="O592" s="16">
        <v>36604803</v>
      </c>
      <c r="P592" s="26">
        <v>38639</v>
      </c>
    </row>
    <row r="593" spans="1:16" ht="15.75" thickBot="1" x14ac:dyDescent="0.3">
      <c r="A593" s="23">
        <v>45817</v>
      </c>
      <c r="B593" s="10">
        <v>1186.42</v>
      </c>
      <c r="C593" s="26">
        <v>38604</v>
      </c>
      <c r="N593" s="23">
        <v>45817</v>
      </c>
      <c r="O593" s="16">
        <v>36536164</v>
      </c>
      <c r="P593" s="26">
        <v>38604</v>
      </c>
    </row>
    <row r="594" spans="1:16" ht="15.75" thickBot="1" x14ac:dyDescent="0.3">
      <c r="A594" s="23">
        <v>45818</v>
      </c>
      <c r="B594" s="10">
        <v>1187</v>
      </c>
      <c r="C594" s="26">
        <v>38600</v>
      </c>
      <c r="N594" s="23">
        <v>45818</v>
      </c>
      <c r="O594" s="16">
        <v>36212110</v>
      </c>
      <c r="P594" s="26">
        <v>38600</v>
      </c>
    </row>
    <row r="595" spans="1:16" ht="15.75" thickBot="1" x14ac:dyDescent="0.3">
      <c r="A595" s="23">
        <v>45819</v>
      </c>
      <c r="B595" s="10">
        <v>1184.5</v>
      </c>
      <c r="C595" s="26">
        <v>38533</v>
      </c>
      <c r="N595" s="23">
        <v>45819</v>
      </c>
      <c r="O595" s="16">
        <v>36235936</v>
      </c>
      <c r="P595" s="26">
        <v>38533</v>
      </c>
    </row>
    <row r="596" spans="1:16" ht="15.75" thickBot="1" x14ac:dyDescent="0.3">
      <c r="A596" s="23">
        <v>45820</v>
      </c>
      <c r="B596" s="10">
        <v>1185.5</v>
      </c>
      <c r="C596" s="26">
        <v>38506</v>
      </c>
      <c r="N596" s="23">
        <v>45820</v>
      </c>
      <c r="O596" s="16">
        <v>35385140</v>
      </c>
      <c r="P596" s="26">
        <v>38506</v>
      </c>
    </row>
    <row r="597" spans="1:16" ht="15.75" thickBot="1" x14ac:dyDescent="0.3">
      <c r="A597" s="23">
        <v>45821</v>
      </c>
      <c r="B597" s="10">
        <v>1187.67</v>
      </c>
      <c r="C597" s="26">
        <v>40465</v>
      </c>
      <c r="N597" s="23">
        <v>45821</v>
      </c>
      <c r="O597" s="16">
        <v>35650056</v>
      </c>
      <c r="P597" s="26">
        <v>40465</v>
      </c>
    </row>
    <row r="598" spans="1:16" ht="15.75" thickBot="1" x14ac:dyDescent="0.3">
      <c r="A598" s="23">
        <v>45825</v>
      </c>
      <c r="B598" s="10">
        <v>1180.08</v>
      </c>
      <c r="C598" s="26">
        <v>40399</v>
      </c>
      <c r="N598" s="23">
        <v>45825</v>
      </c>
      <c r="O598" s="16">
        <v>36061997</v>
      </c>
      <c r="P598" s="26">
        <v>40399</v>
      </c>
    </row>
    <row r="599" spans="1:16" ht="15.75" thickBot="1" x14ac:dyDescent="0.3">
      <c r="A599" s="23">
        <v>45826</v>
      </c>
      <c r="B599" s="10">
        <v>1151</v>
      </c>
      <c r="C599" s="26">
        <v>40153</v>
      </c>
      <c r="N599" s="23">
        <v>45826</v>
      </c>
      <c r="O599" s="16">
        <v>35924590</v>
      </c>
      <c r="P599" s="26">
        <v>40153</v>
      </c>
    </row>
    <row r="600" spans="1:16" ht="15.75" thickBot="1" x14ac:dyDescent="0.3">
      <c r="A600" s="23">
        <v>45827</v>
      </c>
      <c r="B600" s="10">
        <v>1156.17</v>
      </c>
      <c r="C600" s="26">
        <v>40182</v>
      </c>
      <c r="N600" s="23">
        <v>45827</v>
      </c>
      <c r="O600" s="16">
        <v>35393546</v>
      </c>
      <c r="P600" s="26">
        <v>40182</v>
      </c>
    </row>
    <row r="601" spans="1:16" ht="15.75" thickBot="1" x14ac:dyDescent="0.3">
      <c r="A601" s="23">
        <v>45831</v>
      </c>
      <c r="B601" s="10">
        <v>1167.33</v>
      </c>
      <c r="C601" s="26">
        <v>40894</v>
      </c>
      <c r="N601" s="23">
        <v>45831</v>
      </c>
      <c r="O601" s="16">
        <v>35729694</v>
      </c>
      <c r="P601" s="26">
        <v>40894</v>
      </c>
    </row>
    <row r="602" spans="1:16" ht="15.75" thickBot="1" x14ac:dyDescent="0.3">
      <c r="A602" s="23">
        <v>45832</v>
      </c>
      <c r="B602" s="10">
        <v>1176</v>
      </c>
      <c r="C602" s="26">
        <v>41212</v>
      </c>
      <c r="N602" s="23">
        <v>45832</v>
      </c>
      <c r="O602" s="16">
        <v>34844743</v>
      </c>
      <c r="P602" s="26">
        <v>41212</v>
      </c>
    </row>
    <row r="603" spans="1:16" ht="15.75" thickBot="1" x14ac:dyDescent="0.3">
      <c r="A603" s="23">
        <v>45833</v>
      </c>
      <c r="B603" s="10">
        <v>1176.33</v>
      </c>
      <c r="C603" s="26">
        <v>41417</v>
      </c>
      <c r="N603" s="23">
        <v>45833</v>
      </c>
      <c r="O603" s="16">
        <v>34821185</v>
      </c>
      <c r="P603" s="26">
        <v>41417</v>
      </c>
    </row>
    <row r="604" spans="1:16" ht="15.75" thickBot="1" x14ac:dyDescent="0.3">
      <c r="A604" s="23">
        <v>45834</v>
      </c>
      <c r="B604" s="10">
        <v>1194.67</v>
      </c>
      <c r="C604" s="26">
        <v>41555</v>
      </c>
      <c r="N604" s="23">
        <v>45834</v>
      </c>
      <c r="O604" s="16">
        <v>34940528</v>
      </c>
      <c r="P604" s="26">
        <v>41555</v>
      </c>
    </row>
    <row r="605" spans="1:16" ht="15.75" thickBot="1" x14ac:dyDescent="0.3">
      <c r="A605" s="23">
        <v>45835</v>
      </c>
      <c r="B605" s="10">
        <v>1189.83</v>
      </c>
      <c r="C605" s="26">
        <v>41460</v>
      </c>
      <c r="N605" s="23">
        <v>45835</v>
      </c>
      <c r="O605" s="16">
        <v>35542364</v>
      </c>
      <c r="P605" s="26">
        <v>41460</v>
      </c>
    </row>
    <row r="606" spans="1:16" ht="15.75" thickBot="1" x14ac:dyDescent="0.3">
      <c r="A606" s="23">
        <v>45838</v>
      </c>
      <c r="B606" s="10">
        <v>1194.08</v>
      </c>
      <c r="C606" s="26">
        <v>39973</v>
      </c>
      <c r="N606" s="23">
        <v>45838</v>
      </c>
      <c r="O606" s="16">
        <v>37175626</v>
      </c>
      <c r="P606" s="26">
        <v>39973</v>
      </c>
    </row>
    <row r="607" spans="1:16" ht="15.75" thickBot="1" x14ac:dyDescent="0.3">
      <c r="A607" s="23">
        <v>45839</v>
      </c>
      <c r="B607" s="10">
        <v>1203</v>
      </c>
      <c r="C607" s="26">
        <v>41686</v>
      </c>
      <c r="N607" s="23">
        <v>45839</v>
      </c>
      <c r="O607" s="16">
        <v>35577666</v>
      </c>
      <c r="P607" s="26">
        <v>41686</v>
      </c>
    </row>
    <row r="608" spans="1:16" ht="15.75" thickBot="1" x14ac:dyDescent="0.3">
      <c r="A608" s="23">
        <v>45840</v>
      </c>
      <c r="B608" s="10">
        <v>1231.33</v>
      </c>
      <c r="C608" s="26">
        <v>41658</v>
      </c>
      <c r="N608" s="23">
        <v>45840</v>
      </c>
      <c r="O608" s="16">
        <v>34406140</v>
      </c>
      <c r="P608" s="26">
        <v>41658</v>
      </c>
    </row>
    <row r="609" spans="1:16" ht="15.75" thickBot="1" x14ac:dyDescent="0.3">
      <c r="A609" s="23">
        <v>45841</v>
      </c>
      <c r="B609" s="10">
        <v>1226.92</v>
      </c>
      <c r="C609" s="26">
        <v>41738</v>
      </c>
      <c r="N609" s="23">
        <v>45841</v>
      </c>
      <c r="O609" s="16">
        <v>33418387</v>
      </c>
      <c r="P609" s="26">
        <v>41738</v>
      </c>
    </row>
    <row r="610" spans="1:16" ht="15.75" thickBot="1" x14ac:dyDescent="0.3">
      <c r="A610" s="23">
        <v>45842</v>
      </c>
      <c r="B610" s="10">
        <v>1239.83</v>
      </c>
      <c r="C610" s="26">
        <v>41747</v>
      </c>
      <c r="N610" s="23">
        <v>45842</v>
      </c>
      <c r="O610" s="16">
        <v>32748809</v>
      </c>
      <c r="P610" s="26">
        <v>41747</v>
      </c>
    </row>
    <row r="611" spans="1:16" ht="15.75" thickBot="1" x14ac:dyDescent="0.3">
      <c r="A611" s="23">
        <v>45845</v>
      </c>
      <c r="B611" s="10">
        <v>1257.92</v>
      </c>
      <c r="C611" s="26">
        <v>41721</v>
      </c>
      <c r="N611" s="23">
        <v>45845</v>
      </c>
      <c r="O611" s="16">
        <v>34372668</v>
      </c>
      <c r="P611" s="26">
        <v>41721</v>
      </c>
    </row>
    <row r="612" spans="1:16" ht="15.75" thickBot="1" x14ac:dyDescent="0.3">
      <c r="A612" s="23">
        <v>45846</v>
      </c>
      <c r="B612" s="10">
        <v>1258</v>
      </c>
      <c r="C612" s="26">
        <v>39127</v>
      </c>
      <c r="N612" s="23">
        <v>45846</v>
      </c>
      <c r="O612" s="16">
        <v>33139576</v>
      </c>
      <c r="P612" s="26">
        <v>39127</v>
      </c>
    </row>
    <row r="613" spans="1:16" ht="15.75" thickBot="1" x14ac:dyDescent="0.3">
      <c r="A613" s="23">
        <v>45848</v>
      </c>
      <c r="B613" s="10">
        <v>1261.17</v>
      </c>
      <c r="C613" s="26">
        <v>38721</v>
      </c>
      <c r="N613" s="23">
        <v>45848</v>
      </c>
      <c r="O613" s="16">
        <v>43014258</v>
      </c>
      <c r="P613" s="26">
        <v>38721</v>
      </c>
    </row>
    <row r="614" spans="1:16" ht="15.75" thickBot="1" x14ac:dyDescent="0.3">
      <c r="A614" s="23">
        <v>45849</v>
      </c>
      <c r="B614" s="10">
        <v>1261.58</v>
      </c>
      <c r="C614" s="26">
        <v>39060</v>
      </c>
      <c r="N614" s="23">
        <v>45849</v>
      </c>
      <c r="O614" s="16">
        <v>43032475</v>
      </c>
      <c r="P614" s="26">
        <v>39060</v>
      </c>
    </row>
    <row r="615" spans="1:16" ht="15.75" thickBot="1" x14ac:dyDescent="0.3">
      <c r="A615" s="23">
        <v>45852</v>
      </c>
      <c r="B615" s="10">
        <v>1266.17</v>
      </c>
      <c r="C615" s="26">
        <v>39147</v>
      </c>
      <c r="N615" s="23">
        <v>45852</v>
      </c>
      <c r="O615" s="16">
        <v>42051969</v>
      </c>
      <c r="P615" s="26">
        <v>39147</v>
      </c>
    </row>
    <row r="616" spans="1:16" ht="15.75" thickBot="1" x14ac:dyDescent="0.3">
      <c r="A616" s="23">
        <v>45853</v>
      </c>
      <c r="B616" s="10">
        <v>1277</v>
      </c>
      <c r="C616" s="26">
        <v>39061</v>
      </c>
      <c r="N616" s="23">
        <v>45853</v>
      </c>
      <c r="O616" s="16">
        <v>38219612</v>
      </c>
      <c r="P616" s="26">
        <v>39061</v>
      </c>
    </row>
    <row r="617" spans="1:16" ht="15.75" thickBot="1" x14ac:dyDescent="0.3">
      <c r="A617" s="23">
        <v>45854</v>
      </c>
      <c r="B617" s="10">
        <v>1259.92</v>
      </c>
      <c r="C617" s="26">
        <v>39554</v>
      </c>
      <c r="N617" s="23">
        <v>45854</v>
      </c>
      <c r="O617" s="16">
        <v>38563168</v>
      </c>
      <c r="P617" s="26">
        <v>39554</v>
      </c>
    </row>
    <row r="618" spans="1:16" ht="15.75" thickBot="1" x14ac:dyDescent="0.3">
      <c r="A618" s="23">
        <v>45855</v>
      </c>
      <c r="B618" s="10">
        <v>1266.25</v>
      </c>
      <c r="C618" s="26">
        <v>39836</v>
      </c>
      <c r="N618" s="23">
        <v>45855</v>
      </c>
      <c r="O618" s="16">
        <v>41459951</v>
      </c>
      <c r="P618" s="26">
        <v>39836</v>
      </c>
    </row>
    <row r="619" spans="1:16" ht="15.75" thickBot="1" x14ac:dyDescent="0.3">
      <c r="A619" s="23">
        <v>45856</v>
      </c>
      <c r="B619" s="10">
        <v>1283.83</v>
      </c>
      <c r="C619" s="26">
        <v>40393</v>
      </c>
      <c r="N619" s="23">
        <v>45856</v>
      </c>
      <c r="O619" s="16">
        <v>37641717</v>
      </c>
      <c r="P619" s="26">
        <v>40393</v>
      </c>
    </row>
    <row r="620" spans="1:16" ht="15.75" thickBot="1" x14ac:dyDescent="0.3">
      <c r="A620" s="23">
        <v>45859</v>
      </c>
      <c r="B620" s="10">
        <v>1286</v>
      </c>
      <c r="C620" s="26">
        <v>40652</v>
      </c>
      <c r="N620" s="23">
        <v>45859</v>
      </c>
      <c r="O620" s="16">
        <v>38025450</v>
      </c>
      <c r="P620" s="26">
        <v>40652</v>
      </c>
    </row>
    <row r="621" spans="1:16" ht="15.75" thickBot="1" x14ac:dyDescent="0.3">
      <c r="A621" s="23">
        <v>45860</v>
      </c>
      <c r="B621" s="10">
        <v>1266.17</v>
      </c>
      <c r="C621" s="26">
        <v>40578</v>
      </c>
      <c r="N621" s="23">
        <v>45860</v>
      </c>
      <c r="O621" s="16">
        <v>38004625</v>
      </c>
      <c r="P621" s="26">
        <v>40578</v>
      </c>
    </row>
    <row r="622" spans="1:16" ht="15.75" thickBot="1" x14ac:dyDescent="0.3">
      <c r="A622" s="23">
        <v>45861</v>
      </c>
      <c r="B622" s="10">
        <v>1259.67</v>
      </c>
      <c r="C622" s="26">
        <v>40358</v>
      </c>
      <c r="N622" s="23">
        <v>45861</v>
      </c>
      <c r="O622" s="16">
        <v>38169300</v>
      </c>
      <c r="P622" s="26">
        <v>40358</v>
      </c>
    </row>
    <row r="623" spans="1:16" ht="15.75" thickBot="1" x14ac:dyDescent="0.3">
      <c r="A623" s="23">
        <v>45862</v>
      </c>
      <c r="B623" s="10">
        <v>1262</v>
      </c>
      <c r="C623" s="26">
        <v>40432</v>
      </c>
      <c r="N623" s="23">
        <v>45862</v>
      </c>
      <c r="O623" s="16">
        <v>38149891</v>
      </c>
      <c r="P623" s="26">
        <v>40432</v>
      </c>
    </row>
    <row r="624" spans="1:16" ht="15.75" thickBot="1" x14ac:dyDescent="0.3">
      <c r="A624" s="23">
        <v>45863</v>
      </c>
      <c r="B624" s="10">
        <v>1277.75</v>
      </c>
      <c r="C624" s="26">
        <v>40283</v>
      </c>
      <c r="N624" s="23">
        <v>45863</v>
      </c>
      <c r="O624" s="16">
        <v>37735031</v>
      </c>
      <c r="P624" s="26">
        <v>40283</v>
      </c>
    </row>
    <row r="625" spans="1:16" ht="15.75" thickBot="1" x14ac:dyDescent="0.3">
      <c r="A625" s="23">
        <v>45866</v>
      </c>
      <c r="B625" s="10">
        <v>1287.33</v>
      </c>
      <c r="C625" s="26">
        <v>40146</v>
      </c>
      <c r="N625" s="23">
        <v>45866</v>
      </c>
      <c r="O625" s="16">
        <v>36820448</v>
      </c>
      <c r="P625" s="26">
        <v>40146</v>
      </c>
    </row>
    <row r="626" spans="1:16" ht="15.75" thickBot="1" x14ac:dyDescent="0.3">
      <c r="A626" s="23">
        <v>45867</v>
      </c>
      <c r="B626" s="10">
        <v>1296.67</v>
      </c>
      <c r="C626" s="26">
        <v>41245</v>
      </c>
      <c r="N626" s="23">
        <v>45867</v>
      </c>
      <c r="O626" s="16">
        <v>38348980</v>
      </c>
      <c r="P626" s="26">
        <v>41245</v>
      </c>
    </row>
    <row r="627" spans="1:16" ht="15.75" thickBot="1" x14ac:dyDescent="0.3">
      <c r="A627" s="23">
        <v>45868</v>
      </c>
      <c r="B627" s="10">
        <v>1294.17</v>
      </c>
      <c r="C627" s="26">
        <v>40765</v>
      </c>
      <c r="N627" s="23">
        <v>45868</v>
      </c>
      <c r="O627" s="16">
        <v>37296150</v>
      </c>
      <c r="P627" s="26">
        <v>40765</v>
      </c>
    </row>
    <row r="628" spans="1:16" ht="15.75" thickBot="1" x14ac:dyDescent="0.3">
      <c r="A628" s="23">
        <v>45869</v>
      </c>
      <c r="B628" s="10">
        <v>1351.83</v>
      </c>
      <c r="C628" s="26">
        <v>38866</v>
      </c>
      <c r="N628" s="23">
        <v>45869</v>
      </c>
      <c r="O628" s="16">
        <v>40113368</v>
      </c>
      <c r="P628" s="26">
        <v>38866</v>
      </c>
    </row>
    <row r="629" spans="1:16" ht="15.75" thickBot="1" x14ac:dyDescent="0.3">
      <c r="A629" s="23">
        <v>45870</v>
      </c>
      <c r="B629" s="10">
        <v>1361.33</v>
      </c>
      <c r="C629" s="26">
        <v>41034</v>
      </c>
      <c r="N629" s="23">
        <v>45870</v>
      </c>
      <c r="O629" s="16">
        <v>41407090</v>
      </c>
      <c r="P629" s="26">
        <v>41034</v>
      </c>
    </row>
    <row r="630" spans="1:16" ht="15.75" thickBot="1" x14ac:dyDescent="0.3">
      <c r="A630" s="23">
        <v>45873</v>
      </c>
      <c r="B630" s="10">
        <v>1361.83</v>
      </c>
      <c r="C630" s="26">
        <v>43039</v>
      </c>
      <c r="N630" s="23">
        <v>45873</v>
      </c>
      <c r="O630" s="16">
        <v>42800555</v>
      </c>
      <c r="P630" s="26">
        <v>43039</v>
      </c>
    </row>
    <row r="631" spans="1:16" ht="15.75" thickBot="1" x14ac:dyDescent="0.3">
      <c r="A631" s="23">
        <v>45874</v>
      </c>
      <c r="B631" s="10">
        <v>1351.17</v>
      </c>
      <c r="C631" s="26">
        <v>42720</v>
      </c>
      <c r="N631" s="23">
        <v>45874</v>
      </c>
      <c r="O631" s="16">
        <v>42754510</v>
      </c>
      <c r="P631" s="26">
        <v>42720</v>
      </c>
    </row>
    <row r="632" spans="1:16" ht="15.75" thickBot="1" x14ac:dyDescent="0.3">
      <c r="A632" s="23">
        <v>45875</v>
      </c>
      <c r="B632" s="10">
        <v>1333.67</v>
      </c>
      <c r="C632" s="26">
        <v>42143</v>
      </c>
      <c r="N632" s="23">
        <v>45875</v>
      </c>
      <c r="O632" s="16">
        <v>42697634</v>
      </c>
      <c r="P632" s="26">
        <v>42143</v>
      </c>
    </row>
    <row r="633" spans="1:16" ht="15.75" thickBot="1" x14ac:dyDescent="0.3">
      <c r="A633" s="23">
        <v>45876</v>
      </c>
      <c r="B633" s="10">
        <v>1331.08</v>
      </c>
      <c r="C633" s="26">
        <v>41683</v>
      </c>
      <c r="N633" s="23">
        <v>45876</v>
      </c>
      <c r="O633" s="16">
        <v>42675620</v>
      </c>
      <c r="P633" s="26">
        <v>41683</v>
      </c>
    </row>
    <row r="634" spans="1:16" ht="15.75" thickBot="1" x14ac:dyDescent="0.3">
      <c r="A634" s="23">
        <v>45877</v>
      </c>
      <c r="B634" s="10">
        <v>1329.42</v>
      </c>
      <c r="C634" s="26">
        <v>42116</v>
      </c>
      <c r="N634" s="23">
        <v>45877</v>
      </c>
      <c r="O634" s="16">
        <v>42743195</v>
      </c>
      <c r="P634" s="26">
        <v>42116</v>
      </c>
    </row>
    <row r="635" spans="1:16" ht="15.75" thickBot="1" x14ac:dyDescent="0.3">
      <c r="A635" s="23">
        <v>45880</v>
      </c>
      <c r="B635" s="10">
        <v>1330.5</v>
      </c>
      <c r="C635" s="26">
        <v>41991</v>
      </c>
      <c r="N635" s="23">
        <v>45880</v>
      </c>
      <c r="O635" s="16">
        <v>42702784</v>
      </c>
      <c r="P635" s="26">
        <v>41991</v>
      </c>
    </row>
    <row r="636" spans="1:16" ht="15.75" thickBot="1" x14ac:dyDescent="0.3">
      <c r="A636" s="23">
        <v>45881</v>
      </c>
      <c r="B636" s="10">
        <v>1321.5</v>
      </c>
      <c r="C636" s="26">
        <v>41991</v>
      </c>
      <c r="N636" s="23">
        <v>45881</v>
      </c>
      <c r="O636" s="16">
        <v>42659621</v>
      </c>
      <c r="P636" s="26">
        <v>41991</v>
      </c>
    </row>
    <row r="637" spans="1:16" ht="15.75" thickBot="1" x14ac:dyDescent="0.3">
      <c r="A637" s="23">
        <v>45882</v>
      </c>
      <c r="B637" s="10">
        <v>1318</v>
      </c>
      <c r="C637" s="26">
        <v>42052</v>
      </c>
      <c r="N637" s="23">
        <v>45882</v>
      </c>
      <c r="O637" s="16">
        <v>42643973</v>
      </c>
      <c r="P637" s="26">
        <v>42052</v>
      </c>
    </row>
    <row r="638" spans="1:16" ht="15.75" thickBot="1" x14ac:dyDescent="0.3">
      <c r="A638" s="23">
        <v>45883</v>
      </c>
      <c r="B638" s="10">
        <v>1308.33</v>
      </c>
      <c r="C638" s="26">
        <v>41908</v>
      </c>
      <c r="N638" s="23">
        <v>45883</v>
      </c>
      <c r="O638" s="16">
        <v>42615572</v>
      </c>
      <c r="P638" s="26">
        <v>41908</v>
      </c>
    </row>
    <row r="639" spans="1:16" ht="15.75" thickBot="1" x14ac:dyDescent="0.3">
      <c r="A639" s="23">
        <v>45887</v>
      </c>
      <c r="B639" s="10">
        <v>1298.83</v>
      </c>
      <c r="C639" s="26">
        <v>41757</v>
      </c>
      <c r="N639" s="23">
        <v>45887</v>
      </c>
      <c r="O639" s="16">
        <v>48555085</v>
      </c>
      <c r="P639" s="26">
        <v>41757</v>
      </c>
    </row>
    <row r="640" spans="1:16" ht="15.75" thickBot="1" x14ac:dyDescent="0.3">
      <c r="A640" s="24">
        <v>45888</v>
      </c>
      <c r="B640" s="10">
        <v>1292.33</v>
      </c>
      <c r="C640" s="26">
        <v>41705</v>
      </c>
      <c r="N640" s="24">
        <v>45888</v>
      </c>
      <c r="O640" s="9">
        <v>44631142</v>
      </c>
      <c r="P640" s="26">
        <v>41705</v>
      </c>
    </row>
    <row r="641" spans="1:16" ht="15.75" thickBot="1" x14ac:dyDescent="0.3">
      <c r="A641" s="25">
        <v>45889</v>
      </c>
      <c r="B641" s="27">
        <v>1298.5</v>
      </c>
      <c r="C641" s="28">
        <v>41692</v>
      </c>
      <c r="N641" s="25">
        <v>45889</v>
      </c>
      <c r="O641" s="16">
        <v>42821346</v>
      </c>
      <c r="P641" s="28">
        <v>41692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Datos2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costa</dc:creator>
  <cp:lastModifiedBy>matias costa</cp:lastModifiedBy>
  <dcterms:created xsi:type="dcterms:W3CDTF">2025-08-27T12:10:31Z</dcterms:created>
  <dcterms:modified xsi:type="dcterms:W3CDTF">2025-08-29T13:25:07Z</dcterms:modified>
</cp:coreProperties>
</file>